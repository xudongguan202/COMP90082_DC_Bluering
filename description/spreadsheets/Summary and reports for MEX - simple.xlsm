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Medical_Rad\Radiotherapy\Ionizing Radiation\Melbourne Uni IT Project\"/>
    </mc:Choice>
  </mc:AlternateContent>
  <xr:revisionPtr revIDLastSave="0" documentId="13_ncr:1_{4D05E15C-82ED-4627-8D79-ADEB1CE3E5BB}" xr6:coauthVersionLast="46" xr6:coauthVersionMax="46" xr10:uidLastSave="{00000000-0000-0000-0000-000000000000}"/>
  <bookViews>
    <workbookView xWindow="870" yWindow="5115" windowWidth="27150" windowHeight="15435" tabRatio="807" activeTab="4" xr2:uid="{00000000-000D-0000-FFFF-FFFF00000000}"/>
  </bookViews>
  <sheets>
    <sheet name="Intro" sheetId="11" r:id="rId1"/>
    <sheet name="Client" sheetId="30" r:id="rId2"/>
    <sheet name="MEX" sheetId="15" r:id="rId3"/>
    <sheet name="MEXtabs" sheetId="27" r:id="rId4"/>
    <sheet name="MEXReport" sheetId="31" r:id="rId5"/>
  </sheets>
  <functionGroups builtInGroupCount="19"/>
  <definedNames>
    <definedName name="_xlnm._FilterDatabase" localSheetId="1" hidden="1">Client!$N$5:$N$24</definedName>
    <definedName name="CHECKING_Dir">#REF!</definedName>
    <definedName name="CO_Stub">#REF!</definedName>
    <definedName name="DCC_Dir">#REF!</definedName>
    <definedName name="Elec_2Ch_Stub">#REF!</definedName>
    <definedName name="ELEC_Stub">#REF!</definedName>
    <definedName name="INFILE_Name">#REF!</definedName>
    <definedName name="LEX_Stub">#REF!</definedName>
    <definedName name="MEX_PDF">#REF!</definedName>
    <definedName name="MEX_Stub">#REF!</definedName>
    <definedName name="MVE_Stub">#REF!</definedName>
    <definedName name="MVP_Stub">#REF!</definedName>
    <definedName name="REPORT_Dir">#REF!</definedName>
    <definedName name="THIS_Di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40" i="27" l="1"/>
  <c r="T12" i="15" l="1"/>
  <c r="T13" i="15"/>
  <c r="T14" i="15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C8" i="15" l="1"/>
  <c r="C7" i="15"/>
  <c r="S85" i="15"/>
  <c r="C49" i="30" s="1"/>
  <c r="C48" i="30" s="1"/>
  <c r="S84" i="15"/>
  <c r="B49" i="30" s="1"/>
  <c r="G27" i="31" a="1"/>
  <c r="G33" i="31" a="1"/>
  <c r="G33" i="31" l="1"/>
  <c r="G27" i="31"/>
  <c r="G118" i="31" s="1"/>
  <c r="G33" i="30" l="1"/>
  <c r="G23" i="31"/>
  <c r="O3" i="30"/>
  <c r="T6" i="30" s="1"/>
  <c r="Q58" i="15"/>
  <c r="L15" i="15"/>
  <c r="L18" i="15"/>
  <c r="L19" i="15"/>
  <c r="L20" i="15"/>
  <c r="M23" i="15"/>
  <c r="T88" i="27" s="1"/>
  <c r="T24" i="27" s="1"/>
  <c r="Q161" i="31" s="1"/>
  <c r="L26" i="15"/>
  <c r="L27" i="15"/>
  <c r="L28" i="15"/>
  <c r="M31" i="15"/>
  <c r="L34" i="15"/>
  <c r="L35" i="15"/>
  <c r="M39" i="15"/>
  <c r="T104" i="27" s="1"/>
  <c r="T35" i="27" s="1"/>
  <c r="L43" i="15"/>
  <c r="L44" i="15"/>
  <c r="L47" i="15"/>
  <c r="L50" i="15"/>
  <c r="L51" i="15"/>
  <c r="L52" i="15"/>
  <c r="L55" i="15"/>
  <c r="M58" i="15"/>
  <c r="L60" i="15"/>
  <c r="M63" i="15"/>
  <c r="T128" i="27" s="1"/>
  <c r="T56" i="27" s="1"/>
  <c r="Q201" i="31" s="1"/>
  <c r="L67" i="15"/>
  <c r="L68" i="15"/>
  <c r="L71" i="15"/>
  <c r="M16" i="15"/>
  <c r="N16" i="15" s="1"/>
  <c r="J18" i="15"/>
  <c r="M24" i="15"/>
  <c r="J26" i="15"/>
  <c r="J27" i="15"/>
  <c r="J28" i="15"/>
  <c r="J34" i="15"/>
  <c r="J42" i="15"/>
  <c r="J44" i="15"/>
  <c r="M48" i="15"/>
  <c r="T113" i="27" s="1"/>
  <c r="T41" i="27" s="1"/>
  <c r="Q178" i="31" s="1"/>
  <c r="J52" i="15"/>
  <c r="M56" i="15"/>
  <c r="T121" i="27" s="1"/>
  <c r="T58" i="27" s="1"/>
  <c r="Q203" i="31" s="1"/>
  <c r="J58" i="15"/>
  <c r="J59" i="15"/>
  <c r="J64" i="15"/>
  <c r="J68" i="15"/>
  <c r="J72" i="15"/>
  <c r="Q92" i="27"/>
  <c r="Q13" i="27" s="1"/>
  <c r="K150" i="31" s="1"/>
  <c r="Q93" i="27"/>
  <c r="Q17" i="27" s="1"/>
  <c r="K154" i="31" s="1"/>
  <c r="Q94" i="27"/>
  <c r="Q20" i="27" s="1"/>
  <c r="F9" i="27" s="1"/>
  <c r="K125" i="31" s="1"/>
  <c r="Q95" i="27"/>
  <c r="Q25" i="27" s="1"/>
  <c r="K162" i="31" s="1"/>
  <c r="Q96" i="27"/>
  <c r="Q28" i="27" s="1"/>
  <c r="K165" i="31" s="1"/>
  <c r="Q97" i="27"/>
  <c r="Q14" i="27" s="1"/>
  <c r="K151" i="31" s="1"/>
  <c r="Q98" i="27"/>
  <c r="Q21" i="27" s="1"/>
  <c r="K158" i="31" s="1"/>
  <c r="Q99" i="27"/>
  <c r="Q31" i="27" s="1"/>
  <c r="Q100" i="27"/>
  <c r="Q34" i="27" s="1"/>
  <c r="K171" i="31" s="1"/>
  <c r="Q101" i="27"/>
  <c r="Q38" i="27" s="1"/>
  <c r="K175" i="31" s="1"/>
  <c r="Q102" i="27"/>
  <c r="Q22" i="27" s="1"/>
  <c r="K159" i="31" s="1"/>
  <c r="Q103" i="27"/>
  <c r="Q32" i="27" s="1"/>
  <c r="K169" i="31" s="1"/>
  <c r="Q104" i="27"/>
  <c r="Q35" i="27" s="1"/>
  <c r="Q105" i="27"/>
  <c r="Q39" i="27" s="1"/>
  <c r="K176" i="31" s="1"/>
  <c r="Q106" i="27"/>
  <c r="Q43" i="27" s="1"/>
  <c r="K180" i="31" s="1"/>
  <c r="Q107" i="27"/>
  <c r="Q33" i="27" s="1"/>
  <c r="K170" i="31" s="1"/>
  <c r="Q108" i="27"/>
  <c r="Q36" i="27" s="1"/>
  <c r="K173" i="31" s="1"/>
  <c r="Q109" i="27"/>
  <c r="Q40" i="27" s="1"/>
  <c r="Q110" i="27"/>
  <c r="Q44" i="27" s="1"/>
  <c r="K181" i="31" s="1"/>
  <c r="Q111" i="27"/>
  <c r="Q48" i="27" s="1"/>
  <c r="K193" i="31" s="1"/>
  <c r="Q112" i="27"/>
  <c r="Q37" i="27" s="1"/>
  <c r="K174" i="31" s="1"/>
  <c r="Q113" i="27"/>
  <c r="Q41" i="27" s="1"/>
  <c r="K178" i="31" s="1"/>
  <c r="Q114" i="27"/>
  <c r="Q45" i="27" s="1"/>
  <c r="Q115" i="27"/>
  <c r="Q49" i="27" s="1"/>
  <c r="K194" i="31" s="1"/>
  <c r="Q116" i="27"/>
  <c r="Q53" i="27" s="1"/>
  <c r="K198" i="31" s="1"/>
  <c r="Q117" i="27"/>
  <c r="Q42" i="27" s="1"/>
  <c r="K179" i="31" s="1"/>
  <c r="Q118" i="27"/>
  <c r="Q46" i="27" s="1"/>
  <c r="K183" i="31" s="1"/>
  <c r="Q119" i="27"/>
  <c r="Q50" i="27" s="1"/>
  <c r="Q120" i="27"/>
  <c r="Q54" i="27" s="1"/>
  <c r="K199" i="31" s="1"/>
  <c r="Q121" i="27"/>
  <c r="Q58" i="27" s="1"/>
  <c r="K203" i="31" s="1"/>
  <c r="Q122" i="27"/>
  <c r="Q123" i="27"/>
  <c r="Q51" i="27" s="1"/>
  <c r="K196" i="31" s="1"/>
  <c r="Q124" i="27"/>
  <c r="Q55" i="27" s="1"/>
  <c r="K200" i="31" s="1"/>
  <c r="Q125" i="27"/>
  <c r="Q59" i="27" s="1"/>
  <c r="K204" i="31" s="1"/>
  <c r="Q126" i="27"/>
  <c r="Q62" i="27" s="1"/>
  <c r="K207" i="31" s="1"/>
  <c r="Q127" i="27"/>
  <c r="Q52" i="27" s="1"/>
  <c r="K197" i="31" s="1"/>
  <c r="Q128" i="27"/>
  <c r="Q56" i="27" s="1"/>
  <c r="K201" i="31" s="1"/>
  <c r="Q129" i="27"/>
  <c r="Q60" i="27" s="1"/>
  <c r="Q130" i="27"/>
  <c r="Q63" i="27" s="1"/>
  <c r="Q131" i="27"/>
  <c r="Q65" i="27" s="1"/>
  <c r="K210" i="31" s="1"/>
  <c r="Q132" i="27"/>
  <c r="Q57" i="27" s="1"/>
  <c r="K202" i="31" s="1"/>
  <c r="Q133" i="27"/>
  <c r="Q61" i="27" s="1"/>
  <c r="K206" i="31" s="1"/>
  <c r="Q134" i="27"/>
  <c r="Q64" i="27" s="1"/>
  <c r="K209" i="31" s="1"/>
  <c r="Q135" i="27"/>
  <c r="Q66" i="27" s="1"/>
  <c r="K211" i="31" s="1"/>
  <c r="Q91" i="27"/>
  <c r="Q10" i="27" s="1"/>
  <c r="K147" i="31" s="1"/>
  <c r="P79" i="27"/>
  <c r="P15" i="27" s="1"/>
  <c r="I152" i="31" s="1"/>
  <c r="P80" i="27"/>
  <c r="P18" i="27" s="1"/>
  <c r="I155" i="31" s="1"/>
  <c r="P81" i="27"/>
  <c r="P23" i="27" s="1"/>
  <c r="I160" i="31" s="1"/>
  <c r="P82" i="27"/>
  <c r="P26" i="27" s="1"/>
  <c r="I163" i="31" s="1"/>
  <c r="P83" i="27"/>
  <c r="P29" i="27" s="1"/>
  <c r="I166" i="31" s="1"/>
  <c r="P84" i="27"/>
  <c r="P9" i="27" s="1"/>
  <c r="I146" i="31" s="1"/>
  <c r="P85" i="27"/>
  <c r="P12" i="27" s="1"/>
  <c r="I149" i="31" s="1"/>
  <c r="P86" i="27"/>
  <c r="P16" i="27" s="1"/>
  <c r="I153" i="31" s="1"/>
  <c r="P87" i="27"/>
  <c r="P19" i="27" s="1"/>
  <c r="I156" i="31" s="1"/>
  <c r="P88" i="27"/>
  <c r="P24" i="27" s="1"/>
  <c r="I161" i="31" s="1"/>
  <c r="P89" i="27"/>
  <c r="P27" i="27" s="1"/>
  <c r="I164" i="31" s="1"/>
  <c r="P90" i="27"/>
  <c r="P30" i="27" s="1"/>
  <c r="I167" i="31" s="1"/>
  <c r="P91" i="27"/>
  <c r="P10" i="27" s="1"/>
  <c r="I147" i="31" s="1"/>
  <c r="P92" i="27"/>
  <c r="P13" i="27" s="1"/>
  <c r="P93" i="27"/>
  <c r="P17" i="27" s="1"/>
  <c r="I154" i="31" s="1"/>
  <c r="P94" i="27"/>
  <c r="P20" i="27" s="1"/>
  <c r="P95" i="27"/>
  <c r="P25" i="27" s="1"/>
  <c r="I162" i="31" s="1"/>
  <c r="P96" i="27"/>
  <c r="P28" i="27" s="1"/>
  <c r="I165" i="31" s="1"/>
  <c r="P97" i="27"/>
  <c r="P14" i="27" s="1"/>
  <c r="I151" i="31" s="1"/>
  <c r="P98" i="27"/>
  <c r="P21" i="27" s="1"/>
  <c r="I158" i="31" s="1"/>
  <c r="P99" i="27"/>
  <c r="P31" i="27" s="1"/>
  <c r="P100" i="27"/>
  <c r="P34" i="27" s="1"/>
  <c r="I171" i="31" s="1"/>
  <c r="P101" i="27"/>
  <c r="P38" i="27" s="1"/>
  <c r="I175" i="31" s="1"/>
  <c r="P102" i="27"/>
  <c r="P22" i="27" s="1"/>
  <c r="I159" i="31" s="1"/>
  <c r="P103" i="27"/>
  <c r="P32" i="27" s="1"/>
  <c r="I169" i="31" s="1"/>
  <c r="P104" i="27"/>
  <c r="P35" i="27" s="1"/>
  <c r="P105" i="27"/>
  <c r="P39" i="27" s="1"/>
  <c r="I176" i="31" s="1"/>
  <c r="P106" i="27"/>
  <c r="P43" i="27" s="1"/>
  <c r="I180" i="31" s="1"/>
  <c r="P107" i="27"/>
  <c r="P33" i="27" s="1"/>
  <c r="I170" i="31" s="1"/>
  <c r="P108" i="27"/>
  <c r="P36" i="27" s="1"/>
  <c r="I173" i="31" s="1"/>
  <c r="P109" i="27"/>
  <c r="P40" i="27" s="1"/>
  <c r="P110" i="27"/>
  <c r="P44" i="27" s="1"/>
  <c r="I181" i="31" s="1"/>
  <c r="P111" i="27"/>
  <c r="P48" i="27" s="1"/>
  <c r="I193" i="31" s="1"/>
  <c r="P112" i="27"/>
  <c r="P37" i="27" s="1"/>
  <c r="I174" i="31" s="1"/>
  <c r="P78" i="27"/>
  <c r="P11" i="27" s="1"/>
  <c r="I148" i="31" s="1"/>
  <c r="P77" i="27"/>
  <c r="P8" i="27" s="1"/>
  <c r="I145" i="31" s="1"/>
  <c r="D73" i="15"/>
  <c r="Q138" i="27" s="1"/>
  <c r="Q69" i="27" s="1"/>
  <c r="D72" i="15"/>
  <c r="D71" i="15"/>
  <c r="Q136" i="27" s="1"/>
  <c r="Q67" i="27" s="1"/>
  <c r="K212" i="31" s="1"/>
  <c r="M30" i="27"/>
  <c r="C167" i="31" s="1"/>
  <c r="N30" i="27"/>
  <c r="E167" i="31" s="1"/>
  <c r="R30" i="27"/>
  <c r="M167" i="31" s="1"/>
  <c r="S30" i="27"/>
  <c r="O167" i="31" s="1"/>
  <c r="M27" i="27"/>
  <c r="C164" i="31" s="1"/>
  <c r="N27" i="27"/>
  <c r="E164" i="31" s="1"/>
  <c r="R27" i="27"/>
  <c r="M164" i="31" s="1"/>
  <c r="S27" i="27"/>
  <c r="O164" i="31" s="1"/>
  <c r="M24" i="27"/>
  <c r="C161" i="31" s="1"/>
  <c r="N24" i="27"/>
  <c r="E161" i="31" s="1"/>
  <c r="R24" i="27"/>
  <c r="M161" i="31" s="1"/>
  <c r="S24" i="27"/>
  <c r="O161" i="31" s="1"/>
  <c r="L19" i="27"/>
  <c r="A156" i="31" s="1"/>
  <c r="M19" i="27"/>
  <c r="C156" i="31" s="1"/>
  <c r="N19" i="27"/>
  <c r="E156" i="31" s="1"/>
  <c r="R19" i="27"/>
  <c r="M156" i="31" s="1"/>
  <c r="S19" i="27"/>
  <c r="O156" i="31" s="1"/>
  <c r="M16" i="27"/>
  <c r="C153" i="31" s="1"/>
  <c r="N16" i="27"/>
  <c r="E153" i="31" s="1"/>
  <c r="R16" i="27"/>
  <c r="M153" i="31" s="1"/>
  <c r="S16" i="27"/>
  <c r="O153" i="31" s="1"/>
  <c r="M12" i="27"/>
  <c r="C149" i="31" s="1"/>
  <c r="N12" i="27"/>
  <c r="E149" i="31" s="1"/>
  <c r="R12" i="27"/>
  <c r="M149" i="31" s="1"/>
  <c r="S12" i="27"/>
  <c r="O149" i="31" s="1"/>
  <c r="M9" i="27"/>
  <c r="C146" i="31" s="1"/>
  <c r="N9" i="27"/>
  <c r="E146" i="31" s="1"/>
  <c r="R9" i="27"/>
  <c r="M146" i="31" s="1"/>
  <c r="S9" i="27"/>
  <c r="O146" i="31" s="1"/>
  <c r="L30" i="27"/>
  <c r="A167" i="31" s="1"/>
  <c r="L27" i="27"/>
  <c r="A164" i="31" s="1"/>
  <c r="L24" i="27"/>
  <c r="A161" i="31" s="1"/>
  <c r="L16" i="27"/>
  <c r="A153" i="31" s="1"/>
  <c r="L12" i="27"/>
  <c r="A149" i="31" s="1"/>
  <c r="L9" i="27"/>
  <c r="A146" i="31" s="1"/>
  <c r="Q16" i="15"/>
  <c r="Q23" i="15"/>
  <c r="M17" i="15"/>
  <c r="T82" i="27" s="1"/>
  <c r="T26" i="27" s="1"/>
  <c r="Q163" i="31" s="1"/>
  <c r="M21" i="15"/>
  <c r="N21" i="15" s="1"/>
  <c r="M22" i="15"/>
  <c r="T87" i="27" s="1"/>
  <c r="T19" i="27" s="1"/>
  <c r="Q156" i="31" s="1"/>
  <c r="M25" i="15"/>
  <c r="T90" i="27" s="1"/>
  <c r="T30" i="27" s="1"/>
  <c r="Q167" i="31" s="1"/>
  <c r="M29" i="15"/>
  <c r="N29" i="15" s="1"/>
  <c r="M30" i="15"/>
  <c r="L16" i="15"/>
  <c r="L17" i="15"/>
  <c r="L21" i="15"/>
  <c r="L22" i="15"/>
  <c r="L23" i="15"/>
  <c r="L24" i="15"/>
  <c r="L25" i="15"/>
  <c r="J15" i="15"/>
  <c r="J16" i="15"/>
  <c r="J17" i="15"/>
  <c r="J21" i="15"/>
  <c r="J22" i="15"/>
  <c r="J23" i="15"/>
  <c r="J24" i="15"/>
  <c r="J25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S67" i="27"/>
  <c r="O212" i="31" s="1"/>
  <c r="S69" i="27"/>
  <c r="S68" i="27"/>
  <c r="O213" i="31" s="1"/>
  <c r="G25" i="31"/>
  <c r="G106" i="31" s="1"/>
  <c r="A237" i="31"/>
  <c r="A292" i="31"/>
  <c r="A265" i="31"/>
  <c r="M1" i="15"/>
  <c r="T13" i="31"/>
  <c r="A141" i="31" s="1"/>
  <c r="T12" i="31"/>
  <c r="G31" i="31"/>
  <c r="L52" i="30"/>
  <c r="A32" i="31" s="1"/>
  <c r="R8" i="27"/>
  <c r="M145" i="31" s="1"/>
  <c r="R10" i="27"/>
  <c r="M147" i="31" s="1"/>
  <c r="R11" i="27"/>
  <c r="M148" i="31" s="1"/>
  <c r="R13" i="27"/>
  <c r="G8" i="27" s="1"/>
  <c r="M124" i="31" s="1"/>
  <c r="R14" i="27"/>
  <c r="M151" i="31" s="1"/>
  <c r="R15" i="27"/>
  <c r="M152" i="31" s="1"/>
  <c r="R17" i="27"/>
  <c r="M154" i="31" s="1"/>
  <c r="R18" i="27"/>
  <c r="M155" i="31" s="1"/>
  <c r="R20" i="27"/>
  <c r="G9" i="27" s="1"/>
  <c r="M125" i="31" s="1"/>
  <c r="R21" i="27"/>
  <c r="M158" i="31" s="1"/>
  <c r="R22" i="27"/>
  <c r="M159" i="31" s="1"/>
  <c r="R23" i="27"/>
  <c r="M160" i="31" s="1"/>
  <c r="R25" i="27"/>
  <c r="M162" i="31" s="1"/>
  <c r="R26" i="27"/>
  <c r="M163" i="31" s="1"/>
  <c r="R28" i="27"/>
  <c r="M165" i="31" s="1"/>
  <c r="R29" i="27"/>
  <c r="M166" i="31" s="1"/>
  <c r="R31" i="27"/>
  <c r="M168" i="31" s="1"/>
  <c r="R32" i="27"/>
  <c r="M169" i="31" s="1"/>
  <c r="R33" i="27"/>
  <c r="M170" i="31" s="1"/>
  <c r="R34" i="27"/>
  <c r="M171" i="31" s="1"/>
  <c r="R35" i="27"/>
  <c r="M172" i="31" s="1"/>
  <c r="R36" i="27"/>
  <c r="M173" i="31" s="1"/>
  <c r="R37" i="27"/>
  <c r="M174" i="31" s="1"/>
  <c r="R38" i="27"/>
  <c r="M175" i="31" s="1"/>
  <c r="R39" i="27"/>
  <c r="M176" i="31" s="1"/>
  <c r="R40" i="27"/>
  <c r="G12" i="27" s="1"/>
  <c r="M128" i="31" s="1"/>
  <c r="R41" i="27"/>
  <c r="M178" i="31" s="1"/>
  <c r="R42" i="27"/>
  <c r="M179" i="31" s="1"/>
  <c r="R43" i="27"/>
  <c r="M180" i="31" s="1"/>
  <c r="R44" i="27"/>
  <c r="M181" i="31" s="1"/>
  <c r="R45" i="27"/>
  <c r="G13" i="27" s="1"/>
  <c r="M129" i="31" s="1"/>
  <c r="R46" i="27"/>
  <c r="M183" i="31" s="1"/>
  <c r="R47" i="27"/>
  <c r="M184" i="31" s="1"/>
  <c r="R48" i="27"/>
  <c r="M193" i="31" s="1"/>
  <c r="R49" i="27"/>
  <c r="M194" i="31" s="1"/>
  <c r="R50" i="27"/>
  <c r="M195" i="31" s="1"/>
  <c r="R51" i="27"/>
  <c r="M196" i="31" s="1"/>
  <c r="R52" i="27"/>
  <c r="M197" i="31" s="1"/>
  <c r="R53" i="27"/>
  <c r="M198" i="31" s="1"/>
  <c r="R54" i="27"/>
  <c r="M199" i="31" s="1"/>
  <c r="R55" i="27"/>
  <c r="G15" i="27" s="1"/>
  <c r="M131" i="31" s="1"/>
  <c r="R56" i="27"/>
  <c r="M201" i="31" s="1"/>
  <c r="R57" i="27"/>
  <c r="M202" i="31" s="1"/>
  <c r="R58" i="27"/>
  <c r="M203" i="31" s="1"/>
  <c r="R59" i="27"/>
  <c r="M204" i="31" s="1"/>
  <c r="R60" i="27"/>
  <c r="M205" i="31" s="1"/>
  <c r="R61" i="27"/>
  <c r="M206" i="31" s="1"/>
  <c r="R62" i="27"/>
  <c r="M207" i="31" s="1"/>
  <c r="R63" i="27"/>
  <c r="G17" i="27" s="1"/>
  <c r="M133" i="31" s="1"/>
  <c r="R64" i="27"/>
  <c r="M209" i="31" s="1"/>
  <c r="R65" i="27"/>
  <c r="M210" i="31" s="1"/>
  <c r="R66" i="27"/>
  <c r="M211" i="31" s="1"/>
  <c r="R67" i="27"/>
  <c r="M212" i="31" s="1"/>
  <c r="R68" i="27"/>
  <c r="M213" i="31" s="1"/>
  <c r="R69" i="27"/>
  <c r="M214" i="31" s="1"/>
  <c r="U12" i="30"/>
  <c r="V12" i="30" s="1"/>
  <c r="U10" i="30"/>
  <c r="V10" i="30" s="1"/>
  <c r="G32" i="30"/>
  <c r="Q15" i="30"/>
  <c r="L139" i="31"/>
  <c r="O54" i="27"/>
  <c r="G199" i="31" s="1"/>
  <c r="N54" i="27"/>
  <c r="E199" i="31" s="1"/>
  <c r="M54" i="27"/>
  <c r="C199" i="31" s="1"/>
  <c r="L54" i="27"/>
  <c r="A199" i="31" s="1"/>
  <c r="B69" i="31"/>
  <c r="A41" i="31"/>
  <c r="I141" i="31"/>
  <c r="G29" i="31"/>
  <c r="G22" i="31"/>
  <c r="G21" i="31"/>
  <c r="G20" i="31"/>
  <c r="G105" i="31" s="1"/>
  <c r="B5" i="15"/>
  <c r="B4" i="15"/>
  <c r="B3" i="15"/>
  <c r="A3" i="15"/>
  <c r="F8" i="15" s="1"/>
  <c r="L8" i="27"/>
  <c r="A145" i="31" s="1"/>
  <c r="M8" i="27"/>
  <c r="C145" i="31" s="1"/>
  <c r="N8" i="27"/>
  <c r="E145" i="31" s="1"/>
  <c r="L10" i="27"/>
  <c r="A147" i="31" s="1"/>
  <c r="M10" i="27"/>
  <c r="C147" i="31" s="1"/>
  <c r="N10" i="27"/>
  <c r="E147" i="31" s="1"/>
  <c r="L11" i="27"/>
  <c r="A148" i="31" s="1"/>
  <c r="M11" i="27"/>
  <c r="C148" i="31" s="1"/>
  <c r="N11" i="27"/>
  <c r="E148" i="31" s="1"/>
  <c r="L13" i="27"/>
  <c r="A150" i="31" s="1"/>
  <c r="M13" i="27"/>
  <c r="C150" i="31" s="1"/>
  <c r="N13" i="27"/>
  <c r="E150" i="31" s="1"/>
  <c r="L14" i="27"/>
  <c r="A151" i="31" s="1"/>
  <c r="M14" i="27"/>
  <c r="C151" i="31" s="1"/>
  <c r="N14" i="27"/>
  <c r="E151" i="31" s="1"/>
  <c r="L15" i="27"/>
  <c r="A152" i="31" s="1"/>
  <c r="M15" i="27"/>
  <c r="C152" i="31" s="1"/>
  <c r="N15" i="27"/>
  <c r="E152" i="31" s="1"/>
  <c r="L17" i="27"/>
  <c r="A154" i="31" s="1"/>
  <c r="M17" i="27"/>
  <c r="C154" i="31" s="1"/>
  <c r="N17" i="27"/>
  <c r="E154" i="31" s="1"/>
  <c r="L18" i="27"/>
  <c r="A155" i="31" s="1"/>
  <c r="M18" i="27"/>
  <c r="C155" i="31" s="1"/>
  <c r="N18" i="27"/>
  <c r="E155" i="31" s="1"/>
  <c r="L20" i="27"/>
  <c r="A9" i="27" s="1"/>
  <c r="A125" i="31" s="1"/>
  <c r="M20" i="27"/>
  <c r="C157" i="31" s="1"/>
  <c r="N20" i="27"/>
  <c r="E157" i="31" s="1"/>
  <c r="L21" i="27"/>
  <c r="A158" i="31" s="1"/>
  <c r="M21" i="27"/>
  <c r="C158" i="31" s="1"/>
  <c r="N21" i="27"/>
  <c r="E158" i="31" s="1"/>
  <c r="L22" i="27"/>
  <c r="A159" i="31" s="1"/>
  <c r="M22" i="27"/>
  <c r="C159" i="31" s="1"/>
  <c r="N22" i="27"/>
  <c r="E159" i="31" s="1"/>
  <c r="L23" i="27"/>
  <c r="A160" i="31" s="1"/>
  <c r="M23" i="27"/>
  <c r="C160" i="31" s="1"/>
  <c r="N23" i="27"/>
  <c r="E160" i="31" s="1"/>
  <c r="L25" i="27"/>
  <c r="A162" i="31" s="1"/>
  <c r="M25" i="27"/>
  <c r="C162" i="31" s="1"/>
  <c r="N25" i="27"/>
  <c r="E162" i="31" s="1"/>
  <c r="L26" i="27"/>
  <c r="A163" i="31" s="1"/>
  <c r="M26" i="27"/>
  <c r="C163" i="31" s="1"/>
  <c r="N26" i="27"/>
  <c r="E163" i="31" s="1"/>
  <c r="L28" i="27"/>
  <c r="A165" i="31" s="1"/>
  <c r="M28" i="27"/>
  <c r="C165" i="31" s="1"/>
  <c r="N28" i="27"/>
  <c r="E165" i="31" s="1"/>
  <c r="L29" i="27"/>
  <c r="A166" i="31" s="1"/>
  <c r="M29" i="27"/>
  <c r="C166" i="31" s="1"/>
  <c r="N29" i="27"/>
  <c r="E166" i="31" s="1"/>
  <c r="L31" i="27"/>
  <c r="A168" i="31" s="1"/>
  <c r="M31" i="27"/>
  <c r="C168" i="31" s="1"/>
  <c r="N31" i="27"/>
  <c r="E168" i="31" s="1"/>
  <c r="L32" i="27"/>
  <c r="A169" i="31" s="1"/>
  <c r="M32" i="27"/>
  <c r="C169" i="31" s="1"/>
  <c r="N32" i="27"/>
  <c r="E169" i="31" s="1"/>
  <c r="L33" i="27"/>
  <c r="A170" i="31" s="1"/>
  <c r="M33" i="27"/>
  <c r="C170" i="31" s="1"/>
  <c r="N33" i="27"/>
  <c r="E170" i="31" s="1"/>
  <c r="L34" i="27"/>
  <c r="A171" i="31" s="1"/>
  <c r="M34" i="27"/>
  <c r="C171" i="31" s="1"/>
  <c r="N34" i="27"/>
  <c r="E171" i="31" s="1"/>
  <c r="L35" i="27"/>
  <c r="A11" i="27" s="1"/>
  <c r="A127" i="31" s="1"/>
  <c r="M35" i="27"/>
  <c r="C172" i="31" s="1"/>
  <c r="N35" i="27"/>
  <c r="E172" i="31" s="1"/>
  <c r="L36" i="27"/>
  <c r="A173" i="31" s="1"/>
  <c r="M36" i="27"/>
  <c r="C173" i="31" s="1"/>
  <c r="N36" i="27"/>
  <c r="E173" i="31" s="1"/>
  <c r="L37" i="27"/>
  <c r="A174" i="31" s="1"/>
  <c r="M37" i="27"/>
  <c r="C174" i="31" s="1"/>
  <c r="N37" i="27"/>
  <c r="E174" i="31" s="1"/>
  <c r="O37" i="27"/>
  <c r="G174" i="31" s="1"/>
  <c r="L38" i="27"/>
  <c r="A175" i="31" s="1"/>
  <c r="M38" i="27"/>
  <c r="C175" i="31" s="1"/>
  <c r="N38" i="27"/>
  <c r="E175" i="31" s="1"/>
  <c r="L39" i="27"/>
  <c r="A176" i="31" s="1"/>
  <c r="M39" i="27"/>
  <c r="C176" i="31" s="1"/>
  <c r="N39" i="27"/>
  <c r="E176" i="31" s="1"/>
  <c r="L40" i="27"/>
  <c r="A12" i="27" s="1"/>
  <c r="A128" i="31" s="1"/>
  <c r="M40" i="27"/>
  <c r="C177" i="31" s="1"/>
  <c r="N40" i="27"/>
  <c r="E177" i="31" s="1"/>
  <c r="L41" i="27"/>
  <c r="A178" i="31" s="1"/>
  <c r="M41" i="27"/>
  <c r="C178" i="31" s="1"/>
  <c r="N41" i="27"/>
  <c r="E178" i="31" s="1"/>
  <c r="O41" i="27"/>
  <c r="G178" i="31" s="1"/>
  <c r="L42" i="27"/>
  <c r="A179" i="31" s="1"/>
  <c r="M42" i="27"/>
  <c r="C179" i="31" s="1"/>
  <c r="N42" i="27"/>
  <c r="E179" i="31" s="1"/>
  <c r="O42" i="27"/>
  <c r="G179" i="31" s="1"/>
  <c r="L43" i="27"/>
  <c r="A180" i="31" s="1"/>
  <c r="M43" i="27"/>
  <c r="C180" i="31" s="1"/>
  <c r="N43" i="27"/>
  <c r="E180" i="31" s="1"/>
  <c r="L44" i="27"/>
  <c r="A181" i="31" s="1"/>
  <c r="M44" i="27"/>
  <c r="C181" i="31" s="1"/>
  <c r="N44" i="27"/>
  <c r="E181" i="31" s="1"/>
  <c r="L45" i="27"/>
  <c r="A13" i="27" s="1"/>
  <c r="A129" i="31" s="1"/>
  <c r="M45" i="27"/>
  <c r="C182" i="31" s="1"/>
  <c r="N45" i="27"/>
  <c r="E182" i="31" s="1"/>
  <c r="O45" i="27"/>
  <c r="D13" i="27" s="1"/>
  <c r="G129" i="31" s="1"/>
  <c r="L46" i="27"/>
  <c r="A183" i="31" s="1"/>
  <c r="M46" i="27"/>
  <c r="C183" i="31" s="1"/>
  <c r="N46" i="27"/>
  <c r="E183" i="31" s="1"/>
  <c r="O46" i="27"/>
  <c r="G183" i="31" s="1"/>
  <c r="L47" i="27"/>
  <c r="A184" i="31" s="1"/>
  <c r="M47" i="27"/>
  <c r="C184" i="31" s="1"/>
  <c r="N47" i="27"/>
  <c r="E184" i="31" s="1"/>
  <c r="O47" i="27"/>
  <c r="G184" i="31" s="1"/>
  <c r="Q47" i="27"/>
  <c r="K184" i="31" s="1"/>
  <c r="L48" i="27"/>
  <c r="A193" i="31" s="1"/>
  <c r="M48" i="27"/>
  <c r="C193" i="31" s="1"/>
  <c r="N48" i="27"/>
  <c r="E193" i="31" s="1"/>
  <c r="L49" i="27"/>
  <c r="A194" i="31" s="1"/>
  <c r="M49" i="27"/>
  <c r="C194" i="31" s="1"/>
  <c r="N49" i="27"/>
  <c r="E194" i="31" s="1"/>
  <c r="O49" i="27"/>
  <c r="G194" i="31" s="1"/>
  <c r="L50" i="27"/>
  <c r="A195" i="31" s="1"/>
  <c r="M50" i="27"/>
  <c r="B14" i="27" s="1"/>
  <c r="C130" i="31" s="1"/>
  <c r="N50" i="27"/>
  <c r="E195" i="31" s="1"/>
  <c r="O50" i="27"/>
  <c r="G195" i="31" s="1"/>
  <c r="L51" i="27"/>
  <c r="A196" i="31" s="1"/>
  <c r="M51" i="27"/>
  <c r="C196" i="31" s="1"/>
  <c r="N51" i="27"/>
  <c r="E196" i="31" s="1"/>
  <c r="O51" i="27"/>
  <c r="G196" i="31" s="1"/>
  <c r="L52" i="27"/>
  <c r="A197" i="31" s="1"/>
  <c r="M52" i="27"/>
  <c r="C197" i="31" s="1"/>
  <c r="N52" i="27"/>
  <c r="E197" i="31" s="1"/>
  <c r="O52" i="27"/>
  <c r="G197" i="31" s="1"/>
  <c r="L53" i="27"/>
  <c r="A198" i="31" s="1"/>
  <c r="M53" i="27"/>
  <c r="C198" i="31" s="1"/>
  <c r="N53" i="27"/>
  <c r="E198" i="31" s="1"/>
  <c r="O53" i="27"/>
  <c r="G198" i="31" s="1"/>
  <c r="L55" i="27"/>
  <c r="A15" i="27" s="1"/>
  <c r="A131" i="31" s="1"/>
  <c r="M55" i="27"/>
  <c r="C200" i="31" s="1"/>
  <c r="N55" i="27"/>
  <c r="E200" i="31" s="1"/>
  <c r="O55" i="27"/>
  <c r="D15" i="27" s="1"/>
  <c r="G131" i="31" s="1"/>
  <c r="L56" i="27"/>
  <c r="A201" i="31" s="1"/>
  <c r="M56" i="27"/>
  <c r="C201" i="31" s="1"/>
  <c r="N56" i="27"/>
  <c r="E201" i="31" s="1"/>
  <c r="O56" i="27"/>
  <c r="G201" i="31" s="1"/>
  <c r="L57" i="27"/>
  <c r="A202" i="31" s="1"/>
  <c r="M57" i="27"/>
  <c r="C202" i="31" s="1"/>
  <c r="N57" i="27"/>
  <c r="E202" i="31" s="1"/>
  <c r="O57" i="27"/>
  <c r="G202" i="31" s="1"/>
  <c r="L58" i="27"/>
  <c r="A203" i="31" s="1"/>
  <c r="M58" i="27"/>
  <c r="C203" i="31" s="1"/>
  <c r="N58" i="27"/>
  <c r="E203" i="31" s="1"/>
  <c r="O58" i="27"/>
  <c r="G203" i="31" s="1"/>
  <c r="L59" i="27"/>
  <c r="A204" i="31" s="1"/>
  <c r="M59" i="27"/>
  <c r="C204" i="31" s="1"/>
  <c r="N59" i="27"/>
  <c r="E204" i="31" s="1"/>
  <c r="O59" i="27"/>
  <c r="G204" i="31" s="1"/>
  <c r="L60" i="27"/>
  <c r="A16" i="27" s="1"/>
  <c r="A132" i="31" s="1"/>
  <c r="M60" i="27"/>
  <c r="C205" i="31" s="1"/>
  <c r="N60" i="27"/>
  <c r="E205" i="31" s="1"/>
  <c r="O60" i="27"/>
  <c r="D16" i="27" s="1"/>
  <c r="G132" i="31" s="1"/>
  <c r="L61" i="27"/>
  <c r="A206" i="31" s="1"/>
  <c r="M61" i="27"/>
  <c r="C206" i="31" s="1"/>
  <c r="N61" i="27"/>
  <c r="E206" i="31" s="1"/>
  <c r="O61" i="27"/>
  <c r="G206" i="31" s="1"/>
  <c r="L62" i="27"/>
  <c r="A207" i="31" s="1"/>
  <c r="M62" i="27"/>
  <c r="C207" i="31" s="1"/>
  <c r="N62" i="27"/>
  <c r="E207" i="31" s="1"/>
  <c r="O62" i="27"/>
  <c r="G207" i="31" s="1"/>
  <c r="L63" i="27"/>
  <c r="A17" i="27" s="1"/>
  <c r="A133" i="31" s="1"/>
  <c r="M63" i="27"/>
  <c r="C208" i="31" s="1"/>
  <c r="N63" i="27"/>
  <c r="C17" i="27" s="1"/>
  <c r="E133" i="31" s="1"/>
  <c r="O63" i="27"/>
  <c r="D17" i="27" s="1"/>
  <c r="G133" i="31" s="1"/>
  <c r="L64" i="27"/>
  <c r="A209" i="31" s="1"/>
  <c r="M64" i="27"/>
  <c r="C209" i="31" s="1"/>
  <c r="N64" i="27"/>
  <c r="E209" i="31" s="1"/>
  <c r="O64" i="27"/>
  <c r="G209" i="31" s="1"/>
  <c r="L65" i="27"/>
  <c r="A210" i="31" s="1"/>
  <c r="M65" i="27"/>
  <c r="C210" i="31" s="1"/>
  <c r="N65" i="27"/>
  <c r="E210" i="31" s="1"/>
  <c r="O65" i="27"/>
  <c r="G210" i="31" s="1"/>
  <c r="L66" i="27"/>
  <c r="A211" i="31" s="1"/>
  <c r="M66" i="27"/>
  <c r="C211" i="31" s="1"/>
  <c r="N66" i="27"/>
  <c r="E211" i="31" s="1"/>
  <c r="O66" i="27"/>
  <c r="G211" i="31" s="1"/>
  <c r="L67" i="27"/>
  <c r="A212" i="31" s="1"/>
  <c r="M67" i="27"/>
  <c r="C212" i="31" s="1"/>
  <c r="N67" i="27"/>
  <c r="E212" i="31" s="1"/>
  <c r="O67" i="27"/>
  <c r="G212" i="31" s="1"/>
  <c r="L68" i="27"/>
  <c r="A213" i="31" s="1"/>
  <c r="M68" i="27"/>
  <c r="C213" i="31" s="1"/>
  <c r="N68" i="27"/>
  <c r="E213" i="31" s="1"/>
  <c r="O68" i="27"/>
  <c r="G213" i="31" s="1"/>
  <c r="L69" i="27"/>
  <c r="A18" i="27" s="1"/>
  <c r="A134" i="31" s="1"/>
  <c r="M69" i="27"/>
  <c r="C214" i="31" s="1"/>
  <c r="N69" i="27"/>
  <c r="C18" i="27" s="1"/>
  <c r="E134" i="31" s="1"/>
  <c r="O69" i="27"/>
  <c r="G214" i="31" s="1"/>
  <c r="S66" i="27"/>
  <c r="O211" i="31" s="1"/>
  <c r="S64" i="27"/>
  <c r="O209" i="31" s="1"/>
  <c r="S61" i="27"/>
  <c r="O206" i="31" s="1"/>
  <c r="S57" i="27"/>
  <c r="O202" i="31" s="1"/>
  <c r="S65" i="27"/>
  <c r="O210" i="31" s="1"/>
  <c r="S63" i="27"/>
  <c r="S60" i="27"/>
  <c r="S56" i="27"/>
  <c r="O201" i="31" s="1"/>
  <c r="S52" i="27"/>
  <c r="O197" i="31" s="1"/>
  <c r="S62" i="27"/>
  <c r="O207" i="31" s="1"/>
  <c r="S59" i="27"/>
  <c r="O204" i="31" s="1"/>
  <c r="S55" i="27"/>
  <c r="S51" i="27"/>
  <c r="O196" i="31" s="1"/>
  <c r="S47" i="27"/>
  <c r="O184" i="31" s="1"/>
  <c r="S58" i="27"/>
  <c r="O203" i="31" s="1"/>
  <c r="S54" i="27"/>
  <c r="O199" i="31" s="1"/>
  <c r="S50" i="27"/>
  <c r="S46" i="27"/>
  <c r="O183" i="31" s="1"/>
  <c r="S42" i="27"/>
  <c r="O179" i="31" s="1"/>
  <c r="S53" i="27"/>
  <c r="O198" i="31" s="1"/>
  <c r="S49" i="27"/>
  <c r="O194" i="31" s="1"/>
  <c r="S45" i="27"/>
  <c r="S41" i="27"/>
  <c r="O178" i="31" s="1"/>
  <c r="S37" i="27"/>
  <c r="O174" i="31" s="1"/>
  <c r="S48" i="27"/>
  <c r="O193" i="31" s="1"/>
  <c r="S44" i="27"/>
  <c r="O181" i="31" s="1"/>
  <c r="S40" i="27"/>
  <c r="S36" i="27"/>
  <c r="O173" i="31" s="1"/>
  <c r="S33" i="27"/>
  <c r="O170" i="31" s="1"/>
  <c r="S43" i="27"/>
  <c r="O180" i="31" s="1"/>
  <c r="S39" i="27"/>
  <c r="O176" i="31" s="1"/>
  <c r="S35" i="27"/>
  <c r="S32" i="27"/>
  <c r="O169" i="31" s="1"/>
  <c r="S22" i="27"/>
  <c r="O159" i="31" s="1"/>
  <c r="S38" i="27"/>
  <c r="O175" i="31" s="1"/>
  <c r="S34" i="27"/>
  <c r="O171" i="31" s="1"/>
  <c r="S31" i="27"/>
  <c r="S21" i="27"/>
  <c r="O158" i="31" s="1"/>
  <c r="S14" i="27"/>
  <c r="O151" i="31" s="1"/>
  <c r="S28" i="27"/>
  <c r="O165" i="31" s="1"/>
  <c r="S25" i="27"/>
  <c r="O162" i="31" s="1"/>
  <c r="S20" i="27"/>
  <c r="S17" i="27"/>
  <c r="O154" i="31" s="1"/>
  <c r="S13" i="27"/>
  <c r="S10" i="27"/>
  <c r="O147" i="31" s="1"/>
  <c r="S29" i="27"/>
  <c r="O166" i="31" s="1"/>
  <c r="S26" i="27"/>
  <c r="O163" i="31" s="1"/>
  <c r="S23" i="27"/>
  <c r="O160" i="31" s="1"/>
  <c r="S18" i="27"/>
  <c r="O155" i="31" s="1"/>
  <c r="S15" i="27"/>
  <c r="O152" i="31" s="1"/>
  <c r="S11" i="27"/>
  <c r="O148" i="31" s="1"/>
  <c r="S8" i="27"/>
  <c r="O145" i="31" s="1"/>
  <c r="L73" i="15"/>
  <c r="L72" i="15"/>
  <c r="J73" i="15"/>
  <c r="J71" i="15"/>
  <c r="H73" i="15"/>
  <c r="H72" i="15"/>
  <c r="H71" i="15"/>
  <c r="M73" i="15"/>
  <c r="T138" i="27" s="1"/>
  <c r="T69" i="27" s="1"/>
  <c r="I18" i="27" s="1"/>
  <c r="Q134" i="31" s="1"/>
  <c r="M70" i="15"/>
  <c r="M69" i="15"/>
  <c r="M65" i="15"/>
  <c r="M64" i="15"/>
  <c r="Q63" i="15"/>
  <c r="M62" i="15"/>
  <c r="M61" i="15"/>
  <c r="M57" i="15"/>
  <c r="T122" i="27" s="1"/>
  <c r="T47" i="27" s="1"/>
  <c r="Q184" i="31" s="1"/>
  <c r="Q56" i="15"/>
  <c r="M54" i="15"/>
  <c r="T119" i="27" s="1"/>
  <c r="T50" i="27" s="1"/>
  <c r="Q195" i="31" s="1"/>
  <c r="M53" i="15"/>
  <c r="T118" i="27" s="1"/>
  <c r="T46" i="27" s="1"/>
  <c r="Q183" i="31" s="1"/>
  <c r="M51" i="15"/>
  <c r="T116" i="27" s="1"/>
  <c r="T53" i="27" s="1"/>
  <c r="Q198" i="31" s="1"/>
  <c r="M49" i="15"/>
  <c r="Q49" i="15" s="1"/>
  <c r="Q48" i="15"/>
  <c r="M46" i="15"/>
  <c r="T111" i="27" s="1"/>
  <c r="T48" i="27" s="1"/>
  <c r="Q193" i="31" s="1"/>
  <c r="M45" i="15"/>
  <c r="M41" i="15"/>
  <c r="Q41" i="15" s="1"/>
  <c r="M40" i="15"/>
  <c r="N40" i="15" s="1"/>
  <c r="M38" i="15"/>
  <c r="M37" i="15"/>
  <c r="Q37" i="15" s="1"/>
  <c r="M34" i="15"/>
  <c r="M33" i="15"/>
  <c r="T98" i="27" s="1"/>
  <c r="T21" i="27" s="1"/>
  <c r="Q158" i="31" s="1"/>
  <c r="M32" i="15"/>
  <c r="Q32" i="15" s="1"/>
  <c r="M14" i="15"/>
  <c r="M13" i="15"/>
  <c r="Q54" i="15"/>
  <c r="Q39" i="15"/>
  <c r="L70" i="15"/>
  <c r="J70" i="15"/>
  <c r="H70" i="15"/>
  <c r="L69" i="15"/>
  <c r="J69" i="15"/>
  <c r="H69" i="15"/>
  <c r="H68" i="15"/>
  <c r="H67" i="15"/>
  <c r="L66" i="15"/>
  <c r="J66" i="15"/>
  <c r="H66" i="15"/>
  <c r="L65" i="15"/>
  <c r="J65" i="15"/>
  <c r="H65" i="15"/>
  <c r="L64" i="15"/>
  <c r="H64" i="15"/>
  <c r="J63" i="15"/>
  <c r="H63" i="15"/>
  <c r="L62" i="15"/>
  <c r="J62" i="15"/>
  <c r="H62" i="15"/>
  <c r="L61" i="15"/>
  <c r="J61" i="15"/>
  <c r="H61" i="15"/>
  <c r="H60" i="15"/>
  <c r="L59" i="15"/>
  <c r="H59" i="15"/>
  <c r="H58" i="15"/>
  <c r="L57" i="15"/>
  <c r="J57" i="15"/>
  <c r="H57" i="15"/>
  <c r="L56" i="15"/>
  <c r="J56" i="15"/>
  <c r="H56" i="15"/>
  <c r="J55" i="15"/>
  <c r="H55" i="15"/>
  <c r="L54" i="15"/>
  <c r="J54" i="15"/>
  <c r="H54" i="15"/>
  <c r="L53" i="15"/>
  <c r="J53" i="15"/>
  <c r="H53" i="15"/>
  <c r="H52" i="15"/>
  <c r="J51" i="15"/>
  <c r="H51" i="15"/>
  <c r="H50" i="15"/>
  <c r="L49" i="15"/>
  <c r="J49" i="15"/>
  <c r="H49" i="15"/>
  <c r="L48" i="15"/>
  <c r="J48" i="15"/>
  <c r="H48" i="15"/>
  <c r="J47" i="15"/>
  <c r="H47" i="15"/>
  <c r="L46" i="15"/>
  <c r="J46" i="15"/>
  <c r="H46" i="15"/>
  <c r="L45" i="15"/>
  <c r="J45" i="15"/>
  <c r="H45" i="15"/>
  <c r="H44" i="15"/>
  <c r="J43" i="15"/>
  <c r="H43" i="15"/>
  <c r="L42" i="15"/>
  <c r="H42" i="15"/>
  <c r="L41" i="15"/>
  <c r="J41" i="15"/>
  <c r="H41" i="15"/>
  <c r="L40" i="15"/>
  <c r="J40" i="15"/>
  <c r="H40" i="15"/>
  <c r="L39" i="15"/>
  <c r="J39" i="15"/>
  <c r="H39" i="15"/>
  <c r="L38" i="15"/>
  <c r="J38" i="15"/>
  <c r="H38" i="15"/>
  <c r="L37" i="15"/>
  <c r="J37" i="15"/>
  <c r="H37" i="15"/>
  <c r="L36" i="15"/>
  <c r="H36" i="15"/>
  <c r="J35" i="15"/>
  <c r="H35" i="15"/>
  <c r="H34" i="15"/>
  <c r="L33" i="15"/>
  <c r="J33" i="15"/>
  <c r="H33" i="15"/>
  <c r="L32" i="15"/>
  <c r="J32" i="15"/>
  <c r="H32" i="15"/>
  <c r="J31" i="15"/>
  <c r="H31" i="15"/>
  <c r="L30" i="15"/>
  <c r="J30" i="15"/>
  <c r="H30" i="15"/>
  <c r="L29" i="15"/>
  <c r="J29" i="15"/>
  <c r="H29" i="15"/>
  <c r="H16" i="15"/>
  <c r="H15" i="15"/>
  <c r="L14" i="15"/>
  <c r="J14" i="15"/>
  <c r="H14" i="15"/>
  <c r="L13" i="15"/>
  <c r="J13" i="15"/>
  <c r="H13" i="15"/>
  <c r="M12" i="15"/>
  <c r="L10" i="15"/>
  <c r="J10" i="15"/>
  <c r="H10" i="15"/>
  <c r="J12" i="15"/>
  <c r="L12" i="15"/>
  <c r="H12" i="15"/>
  <c r="Y46" i="15"/>
  <c r="Y47" i="15"/>
  <c r="Q12" i="15"/>
  <c r="Q13" i="30"/>
  <c r="Q31" i="15"/>
  <c r="Q61" i="15"/>
  <c r="Q38" i="15"/>
  <c r="Q62" i="15"/>
  <c r="L31" i="15"/>
  <c r="M67" i="15"/>
  <c r="T132" i="27" s="1"/>
  <c r="T57" i="27" s="1"/>
  <c r="Q202" i="31" s="1"/>
  <c r="M43" i="15"/>
  <c r="M35" i="15"/>
  <c r="Q35" i="15" s="1"/>
  <c r="AE43" i="15"/>
  <c r="M68" i="15"/>
  <c r="N68" i="15" s="1"/>
  <c r="M60" i="15"/>
  <c r="N60" i="15" s="1"/>
  <c r="M36" i="15"/>
  <c r="Q36" i="15" s="1"/>
  <c r="M20" i="15"/>
  <c r="Q20" i="15" s="1"/>
  <c r="L63" i="15"/>
  <c r="M15" i="15"/>
  <c r="T80" i="27" s="1"/>
  <c r="T18" i="27" s="1"/>
  <c r="Q155" i="31" s="1"/>
  <c r="M47" i="15"/>
  <c r="Q47" i="15" s="1"/>
  <c r="M55" i="15"/>
  <c r="Q55" i="15" s="1"/>
  <c r="M66" i="15"/>
  <c r="M50" i="15"/>
  <c r="T115" i="27" s="1"/>
  <c r="T49" i="27" s="1"/>
  <c r="Q194" i="31" s="1"/>
  <c r="L58" i="15"/>
  <c r="M71" i="15"/>
  <c r="M28" i="15"/>
  <c r="Q28" i="15" s="1"/>
  <c r="M59" i="15"/>
  <c r="N59" i="15" s="1"/>
  <c r="M27" i="15"/>
  <c r="N27" i="15" s="1"/>
  <c r="M19" i="15"/>
  <c r="N19" i="15" s="1"/>
  <c r="M42" i="15"/>
  <c r="T107" i="27" s="1"/>
  <c r="T33" i="27" s="1"/>
  <c r="Q170" i="31" s="1"/>
  <c r="M26" i="15"/>
  <c r="N26" i="15" s="1"/>
  <c r="M18" i="15"/>
  <c r="T83" i="27" s="1"/>
  <c r="T29" i="27" s="1"/>
  <c r="Q166" i="31" s="1"/>
  <c r="M52" i="15"/>
  <c r="Q52" i="15" s="1"/>
  <c r="J36" i="15"/>
  <c r="J67" i="15"/>
  <c r="J20" i="15"/>
  <c r="AE42" i="15"/>
  <c r="M44" i="15"/>
  <c r="M72" i="15"/>
  <c r="Q72" i="15" s="1"/>
  <c r="J19" i="15"/>
  <c r="J50" i="15"/>
  <c r="J60" i="15"/>
  <c r="Q10" i="30"/>
  <c r="T10" i="30"/>
  <c r="Q137" i="27"/>
  <c r="Q68" i="27" s="1"/>
  <c r="K213" i="31" s="1"/>
  <c r="M150" i="31"/>
  <c r="M177" i="31"/>
  <c r="N58" i="15" l="1"/>
  <c r="X123" i="27" s="1"/>
  <c r="U123" i="27" s="1"/>
  <c r="U51" i="27" s="1"/>
  <c r="N24" i="15"/>
  <c r="X89" i="27" s="1"/>
  <c r="N30" i="15"/>
  <c r="X95" i="27" s="1"/>
  <c r="U95" i="27" s="1"/>
  <c r="U25" i="27" s="1"/>
  <c r="T81" i="27"/>
  <c r="T23" i="27" s="1"/>
  <c r="Q160" i="31" s="1"/>
  <c r="C9" i="27"/>
  <c r="E125" i="31" s="1"/>
  <c r="G200" i="31"/>
  <c r="M208" i="31"/>
  <c r="A177" i="31"/>
  <c r="C15" i="27"/>
  <c r="E131" i="31" s="1"/>
  <c r="Q214" i="31"/>
  <c r="N33" i="15"/>
  <c r="B13" i="27"/>
  <c r="C129" i="31" s="1"/>
  <c r="N73" i="15"/>
  <c r="A205" i="31"/>
  <c r="G14" i="27"/>
  <c r="M130" i="31" s="1"/>
  <c r="A208" i="31"/>
  <c r="A214" i="31"/>
  <c r="K208" i="31"/>
  <c r="F17" i="27"/>
  <c r="K133" i="31" s="1"/>
  <c r="F13" i="27"/>
  <c r="K129" i="31" s="1"/>
  <c r="K182" i="31"/>
  <c r="B17" i="27"/>
  <c r="C133" i="31" s="1"/>
  <c r="B10" i="27"/>
  <c r="C126" i="31" s="1"/>
  <c r="I14" i="27"/>
  <c r="Q130" i="31" s="1"/>
  <c r="B9" i="27"/>
  <c r="C125" i="31" s="1"/>
  <c r="N55" i="15"/>
  <c r="D14" i="27"/>
  <c r="G130" i="31" s="1"/>
  <c r="E208" i="31"/>
  <c r="G18" i="27"/>
  <c r="M134" i="31" s="1"/>
  <c r="F8" i="27"/>
  <c r="K124" i="31" s="1"/>
  <c r="A8" i="27"/>
  <c r="A124" i="31" s="1"/>
  <c r="M182" i="31"/>
  <c r="N45" i="15"/>
  <c r="T110" i="27"/>
  <c r="T44" i="27" s="1"/>
  <c r="Q181" i="31" s="1"/>
  <c r="N14" i="15"/>
  <c r="N34" i="15"/>
  <c r="N12" i="15"/>
  <c r="N61" i="15"/>
  <c r="N63" i="15"/>
  <c r="N64" i="15"/>
  <c r="N50" i="15"/>
  <c r="N67" i="15"/>
  <c r="N20" i="15"/>
  <c r="E12" i="27"/>
  <c r="I128" i="31" s="1"/>
  <c r="I177" i="31"/>
  <c r="T124" i="27"/>
  <c r="T55" i="27" s="1"/>
  <c r="Q200" i="31" s="1"/>
  <c r="N47" i="15"/>
  <c r="N52" i="15"/>
  <c r="N25" i="15"/>
  <c r="N56" i="15"/>
  <c r="F10" i="27"/>
  <c r="K126" i="31" s="1"/>
  <c r="K168" i="31"/>
  <c r="A14" i="27"/>
  <c r="A130" i="31" s="1"/>
  <c r="M157" i="31"/>
  <c r="A182" i="31"/>
  <c r="O168" i="31"/>
  <c r="H10" i="27"/>
  <c r="O126" i="31" s="1"/>
  <c r="C13" i="27"/>
  <c r="E129" i="31" s="1"/>
  <c r="A10" i="27"/>
  <c r="A126" i="31" s="1"/>
  <c r="B15" i="27"/>
  <c r="C131" i="31" s="1"/>
  <c r="A157" i="31"/>
  <c r="T86" i="27"/>
  <c r="T16" i="27" s="1"/>
  <c r="Q153" i="31" s="1"/>
  <c r="C195" i="31"/>
  <c r="M200" i="31"/>
  <c r="E214" i="31"/>
  <c r="C12" i="27"/>
  <c r="E128" i="31" s="1"/>
  <c r="G205" i="31"/>
  <c r="T120" i="27"/>
  <c r="T54" i="27" s="1"/>
  <c r="Q199" i="31" s="1"/>
  <c r="T133" i="27"/>
  <c r="T61" i="27" s="1"/>
  <c r="Q206" i="31" s="1"/>
  <c r="F15" i="27"/>
  <c r="K131" i="31" s="1"/>
  <c r="C11" i="27"/>
  <c r="E127" i="31" s="1"/>
  <c r="B18" i="27"/>
  <c r="C134" i="31" s="1"/>
  <c r="F14" i="27"/>
  <c r="K130" i="31" s="1"/>
  <c r="K195" i="31"/>
  <c r="F11" i="27"/>
  <c r="K127" i="31" s="1"/>
  <c r="K172" i="31"/>
  <c r="I157" i="31"/>
  <c r="E9" i="27"/>
  <c r="I125" i="31" s="1"/>
  <c r="K205" i="31"/>
  <c r="F16" i="27"/>
  <c r="K132" i="31" s="1"/>
  <c r="A172" i="31"/>
  <c r="G208" i="31"/>
  <c r="G182" i="31"/>
  <c r="C10" i="27"/>
  <c r="E126" i="31" s="1"/>
  <c r="G16" i="27"/>
  <c r="M132" i="31" s="1"/>
  <c r="G10" i="27"/>
  <c r="M126" i="31" s="1"/>
  <c r="B8" i="27"/>
  <c r="C124" i="31" s="1"/>
  <c r="K157" i="31"/>
  <c r="G11" i="27"/>
  <c r="M127" i="31" s="1"/>
  <c r="B16" i="27"/>
  <c r="C132" i="31" s="1"/>
  <c r="A200" i="31"/>
  <c r="B12" i="27"/>
  <c r="C128" i="31" s="1"/>
  <c r="B11" i="27"/>
  <c r="C127" i="31" s="1"/>
  <c r="O150" i="31"/>
  <c r="H8" i="27"/>
  <c r="O124" i="31" s="1"/>
  <c r="E11" i="27"/>
  <c r="I127" i="31" s="1"/>
  <c r="I172" i="31"/>
  <c r="T85" i="27"/>
  <c r="T12" i="27" s="1"/>
  <c r="Q149" i="31" s="1"/>
  <c r="C16" i="27"/>
  <c r="E132" i="31" s="1"/>
  <c r="C8" i="27"/>
  <c r="E124" i="31" s="1"/>
  <c r="C14" i="27"/>
  <c r="E130" i="31" s="1"/>
  <c r="D18" i="27"/>
  <c r="G134" i="31" s="1"/>
  <c r="Q29" i="15"/>
  <c r="Q57" i="15"/>
  <c r="Q70" i="15"/>
  <c r="Q34" i="15"/>
  <c r="Q50" i="15"/>
  <c r="Q33" i="15"/>
  <c r="Q46" i="15"/>
  <c r="Q18" i="15"/>
  <c r="Q24" i="15"/>
  <c r="Q21" i="15"/>
  <c r="Q68" i="15"/>
  <c r="N35" i="15"/>
  <c r="N18" i="15"/>
  <c r="N36" i="15"/>
  <c r="N43" i="15"/>
  <c r="N54" i="15"/>
  <c r="N46" i="15"/>
  <c r="T94" i="27"/>
  <c r="T97" i="27"/>
  <c r="T14" i="27" s="1"/>
  <c r="Q151" i="31" s="1"/>
  <c r="T78" i="27"/>
  <c r="T11" i="27" s="1"/>
  <c r="Q148" i="31" s="1"/>
  <c r="N53" i="15"/>
  <c r="N57" i="15"/>
  <c r="N32" i="15"/>
  <c r="N42" i="15"/>
  <c r="N71" i="15"/>
  <c r="T102" i="27"/>
  <c r="N13" i="15"/>
  <c r="N37" i="15"/>
  <c r="N48" i="15"/>
  <c r="N23" i="15"/>
  <c r="I56" i="31"/>
  <c r="T100" i="27"/>
  <c r="T34" i="27" s="1"/>
  <c r="Q171" i="31" s="1"/>
  <c r="T79" i="27"/>
  <c r="T15" i="27" s="1"/>
  <c r="Q152" i="31" s="1"/>
  <c r="T84" i="27"/>
  <c r="T9" i="27" s="1"/>
  <c r="Q146" i="31" s="1"/>
  <c r="T109" i="27"/>
  <c r="T40" i="27" s="1"/>
  <c r="Q177" i="31" s="1"/>
  <c r="T117" i="27"/>
  <c r="T42" i="27" s="1"/>
  <c r="Q179" i="31" s="1"/>
  <c r="T95" i="27"/>
  <c r="T25" i="27" s="1"/>
  <c r="Q162" i="31" s="1"/>
  <c r="T112" i="27"/>
  <c r="T37" i="27" s="1"/>
  <c r="Q174" i="31" s="1"/>
  <c r="T129" i="27"/>
  <c r="T60" i="27" s="1"/>
  <c r="Q205" i="31" s="1"/>
  <c r="T123" i="27"/>
  <c r="T51" i="27" s="1"/>
  <c r="Q196" i="31" s="1"/>
  <c r="A189" i="31"/>
  <c r="A97" i="31"/>
  <c r="A241" i="31"/>
  <c r="A303" i="31"/>
  <c r="I303" i="31"/>
  <c r="G108" i="31"/>
  <c r="T77" i="27"/>
  <c r="T8" i="27" s="1"/>
  <c r="Q145" i="31" s="1"/>
  <c r="K177" i="31"/>
  <c r="F12" i="27"/>
  <c r="K128" i="31" s="1"/>
  <c r="F18" i="27"/>
  <c r="K134" i="31" s="1"/>
  <c r="K214" i="31"/>
  <c r="E10" i="27"/>
  <c r="I126" i="31" s="1"/>
  <c r="I168" i="31"/>
  <c r="I150" i="31"/>
  <c r="E8" i="27"/>
  <c r="I124" i="31" s="1"/>
  <c r="T92" i="27"/>
  <c r="T13" i="27" s="1"/>
  <c r="Q150" i="31" s="1"/>
  <c r="T99" i="27"/>
  <c r="T31" i="27" s="1"/>
  <c r="I10" i="27" s="1"/>
  <c r="Q126" i="31" s="1"/>
  <c r="N39" i="15"/>
  <c r="N44" i="15"/>
  <c r="N49" i="15"/>
  <c r="T114" i="27"/>
  <c r="T45" i="27" s="1"/>
  <c r="I13" i="27" s="1"/>
  <c r="Q129" i="31" s="1"/>
  <c r="A31" i="31"/>
  <c r="A56" i="31"/>
  <c r="Q17" i="15"/>
  <c r="T105" i="27"/>
  <c r="T39" i="27" s="1"/>
  <c r="Q176" i="31" s="1"/>
  <c r="T89" i="27"/>
  <c r="T27" i="27" s="1"/>
  <c r="Q164" i="31" s="1"/>
  <c r="T101" i="27"/>
  <c r="T38" i="27" s="1"/>
  <c r="Q175" i="31" s="1"/>
  <c r="Q71" i="15"/>
  <c r="Q69" i="15"/>
  <c r="Q30" i="15"/>
  <c r="Q45" i="15"/>
  <c r="Q67" i="15"/>
  <c r="T136" i="27"/>
  <c r="T67" i="27" s="1"/>
  <c r="Q212" i="31" s="1"/>
  <c r="T108" i="27"/>
  <c r="T36" i="27" s="1"/>
  <c r="Q173" i="31" s="1"/>
  <c r="Q13" i="15"/>
  <c r="Q14" i="15"/>
  <c r="Q51" i="15"/>
  <c r="Q64" i="15"/>
  <c r="Q73" i="15"/>
  <c r="Q22" i="15"/>
  <c r="Q66" i="15"/>
  <c r="Q27" i="15"/>
  <c r="Q42" i="15"/>
  <c r="Q53" i="15"/>
  <c r="Q44" i="15"/>
  <c r="Q26" i="15"/>
  <c r="T126" i="27"/>
  <c r="T62" i="27" s="1"/>
  <c r="Q207" i="31" s="1"/>
  <c r="Q40" i="15"/>
  <c r="Q65" i="15"/>
  <c r="Q43" i="15"/>
  <c r="Q25" i="15"/>
  <c r="Q60" i="15"/>
  <c r="Q15" i="15"/>
  <c r="Q59" i="15"/>
  <c r="Q19" i="15"/>
  <c r="Q172" i="31"/>
  <c r="I11" i="27"/>
  <c r="Q127" i="31" s="1"/>
  <c r="X86" i="27"/>
  <c r="U86" i="27" s="1"/>
  <c r="U16" i="27" s="1"/>
  <c r="N31" i="15"/>
  <c r="T96" i="27"/>
  <c r="T28" i="27" s="1"/>
  <c r="Q165" i="31" s="1"/>
  <c r="T93" i="27"/>
  <c r="T17" i="27" s="1"/>
  <c r="Q154" i="31" s="1"/>
  <c r="N28" i="15"/>
  <c r="N66" i="15"/>
  <c r="T131" i="27"/>
  <c r="T65" i="27" s="1"/>
  <c r="Q210" i="31" s="1"/>
  <c r="T125" i="27"/>
  <c r="T59" i="27" s="1"/>
  <c r="Q204" i="31" s="1"/>
  <c r="X94" i="27"/>
  <c r="U94" i="27" s="1"/>
  <c r="U20" i="27" s="1"/>
  <c r="J9" i="27" s="1"/>
  <c r="N15" i="15"/>
  <c r="X92" i="27"/>
  <c r="U92" i="27" s="1"/>
  <c r="U13" i="27" s="1"/>
  <c r="J8" i="27" s="1"/>
  <c r="X125" i="27"/>
  <c r="U125" i="27" s="1"/>
  <c r="U59" i="27" s="1"/>
  <c r="T103" i="27"/>
  <c r="T32" i="27" s="1"/>
  <c r="Q169" i="31" s="1"/>
  <c r="N38" i="15"/>
  <c r="T135" i="27"/>
  <c r="T66" i="27" s="1"/>
  <c r="Q211" i="31" s="1"/>
  <c r="N70" i="15"/>
  <c r="X84" i="27"/>
  <c r="X124" i="27"/>
  <c r="U124" i="27" s="1"/>
  <c r="U55" i="27" s="1"/>
  <c r="J15" i="27" s="1"/>
  <c r="N62" i="15"/>
  <c r="T127" i="27"/>
  <c r="T52" i="27" s="1"/>
  <c r="Q197" i="31" s="1"/>
  <c r="N65" i="15"/>
  <c r="T130" i="27"/>
  <c r="T63" i="27" s="1"/>
  <c r="N41" i="15"/>
  <c r="T106" i="27"/>
  <c r="T43" i="27" s="1"/>
  <c r="Q180" i="31" s="1"/>
  <c r="X133" i="27"/>
  <c r="U133" i="27" s="1"/>
  <c r="U61" i="27" s="1"/>
  <c r="N69" i="15"/>
  <c r="T134" i="27"/>
  <c r="T64" i="27" s="1"/>
  <c r="Q209" i="31" s="1"/>
  <c r="X81" i="27"/>
  <c r="U81" i="27" s="1"/>
  <c r="U23" i="27" s="1"/>
  <c r="N72" i="15"/>
  <c r="T137" i="27"/>
  <c r="T68" i="27" s="1"/>
  <c r="Q213" i="31" s="1"/>
  <c r="X91" i="27"/>
  <c r="X105" i="27"/>
  <c r="U105" i="27" s="1"/>
  <c r="U39" i="27" s="1"/>
  <c r="T91" i="27"/>
  <c r="T10" i="27" s="1"/>
  <c r="Q147" i="31" s="1"/>
  <c r="N51" i="15"/>
  <c r="N22" i="15"/>
  <c r="N17" i="15"/>
  <c r="G32" i="31"/>
  <c r="T11" i="30"/>
  <c r="T12" i="30"/>
  <c r="Y42" i="15"/>
  <c r="Q4" i="30"/>
  <c r="Q7" i="30"/>
  <c r="P2" i="30"/>
  <c r="Q3" i="30"/>
  <c r="Q8" i="30"/>
  <c r="Q2" i="30"/>
  <c r="Y8" i="30"/>
  <c r="Q5" i="30"/>
  <c r="Q6" i="30"/>
  <c r="O208" i="31"/>
  <c r="H17" i="27"/>
  <c r="O133" i="31" s="1"/>
  <c r="O157" i="31"/>
  <c r="H9" i="27"/>
  <c r="O125" i="31" s="1"/>
  <c r="O172" i="31"/>
  <c r="H11" i="27"/>
  <c r="O127" i="31" s="1"/>
  <c r="O177" i="31"/>
  <c r="H12" i="27"/>
  <c r="O128" i="31" s="1"/>
  <c r="O182" i="31"/>
  <c r="H13" i="27"/>
  <c r="O129" i="31" s="1"/>
  <c r="O195" i="31"/>
  <c r="H14" i="27"/>
  <c r="O130" i="31" s="1"/>
  <c r="O214" i="31"/>
  <c r="H18" i="27"/>
  <c r="O134" i="31" s="1"/>
  <c r="O200" i="31"/>
  <c r="H15" i="27"/>
  <c r="O131" i="31" s="1"/>
  <c r="H16" i="27"/>
  <c r="O132" i="31" s="1"/>
  <c r="O205" i="31"/>
  <c r="I97" i="31"/>
  <c r="I189" i="31"/>
  <c r="I241" i="31"/>
  <c r="G107" i="31"/>
  <c r="U11" i="30"/>
  <c r="V11" i="30" s="1"/>
  <c r="T29" i="31"/>
  <c r="Y44" i="15"/>
  <c r="Y45" i="15"/>
  <c r="Y43" i="15"/>
  <c r="M8" i="15"/>
  <c r="T22" i="27" l="1"/>
  <c r="Q159" i="31" s="1"/>
  <c r="T20" i="27"/>
  <c r="I9" i="27" s="1"/>
  <c r="Q125" i="31" s="1"/>
  <c r="U84" i="27"/>
  <c r="U9" i="27" s="1"/>
  <c r="S146" i="31" s="1"/>
  <c r="U91" i="27"/>
  <c r="U10" i="27" s="1"/>
  <c r="S147" i="31" s="1"/>
  <c r="U89" i="27"/>
  <c r="U27" i="27" s="1"/>
  <c r="S164" i="31" s="1"/>
  <c r="X98" i="27"/>
  <c r="X79" i="27"/>
  <c r="U79" i="27" s="1"/>
  <c r="U15" i="27" s="1"/>
  <c r="S152" i="31" s="1"/>
  <c r="X90" i="27"/>
  <c r="U90" i="27" s="1"/>
  <c r="U30" i="27" s="1"/>
  <c r="S167" i="31" s="1"/>
  <c r="X138" i="27"/>
  <c r="X126" i="27"/>
  <c r="X128" i="27"/>
  <c r="X110" i="27"/>
  <c r="X120" i="27"/>
  <c r="X117" i="27"/>
  <c r="X99" i="27"/>
  <c r="X77" i="27"/>
  <c r="U77" i="27" s="1"/>
  <c r="U8" i="27" s="1"/>
  <c r="S145" i="31" s="1"/>
  <c r="X115" i="27"/>
  <c r="I15" i="27"/>
  <c r="Q131" i="31" s="1"/>
  <c r="X132" i="27"/>
  <c r="X122" i="27"/>
  <c r="X112" i="27"/>
  <c r="U112" i="27" s="1"/>
  <c r="U37" i="27" s="1"/>
  <c r="S174" i="31" s="1"/>
  <c r="X85" i="27"/>
  <c r="X129" i="27"/>
  <c r="X121" i="27"/>
  <c r="U121" i="27" s="1"/>
  <c r="U58" i="27" s="1"/>
  <c r="S203" i="31" s="1"/>
  <c r="S206" i="31"/>
  <c r="S204" i="31"/>
  <c r="S196" i="31"/>
  <c r="S157" i="31"/>
  <c r="X97" i="27"/>
  <c r="X118" i="27"/>
  <c r="S176" i="31"/>
  <c r="S162" i="31"/>
  <c r="X101" i="27"/>
  <c r="S153" i="31"/>
  <c r="S160" i="31"/>
  <c r="S150" i="31"/>
  <c r="X119" i="27"/>
  <c r="X111" i="27"/>
  <c r="X136" i="27"/>
  <c r="X108" i="27"/>
  <c r="I8" i="27"/>
  <c r="Q124" i="31" s="1"/>
  <c r="X113" i="27"/>
  <c r="X83" i="27"/>
  <c r="I16" i="27"/>
  <c r="Q132" i="31" s="1"/>
  <c r="X107" i="27"/>
  <c r="X88" i="27"/>
  <c r="U88" i="27" s="1"/>
  <c r="U24" i="27" s="1"/>
  <c r="X78" i="27"/>
  <c r="X114" i="27"/>
  <c r="X102" i="27"/>
  <c r="X100" i="27"/>
  <c r="U100" i="27" s="1"/>
  <c r="U34" i="27" s="1"/>
  <c r="I12" i="27"/>
  <c r="Q128" i="31" s="1"/>
  <c r="Q168" i="31"/>
  <c r="X104" i="27"/>
  <c r="X109" i="27"/>
  <c r="Q182" i="31"/>
  <c r="X103" i="27"/>
  <c r="U103" i="27" s="1"/>
  <c r="U32" i="27" s="1"/>
  <c r="I17" i="27"/>
  <c r="Q133" i="31" s="1"/>
  <c r="Q208" i="31"/>
  <c r="X82" i="27"/>
  <c r="U82" i="27" s="1"/>
  <c r="U26" i="27" s="1"/>
  <c r="X127" i="27"/>
  <c r="U127" i="27" s="1"/>
  <c r="U52" i="27" s="1"/>
  <c r="X130" i="27"/>
  <c r="U130" i="27" s="1"/>
  <c r="U63" i="27" s="1"/>
  <c r="J17" i="27" s="1"/>
  <c r="X87" i="27"/>
  <c r="U87" i="27" s="1"/>
  <c r="U19" i="27" s="1"/>
  <c r="S200" i="31"/>
  <c r="S131" i="31"/>
  <c r="X80" i="27"/>
  <c r="U80" i="27" s="1"/>
  <c r="U18" i="27" s="1"/>
  <c r="X116" i="27"/>
  <c r="U116" i="27" s="1"/>
  <c r="U53" i="27" s="1"/>
  <c r="X131" i="27"/>
  <c r="U131" i="27" s="1"/>
  <c r="U65" i="27" s="1"/>
  <c r="X134" i="27"/>
  <c r="U134" i="27" s="1"/>
  <c r="U64" i="27" s="1"/>
  <c r="X96" i="27"/>
  <c r="U96" i="27" s="1"/>
  <c r="U28" i="27" s="1"/>
  <c r="X106" i="27"/>
  <c r="U106" i="27" s="1"/>
  <c r="U43" i="27" s="1"/>
  <c r="X135" i="27"/>
  <c r="U135" i="27" s="1"/>
  <c r="U66" i="27" s="1"/>
  <c r="X93" i="27"/>
  <c r="U93" i="27" s="1"/>
  <c r="U17" i="27" s="1"/>
  <c r="X137" i="27"/>
  <c r="U137" i="27" s="1"/>
  <c r="U68" i="27" s="1"/>
  <c r="B62" i="31"/>
  <c r="B66" i="31"/>
  <c r="Q9" i="30"/>
  <c r="Q14" i="30" s="1"/>
  <c r="G109" i="31"/>
  <c r="B63" i="31"/>
  <c r="A61" i="31"/>
  <c r="B65" i="31"/>
  <c r="B64" i="31"/>
  <c r="Q157" i="31" l="1"/>
  <c r="U104" i="27"/>
  <c r="U35" i="27" s="1"/>
  <c r="J11" i="27" s="1"/>
  <c r="S127" i="31" s="1"/>
  <c r="U107" i="27"/>
  <c r="U33" i="27" s="1"/>
  <c r="S170" i="31" s="1"/>
  <c r="U119" i="27"/>
  <c r="U50" i="27" s="1"/>
  <c r="J14" i="27" s="1"/>
  <c r="S130" i="31" s="1"/>
  <c r="U115" i="27"/>
  <c r="U49" i="27" s="1"/>
  <c r="S194" i="31" s="1"/>
  <c r="U128" i="27"/>
  <c r="U56" i="27" s="1"/>
  <c r="S201" i="31" s="1"/>
  <c r="U118" i="27"/>
  <c r="U46" i="27" s="1"/>
  <c r="S183" i="31" s="1"/>
  <c r="U126" i="27"/>
  <c r="U62" i="27" s="1"/>
  <c r="S207" i="31" s="1"/>
  <c r="U83" i="27"/>
  <c r="U29" i="27" s="1"/>
  <c r="S166" i="31" s="1"/>
  <c r="U97" i="27"/>
  <c r="U14" i="27" s="1"/>
  <c r="S151" i="31" s="1"/>
  <c r="U129" i="27"/>
  <c r="U60" i="27" s="1"/>
  <c r="J16" i="27" s="1"/>
  <c r="S132" i="31" s="1"/>
  <c r="U138" i="27"/>
  <c r="U69" i="27" s="1"/>
  <c r="J18" i="27" s="1"/>
  <c r="S134" i="31" s="1"/>
  <c r="U102" i="27"/>
  <c r="U22" i="27" s="1"/>
  <c r="S159" i="31" s="1"/>
  <c r="U114" i="27"/>
  <c r="U45" i="27" s="1"/>
  <c r="J13" i="27" s="1"/>
  <c r="S129" i="31" s="1"/>
  <c r="U117" i="27"/>
  <c r="U42" i="27" s="1"/>
  <c r="S179" i="31" s="1"/>
  <c r="U113" i="27"/>
  <c r="U41" i="27" s="1"/>
  <c r="S178" i="31" s="1"/>
  <c r="U85" i="27"/>
  <c r="U12" i="27" s="1"/>
  <c r="S149" i="31" s="1"/>
  <c r="U108" i="27"/>
  <c r="U36" i="27" s="1"/>
  <c r="S173" i="31" s="1"/>
  <c r="U98" i="27"/>
  <c r="U21" i="27" s="1"/>
  <c r="S158" i="31" s="1"/>
  <c r="U78" i="27"/>
  <c r="U11" i="27" s="1"/>
  <c r="S148" i="31" s="1"/>
  <c r="U136" i="27"/>
  <c r="U67" i="27" s="1"/>
  <c r="S212" i="31" s="1"/>
  <c r="U101" i="27"/>
  <c r="U38" i="27" s="1"/>
  <c r="S175" i="31" s="1"/>
  <c r="U132" i="27"/>
  <c r="U57" i="27" s="1"/>
  <c r="S202" i="31" s="1"/>
  <c r="U120" i="27"/>
  <c r="U54" i="27" s="1"/>
  <c r="S199" i="31" s="1"/>
  <c r="U99" i="27"/>
  <c r="U31" i="27" s="1"/>
  <c r="J10" i="27" s="1"/>
  <c r="S126" i="31" s="1"/>
  <c r="U122" i="27"/>
  <c r="U47" i="27" s="1"/>
  <c r="S184" i="31" s="1"/>
  <c r="U109" i="27"/>
  <c r="U40" i="27" s="1"/>
  <c r="J12" i="27" s="1"/>
  <c r="S128" i="31" s="1"/>
  <c r="U111" i="27"/>
  <c r="U48" i="27" s="1"/>
  <c r="S193" i="31" s="1"/>
  <c r="U110" i="27"/>
  <c r="U44" i="27" s="1"/>
  <c r="S181" i="31" s="1"/>
  <c r="S125" i="31"/>
  <c r="S213" i="31"/>
  <c r="S165" i="31"/>
  <c r="S155" i="31"/>
  <c r="S124" i="31"/>
  <c r="S169" i="31"/>
  <c r="S154" i="31"/>
  <c r="S209" i="31"/>
  <c r="S197" i="31"/>
  <c r="S211" i="31"/>
  <c r="S210" i="31"/>
  <c r="S156" i="31"/>
  <c r="S163" i="31"/>
  <c r="S161" i="31"/>
  <c r="S180" i="31"/>
  <c r="S198" i="31"/>
  <c r="S133" i="31"/>
  <c r="S171" i="31"/>
  <c r="S195" i="31" l="1"/>
  <c r="S182" i="31"/>
  <c r="S168" i="31"/>
  <c r="S177" i="31"/>
  <c r="S205" i="31"/>
  <c r="S214" i="31"/>
  <c r="S172" i="31"/>
  <c r="S208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<sst xmlns="http://schemas.openxmlformats.org/spreadsheetml/2006/main" count="652" uniqueCount="398">
  <si>
    <t>(mGy/nC)</t>
  </si>
  <si>
    <t>Client</t>
  </si>
  <si>
    <t>mGy/nC</t>
  </si>
  <si>
    <t>Quality Manual ID</t>
  </si>
  <si>
    <t>History</t>
  </si>
  <si>
    <t>Date</t>
  </si>
  <si>
    <t>Author</t>
  </si>
  <si>
    <t>Version</t>
  </si>
  <si>
    <t>Change</t>
  </si>
  <si>
    <t>DJB</t>
  </si>
  <si>
    <t>Client Chamber</t>
  </si>
  <si>
    <t>Serial Number</t>
  </si>
  <si>
    <t>Beam ID</t>
  </si>
  <si>
    <t>kVp</t>
  </si>
  <si>
    <t>CF</t>
  </si>
  <si>
    <t>(%)</t>
  </si>
  <si>
    <t>(keV)</t>
  </si>
  <si>
    <t>Diff QA ch</t>
  </si>
  <si>
    <t>Graphs:</t>
  </si>
  <si>
    <t>Chamber</t>
  </si>
  <si>
    <t>mGy/s</t>
  </si>
  <si>
    <t>Current calibration</t>
  </si>
  <si>
    <t>Previous calibration</t>
  </si>
  <si>
    <t>Serial number</t>
  </si>
  <si>
    <t>Set</t>
  </si>
  <si>
    <t>new - old</t>
  </si>
  <si>
    <t>None</t>
  </si>
  <si>
    <t>%</t>
  </si>
  <si>
    <t>Ymin</t>
  </si>
  <si>
    <t>Ymax</t>
  </si>
  <si>
    <t>Average</t>
  </si>
  <si>
    <t>NXJ40</t>
  </si>
  <si>
    <t>NXA40</t>
  </si>
  <si>
    <t>NXJ50</t>
  </si>
  <si>
    <t>NXA50</t>
  </si>
  <si>
    <t>NXB50</t>
  </si>
  <si>
    <t>NXJ60</t>
  </si>
  <si>
    <t>NXA60</t>
  </si>
  <si>
    <t>NXJ70</t>
  </si>
  <si>
    <t>NXA70</t>
  </si>
  <si>
    <t>NXB70</t>
  </si>
  <si>
    <t>NXC70</t>
  </si>
  <si>
    <t>NXJ80</t>
  </si>
  <si>
    <t>NXA80</t>
  </si>
  <si>
    <t>NXJ90</t>
  </si>
  <si>
    <t>NXA90</t>
  </si>
  <si>
    <t>NXJ100</t>
  </si>
  <si>
    <t>NXB100</t>
  </si>
  <si>
    <t>NXC100</t>
  </si>
  <si>
    <t>NXD100</t>
  </si>
  <si>
    <t>NXB120</t>
  </si>
  <si>
    <t>NXC120</t>
  </si>
  <si>
    <t>NXD120</t>
  </si>
  <si>
    <t>NXE120</t>
  </si>
  <si>
    <t>NXB140</t>
  </si>
  <si>
    <t>NXC140</t>
  </si>
  <si>
    <t>NXD140</t>
  </si>
  <si>
    <t>NXE140</t>
  </si>
  <si>
    <t>NXF140</t>
  </si>
  <si>
    <t>NXC150</t>
  </si>
  <si>
    <t>NXD150</t>
  </si>
  <si>
    <t>NXE150</t>
  </si>
  <si>
    <t>NXF150</t>
  </si>
  <si>
    <t>NXG150</t>
  </si>
  <si>
    <t>NXD200</t>
  </si>
  <si>
    <t>NXE200</t>
  </si>
  <si>
    <t>NXF200</t>
  </si>
  <si>
    <t>NXG200</t>
  </si>
  <si>
    <t>NXH200</t>
  </si>
  <si>
    <t>NXE250</t>
  </si>
  <si>
    <t>NXF250</t>
  </si>
  <si>
    <t>NXG250</t>
  </si>
  <si>
    <t>NXH250</t>
  </si>
  <si>
    <t>NXI250</t>
  </si>
  <si>
    <t>NXF280</t>
  </si>
  <si>
    <t>NXG280</t>
  </si>
  <si>
    <t>NXH280</t>
  </si>
  <si>
    <t>NXI280</t>
  </si>
  <si>
    <t>NXG300</t>
  </si>
  <si>
    <t>NXH300</t>
  </si>
  <si>
    <t>NXI300</t>
  </si>
  <si>
    <t>NXH320</t>
  </si>
  <si>
    <t>NXI320</t>
  </si>
  <si>
    <t>(Cu)</t>
  </si>
  <si>
    <t>E_eff</t>
  </si>
  <si>
    <t>Beam code</t>
  </si>
  <si>
    <t>Tube voltage</t>
  </si>
  <si>
    <t>Added filter (mm Al)</t>
  </si>
  <si>
    <t>Added filter (mm Cu)</t>
  </si>
  <si>
    <t>Nominal effective energy (keV)</t>
  </si>
  <si>
    <t>Air kerma rate (mGy/s)</t>
  </si>
  <si>
    <t>U (%)</t>
  </si>
  <si>
    <t>Stdev</t>
  </si>
  <si>
    <t>Inherent</t>
  </si>
  <si>
    <t>HVL (mm Al)</t>
  </si>
  <si>
    <t>HVL (mm Cu)</t>
  </si>
  <si>
    <r>
      <rPr>
        <b/>
        <i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K</t>
    </r>
    <r>
      <rPr>
        <b/>
        <sz val="10"/>
        <rFont val="Arial"/>
        <family val="2"/>
      </rPr>
      <t xml:space="preserve"> (mGy/nC)</t>
    </r>
  </si>
  <si>
    <t>Tables and graphs for report</t>
  </si>
  <si>
    <t>Table 2: Sorted by kVp</t>
  </si>
  <si>
    <t>NXH300*</t>
  </si>
  <si>
    <t>NXH280*</t>
  </si>
  <si>
    <t>NXG250*</t>
  </si>
  <si>
    <t>Table 3: Sorted by beam code</t>
  </si>
  <si>
    <t>Table 1: PTB Beams only</t>
  </si>
  <si>
    <r>
      <rPr>
        <b/>
        <i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K</t>
    </r>
    <r>
      <rPr>
        <b/>
        <sz val="10"/>
        <rFont val="Arial"/>
        <family val="2"/>
      </rPr>
      <t xml:space="preserve"> (mGy/nC) [a]</t>
    </r>
  </si>
  <si>
    <t>Nominal effective energy (keV) [b]</t>
  </si>
  <si>
    <t>MEX</t>
  </si>
  <si>
    <t>QA Ratio Checks: MEX Chamber Calibration</t>
  </si>
  <si>
    <t>Selected description</t>
  </si>
  <si>
    <t>Common data</t>
  </si>
  <si>
    <t>Offset:</t>
  </si>
  <si>
    <t>CAL Number</t>
  </si>
  <si>
    <t>Don't include report number eg CAL00001 not CAL00001/03</t>
  </si>
  <si>
    <t>NE 2561</t>
  </si>
  <si>
    <t>NE 2611A</t>
  </si>
  <si>
    <t>Name of client</t>
  </si>
  <si>
    <t>NE 2571</t>
  </si>
  <si>
    <t>Address Line 1</t>
  </si>
  <si>
    <t>Address Line 2</t>
  </si>
  <si>
    <t>PTW 30013</t>
  </si>
  <si>
    <t>Address Line 3</t>
  </si>
  <si>
    <t>IBA FC65-G</t>
  </si>
  <si>
    <t>MEX Report is number</t>
  </si>
  <si>
    <t>Report number eg 3 means report CAL00001/03</t>
  </si>
  <si>
    <t>Chamber description – NE 2571</t>
  </si>
  <si>
    <t>The nominal cavity volume is 0.6 cc (length 24 mm and radius 3.2 mm).</t>
  </si>
  <si>
    <t>Just the number (stored as text)</t>
  </si>
  <si>
    <t>The central electrode is aluminium.</t>
  </si>
  <si>
    <t>Charge collected</t>
  </si>
  <si>
    <t>The chamber is not waterproof.</t>
  </si>
  <si>
    <t>Accessories supplied</t>
  </si>
  <si>
    <t>Reference point</t>
  </si>
  <si>
    <t>Report date</t>
  </si>
  <si>
    <t>Period of tests</t>
  </si>
  <si>
    <t>Chamber description – PTW 30013</t>
  </si>
  <si>
    <t>Who did the measurements</t>
  </si>
  <si>
    <t>Firstname Lastname</t>
  </si>
  <si>
    <t>Who wrote the report</t>
  </si>
  <si>
    <t>Who is going to sign</t>
  </si>
  <si>
    <t>619 Lower Plenty Road,  Yallambie,  Victoria 3085,  Australia</t>
  </si>
  <si>
    <r>
      <t>Tel:</t>
    </r>
    <r>
      <rPr>
        <sz val="10"/>
        <color indexed="8"/>
        <rFont val="Times New Roman"/>
        <family val="1"/>
      </rPr>
      <t xml:space="preserve"> +613 9433 2211    </t>
    </r>
    <r>
      <rPr>
        <b/>
        <sz val="10"/>
        <color indexed="8"/>
        <rFont val="Times New Roman"/>
        <family val="1"/>
      </rPr>
      <t>Fax:</t>
    </r>
    <r>
      <rPr>
        <sz val="10"/>
        <color indexed="8"/>
        <rFont val="Times New Roman"/>
        <family val="1"/>
      </rPr>
      <t xml:space="preserve"> +613 9432 1835</t>
    </r>
  </si>
  <si>
    <t>CALIBRATION REPORT</t>
  </si>
  <si>
    <t>Direct inquiries to</t>
  </si>
  <si>
    <t>Chris Oliver</t>
  </si>
  <si>
    <r>
      <t>Tel:</t>
    </r>
    <r>
      <rPr>
        <sz val="12"/>
        <color indexed="8"/>
        <rFont val="Times New Roman"/>
        <family val="1"/>
      </rPr>
      <t xml:space="preserve"> (03) 9433 2333</t>
    </r>
  </si>
  <si>
    <t>Signed:</t>
  </si>
  <si>
    <t>(Authorised Signatory)</t>
  </si>
  <si>
    <t>Date:</t>
  </si>
  <si>
    <t>per C-M Larsson, CEO of ARPANSA</t>
  </si>
  <si>
    <t>This certificate is consistent with the capabilities that are</t>
  </si>
  <si>
    <t xml:space="preserve"> included in Appendix C of the MRA drawn up by the</t>
  </si>
  <si>
    <t xml:space="preserve"> CIPM. Under the MRA, all participating institutes </t>
  </si>
  <si>
    <t xml:space="preserve"> The results of the tests, calibrations and/or </t>
  </si>
  <si>
    <t xml:space="preserve">recognize the validity of each other’s calibration and </t>
  </si>
  <si>
    <t xml:space="preserve">measurements included in this document are </t>
  </si>
  <si>
    <t>measurement certificates for the quantities, ranges and</t>
  </si>
  <si>
    <t>traceable to Australian/national standards</t>
  </si>
  <si>
    <t xml:space="preserve"> measurement uncertainties specified in Appendix C (for </t>
  </si>
  <si>
    <t>details see www.bipm.org).</t>
  </si>
  <si>
    <t>Checked:</t>
  </si>
  <si>
    <t>GENERAL COMMENTS</t>
  </si>
  <si>
    <t>–</t>
  </si>
  <si>
    <t>Accessories Supplied</t>
  </si>
  <si>
    <t>Preliminary Inspection</t>
  </si>
  <si>
    <t>Calibration Coefficient</t>
  </si>
  <si>
    <t>The Gulmay Comet X-ray generator is constant potential and the X-ray tube has a tungsten target.</t>
  </si>
  <si>
    <t xml:space="preserve">Recombination Correction Measurement </t>
  </si>
  <si>
    <t>Polarity Correction Measurement</t>
  </si>
  <si>
    <t>References</t>
  </si>
  <si>
    <t>[1]</t>
  </si>
  <si>
    <r>
      <t xml:space="preserve">AAPM protocol for 40–300 kV x-ray beam dosimetry in radiotherapy and radiobiology, C.-M. Ma, Chair, C. W. Coffey, L. A. DeWerd, C. Liu, R. Nath, S. M. Seltzer, J. P. Seuntjens, </t>
    </r>
    <r>
      <rPr>
        <i/>
        <sz val="12"/>
        <color indexed="8"/>
        <rFont val="Times New Roman"/>
        <family val="1"/>
      </rPr>
      <t>Med. Phys</t>
    </r>
    <r>
      <rPr>
        <sz val="12"/>
        <color indexed="8"/>
        <rFont val="Times New Roman"/>
        <family val="1"/>
      </rPr>
      <t xml:space="preserve">. </t>
    </r>
    <r>
      <rPr>
        <b/>
        <sz val="12"/>
        <color indexed="8"/>
        <rFont val="Times New Roman"/>
        <family val="1"/>
      </rPr>
      <t>28</t>
    </r>
    <r>
      <rPr>
        <sz val="12"/>
        <color indexed="8"/>
        <rFont val="Times New Roman"/>
        <family val="1"/>
      </rPr>
      <t xml:space="preserve"> (6) 868-893, 2001</t>
    </r>
  </si>
  <si>
    <t>Collected charge polarity</t>
  </si>
  <si>
    <t>Geometry</t>
  </si>
  <si>
    <t>Mark on chamber stem facing the radiation source</t>
  </si>
  <si>
    <t>Chamber stem vertically upwards, cable down</t>
  </si>
  <si>
    <t>Horizontal radiation beam</t>
  </si>
  <si>
    <t xml:space="preserve">Source-detector distance 100 cm </t>
  </si>
  <si>
    <t>Circular beam of diameter 10 cm</t>
  </si>
  <si>
    <t>Build-up</t>
  </si>
  <si>
    <t xml:space="preserve">Build-up cap removed except where stated. Calibrated free in air. </t>
  </si>
  <si>
    <t>Polarity and recombination</t>
  </si>
  <si>
    <t>Corrections not applied</t>
  </si>
  <si>
    <t>Reference conditions</t>
  </si>
  <si>
    <r>
      <t>20</t>
    </r>
    <r>
      <rPr>
        <vertAlign val="superscript"/>
        <sz val="11"/>
        <color indexed="8"/>
        <rFont val="Times New Roman"/>
        <family val="1"/>
      </rPr>
      <t>o</t>
    </r>
    <r>
      <rPr>
        <sz val="11"/>
        <color indexed="8"/>
        <rFont val="Times New Roman"/>
        <family val="1"/>
      </rPr>
      <t>C, 101.325 kPa and 50% humidity</t>
    </r>
  </si>
  <si>
    <t>Measurement date(s)</t>
  </si>
  <si>
    <t>[1] The energy of a monoenergetic beam with the same HVL in mm of Cu</t>
  </si>
  <si>
    <t>[2] The air kerma calibration coefficient</t>
  </si>
  <si>
    <t>…continued p5</t>
  </si>
  <si>
    <t>Thimble chamber</t>
  </si>
  <si>
    <t>Make and model</t>
  </si>
  <si>
    <t>Blank</t>
  </si>
  <si>
    <t>Options:</t>
  </si>
  <si>
    <t>Chamber description – IBA FC65-G</t>
  </si>
  <si>
    <t>The chamber is waterproof.</t>
  </si>
  <si>
    <t>Chamber description – NE 2561</t>
  </si>
  <si>
    <t>Chamber description – NE 2611A</t>
  </si>
  <si>
    <t>List of thimble chambers to choose from (you can add other types in the orange fields)</t>
  </si>
  <si>
    <t>Make and model eg "PTW 23342"</t>
  </si>
  <si>
    <t>Calibration Coefficients for Medium-Energy X-ray (MEX) Qualities in Air</t>
  </si>
  <si>
    <t>Waterproof:</t>
  </si>
  <si>
    <t>Polarity</t>
  </si>
  <si>
    <t>Reduced voltage for recombination</t>
  </si>
  <si>
    <t>CEP</t>
  </si>
  <si>
    <t>Polarity:</t>
  </si>
  <si>
    <t>Opposite polarity</t>
  </si>
  <si>
    <t>Reduced</t>
  </si>
  <si>
    <t>string</t>
  </si>
  <si>
    <t>Co-60 geometry</t>
  </si>
  <si>
    <t>Comments</t>
  </si>
  <si>
    <t>CEN</t>
  </si>
  <si>
    <t>Thimble</t>
  </si>
  <si>
    <t>Thin-window</t>
  </si>
  <si>
    <t>Electron</t>
  </si>
  <si>
    <t>NA</t>
  </si>
  <si>
    <t>PTW 23342</t>
  </si>
  <si>
    <t>PTW 23344</t>
  </si>
  <si>
    <t>Chamber description – PTW 23344</t>
  </si>
  <si>
    <t>Chamber description – PTW 23342</t>
  </si>
  <si>
    <t>The centre of the front window, level with the front face.</t>
  </si>
  <si>
    <t>Notes</t>
  </si>
  <si>
    <t>MEDIUM-ENERGY KILOVOLTAGE X-RAYS</t>
  </si>
  <si>
    <t>Set by polarity of guard electrode</t>
  </si>
  <si>
    <t>Must be same sign as above</t>
  </si>
  <si>
    <t>on guard…</t>
  </si>
  <si>
    <t>Ref point</t>
  </si>
  <si>
    <t>The nominal cavity volume is 0.2 cm^3.</t>
  </si>
  <si>
    <t>The nominal cavity volume is 0.02 cm^3.</t>
  </si>
  <si>
    <t>The nominal cavity volume is 0.65 cc (length 23.1 mm and radius 3.1 mm).</t>
  </si>
  <si>
    <t>The nominal cavity volume is 0.6 cc (length 23 mm and radius 3.1 mm).</t>
  </si>
  <si>
    <t>Sensitivity volume: diameter 3 mm, depth 1 mm.</t>
  </si>
  <si>
    <t>Sensitivity volume: diameter 13 mm, depth 1.5 mm.</t>
  </si>
  <si>
    <t>The front window is polyethylene of thickness 2.76 mg/cm^2 (0.03 mm approx).</t>
  </si>
  <si>
    <t>The chamber is plane-parallel with a thin window for low-energy X-ray dosimetry.</t>
  </si>
  <si>
    <t>Page 6 of 6</t>
  </si>
  <si>
    <t>Page 5 of 6</t>
  </si>
  <si>
    <t>Page 4 of 6</t>
  </si>
  <si>
    <t>Page 3 of 6</t>
  </si>
  <si>
    <t>Page 2 of 6</t>
  </si>
  <si>
    <t>Page 1 of 6</t>
  </si>
  <si>
    <t>"Not previously calibrated at ARPANSA" or give reference eg "April 2010 (ARPANSA reference...)"</t>
  </si>
  <si>
    <t>HVL</t>
  </si>
  <si>
    <t>mm Al</t>
  </si>
  <si>
    <t>mm Cu</t>
  </si>
  <si>
    <t>NK</t>
  </si>
  <si>
    <t>Measured voltage on guard electrode</t>
  </si>
  <si>
    <t>Include the sign, but not the V. Remember the Webline +V setting applies -V to the guard.</t>
  </si>
  <si>
    <t>Tester = Author?</t>
  </si>
  <si>
    <t>Chamber description – 2571</t>
  </si>
  <si>
    <t>In reply please quote:</t>
  </si>
  <si>
    <t>FC65-G</t>
  </si>
  <si>
    <t>A12</t>
  </si>
  <si>
    <t>CC13</t>
  </si>
  <si>
    <t>(for Co-60, MEX and Direct MV)</t>
  </si>
  <si>
    <t>The centre of the front window, on the inside surface.</t>
  </si>
  <si>
    <t>2611A</t>
  </si>
  <si>
    <t>Model only</t>
  </si>
  <si>
    <t>The chamber is plane-parallel and was designed for electron dosimetry.</t>
  </si>
  <si>
    <t>Not measured.</t>
  </si>
  <si>
    <t>Fill out this column! (and all relevant QA sheets)</t>
  </si>
  <si>
    <t>eg "Buildup cap." or "Protective cover." (limit to one line. Include ".")</t>
  </si>
  <si>
    <t>Force address to be 3 lines or less (drop a line if necessary)</t>
  </si>
  <si>
    <t>TRIM/HPE-RM reference</t>
  </si>
  <si>
    <t>Other</t>
  </si>
  <si>
    <t>The nominal cavity volume is 0.33 cc (length 9.2 mm and radius 3.7 mm).</t>
  </si>
  <si>
    <t>The central electrode is hollow aluminium.</t>
  </si>
  <si>
    <t>Delrin</t>
  </si>
  <si>
    <t>PMMA</t>
  </si>
  <si>
    <t>TELETHERAPY CALIBRATION QA RATIO CHECKS AND MEASUREMENT REPORTS</t>
  </si>
  <si>
    <t>The front window is graphite coated acrylic of thickness 118 mg/cm^2 (~1 mm).</t>
  </si>
  <si>
    <t>Chamber description –  Advanced Markus</t>
  </si>
  <si>
    <t>The chamber is waterproof with the 0.87 mm thick cap on.</t>
  </si>
  <si>
    <t>The nominal cavity volume is 0.35 cc. Plate separation 2 mm.</t>
  </si>
  <si>
    <t>The nominal cavity volume is 0.02 cc. Plate separation 1 mm.</t>
  </si>
  <si>
    <t>The collecting electrode is 5 mm in diameter.</t>
  </si>
  <si>
    <t>The front window is graphited polyethylene foil, thickness 102 mg/cm^2 (cap is 0.9 mm).</t>
  </si>
  <si>
    <t>PTW 30012</t>
  </si>
  <si>
    <t>Exradin A12</t>
  </si>
  <si>
    <t>IBA CC13</t>
  </si>
  <si>
    <t>Chamber description – PTW 30012</t>
  </si>
  <si>
    <t>The nominal cavity volume is 0.6 cc (length 23 mm and radius 3.05 mm).</t>
  </si>
  <si>
    <t>Chamber description – Exradin A12</t>
  </si>
  <si>
    <t>The nominal cavity volume is 0.64 cc (length 24.2 mm and radius 3.05 mm).</t>
  </si>
  <si>
    <t>The central electrode is C552 (air-equivalent) plastic.</t>
  </si>
  <si>
    <t>The build-up cap is C552 (air-equivalent) plastic.</t>
  </si>
  <si>
    <t>C552 (air-equivalent) plastic</t>
  </si>
  <si>
    <t>Chamber description – IBA CC13</t>
  </si>
  <si>
    <t>The nominal cavity volume is 0.13 cc (length 5.8 mm and radius 3.0 mm).</t>
  </si>
  <si>
    <t>The chamber does not have a build-up cap.</t>
  </si>
  <si>
    <t>The calibration coefficients for the chamber for each X-ray beam quality from the Gulmay Comet X-ray generator were determined by comparison with the ARPANSA Medium Energy Free-Air Chamber, which is the Australian primary standard of air kerma for medium energy X-rays.</t>
  </si>
  <si>
    <t xml:space="preserve"> - Avg NK</t>
  </si>
  <si>
    <t>QA chamber serial</t>
  </si>
  <si>
    <t>NXK40</t>
  </si>
  <si>
    <t>NXK50</t>
  </si>
  <si>
    <t>NXK60</t>
  </si>
  <si>
    <t>NXK70</t>
  </si>
  <si>
    <t>NXK80</t>
  </si>
  <si>
    <t>NXK90</t>
  </si>
  <si>
    <t>NXK100</t>
  </si>
  <si>
    <t>Air Kerma Calibration Certificate - Medium-Energy X-rays</t>
  </si>
  <si>
    <t>Duncan Butler</t>
  </si>
  <si>
    <t>The collecting electrode is graphite coated acrylic of diameter 15 mm.</t>
  </si>
  <si>
    <t>Accredited for compliance with ISO/IEC 17025 - Calibration.</t>
  </si>
  <si>
    <t>A1SL</t>
  </si>
  <si>
    <t>Chamber description – Exradin A19</t>
  </si>
  <si>
    <t>A19</t>
  </si>
  <si>
    <t>Farmer-type with C552 (air-equivalent) plastic walls of nominal thickness 0.5 mm.</t>
  </si>
  <si>
    <t>The nominal cavity volume is 0.62 cc.</t>
  </si>
  <si>
    <t>Chamber description – Exradin A1SL</t>
  </si>
  <si>
    <t>The chamber is thimble type with Shonka Air-equivalent plastic C552 walls of nominal</t>
  </si>
  <si>
    <t>thickness 1.1 mm</t>
  </si>
  <si>
    <t>The nominal cavity volume is 0.053 cm^3.</t>
  </si>
  <si>
    <t>The shell, guard and central electrodes are made of Shonka Air-equivalent plastic C552.</t>
  </si>
  <si>
    <t>The geometrical centre of the cavity, approximately 4 mm from the tip</t>
  </si>
  <si>
    <t>Standard Imaging Exradin A19</t>
  </si>
  <si>
    <t>Standard Imaging Exradin A1SL</t>
  </si>
  <si>
    <t>TRIM ref eg "2016/00444"</t>
  </si>
  <si>
    <t>Advanced Markus</t>
  </si>
  <si>
    <t>Roos</t>
  </si>
  <si>
    <t>Adv Markus</t>
  </si>
  <si>
    <t>PTW 34001 Roos</t>
  </si>
  <si>
    <t>Chamber description – PTW 34001 Roos</t>
  </si>
  <si>
    <t>Information for calibration reports: NB all chambers and electrometers are listed here - scroll right if you need to add new types</t>
  </si>
  <si>
    <t>Primary Standards Dosimetry Laboratory,  Medical Radiation Services</t>
  </si>
  <si>
    <t>E-mail: psdl@arpansa.gov.au    Web: www.arpansa.gov.au</t>
  </si>
  <si>
    <t>The buildup cap is Delrin.</t>
  </si>
  <si>
    <t>The buildup cap is PMMA.</t>
  </si>
  <si>
    <t>The buildup cap is C552 (air-equivalent) plastic.</t>
  </si>
  <si>
    <r>
      <rPr>
        <b/>
        <sz val="12"/>
        <color indexed="8"/>
        <rFont val="Times New Roman"/>
        <family val="1"/>
      </rPr>
      <t xml:space="preserve">Email: </t>
    </r>
    <r>
      <rPr>
        <sz val="12"/>
        <color indexed="8"/>
        <rFont val="Times New Roman"/>
        <family val="1"/>
      </rPr>
      <t>psdl@arpansa.gov.au</t>
    </r>
  </si>
  <si>
    <t>The geometrical centre of the cavity</t>
  </si>
  <si>
    <t>The centre of the front window, on the inside surface</t>
  </si>
  <si>
    <t>Approved signatories only. Usually "Duncan Butler, Director, Primary Standards Dosimetry Laboratory"</t>
  </si>
  <si>
    <t>Report Signer</t>
  </si>
  <si>
    <t>Duncan Butler, Director, Primary Standards Dosimetry Laboratory</t>
  </si>
  <si>
    <t>Chris Oliver, Senior Radiation Scientist, Primary Standards Dosimetry Laboratory</t>
  </si>
  <si>
    <t>NATA Accredited Laboratory Number: 14433</t>
  </si>
  <si>
    <t>kV</t>
  </si>
  <si>
    <t>keV</t>
  </si>
  <si>
    <t xml:space="preserve">Added filter </t>
  </si>
  <si>
    <t xml:space="preserve">Added filter  </t>
  </si>
  <si>
    <t xml:space="preserve">HVL  </t>
  </si>
  <si>
    <t>Nominal effective energy [1]</t>
  </si>
  <si>
    <t>Nominal air kerma rate</t>
  </si>
  <si>
    <t xml:space="preserve">U   </t>
  </si>
  <si>
    <t>* With buildup cap on</t>
  </si>
  <si>
    <r>
      <rPr>
        <i/>
        <sz val="10.5"/>
        <color indexed="8"/>
        <rFont val="Times New Roman"/>
        <family val="1"/>
      </rPr>
      <t>N</t>
    </r>
    <r>
      <rPr>
        <i/>
        <vertAlign val="subscript"/>
        <sz val="10.5"/>
        <color indexed="8"/>
        <rFont val="Times New Roman"/>
        <family val="1"/>
      </rPr>
      <t xml:space="preserve">K </t>
    </r>
    <r>
      <rPr>
        <sz val="10.5"/>
        <color indexed="8"/>
        <rFont val="Times New Roman"/>
        <family val="1"/>
      </rPr>
      <t>[2]</t>
    </r>
  </si>
  <si>
    <t xml:space="preserve">U  </t>
  </si>
  <si>
    <t xml:space="preserve">HVL </t>
  </si>
  <si>
    <r>
      <rPr>
        <i/>
        <sz val="10.5"/>
        <color indexed="8"/>
        <rFont val="Times New Roman"/>
        <family val="1"/>
      </rPr>
      <t>N</t>
    </r>
    <r>
      <rPr>
        <i/>
        <vertAlign val="subscript"/>
        <sz val="10.5"/>
        <color indexed="8"/>
        <rFont val="Times New Roman"/>
        <family val="1"/>
      </rPr>
      <t>K</t>
    </r>
    <r>
      <rPr>
        <sz val="10.5"/>
        <color indexed="8"/>
        <rFont val="Times New Roman"/>
        <family val="1"/>
      </rPr>
      <t xml:space="preserve"> [2]</t>
    </r>
  </si>
  <si>
    <r>
      <rPr>
        <i/>
        <sz val="11"/>
        <color indexed="8"/>
        <rFont val="Times New Roman"/>
        <family val="1"/>
      </rPr>
      <t>N</t>
    </r>
    <r>
      <rPr>
        <i/>
        <vertAlign val="subscript"/>
        <sz val="11"/>
        <color indexed="8"/>
        <rFont val="Times New Roman"/>
        <family val="1"/>
      </rPr>
      <t>K</t>
    </r>
    <r>
      <rPr>
        <sz val="11"/>
        <color indexed="8"/>
        <rFont val="Times New Roman"/>
        <family val="1"/>
      </rPr>
      <t xml:space="preserve"> [2]</t>
    </r>
  </si>
  <si>
    <r>
      <rPr>
        <b/>
        <sz val="12"/>
        <color indexed="8"/>
        <rFont val="Times New Roman"/>
        <family val="1"/>
      </rPr>
      <t>Table 1:</t>
    </r>
    <r>
      <rPr>
        <sz val="12"/>
        <color indexed="8"/>
        <rFont val="Times New Roman"/>
        <family val="1"/>
      </rPr>
      <t xml:space="preserve"> Subset of air kerma calibration coefficients</t>
    </r>
  </si>
  <si>
    <r>
      <rPr>
        <b/>
        <sz val="12"/>
        <color indexed="8"/>
        <rFont val="Times New Roman"/>
        <family val="1"/>
      </rPr>
      <t>Table 2:</t>
    </r>
    <r>
      <rPr>
        <sz val="12"/>
        <color indexed="8"/>
        <rFont val="Times New Roman"/>
        <family val="1"/>
      </rPr>
      <t xml:space="preserve"> Complete set of air kerma calibration coefficients for all MEX beams</t>
    </r>
  </si>
  <si>
    <t>The calibration coefficient is the number by which the charge from the chamber, in nC, must be multiplied to obtain the air kerma [1]. The calibration factor for the electrometer must also be taken into account when measuring the charge from the chamber.</t>
  </si>
  <si>
    <t>Uncertainties (U) are given at a confidence level of approximately 95% (k=2)</t>
  </si>
  <si>
    <t>The ionisation chamber had no obvious damage or faults on receipt.</t>
  </si>
  <si>
    <t>The ionisation chamber was tested in accordance with ARPANSA Standard Operational Procedure ARPANSA-SOP-0816 Version 7.</t>
  </si>
  <si>
    <t>on a therapy ionisation chamber for</t>
  </si>
  <si>
    <t>Ionisation chamber</t>
  </si>
  <si>
    <r>
      <rPr>
        <sz val="10"/>
        <rFont val="Calibri"/>
        <family val="2"/>
      </rPr>
      <t>²</t>
    </r>
    <r>
      <rPr>
        <sz val="8.6"/>
        <rFont val="Arial"/>
        <family val="2"/>
      </rPr>
      <t>.</t>
    </r>
  </si>
  <si>
    <t>Farmer chamber with graphite walls of nominal thickness 0.065 g/cm</t>
  </si>
  <si>
    <t>Farmer-type with graphite walls of nominal thickness 0.073 g/cm</t>
  </si>
  <si>
    <t>Farmer-type chamber with plastic-coated graphite walls of nominal thickness 0.057 g/cm</t>
  </si>
  <si>
    <t>The chamber is cylindrical type with graphite walls of nominal thickness 0.09 g/cm</t>
  </si>
  <si>
    <t>Farmer-type chamber with graphite walls of nominal thickness 0.079 g/cm</t>
  </si>
  <si>
    <t>Farmer-type with C552 (air-equivalent) plastic walls of nominal thickness 0.088 g/cm</t>
  </si>
  <si>
    <t>The chamber is cylindrical type with C552 (air-equivalent) walls of nominal thickness 0.07 g/cm</t>
  </si>
  <si>
    <t>Polarising voltage</t>
  </si>
  <si>
    <t>IBA PPC40</t>
  </si>
  <si>
    <t>Chamber description - IBA PPC40</t>
  </si>
  <si>
    <t>PPC40</t>
  </si>
  <si>
    <t>The nominal cavity volume is 0.4 cc. Plate separation 2 mm.</t>
  </si>
  <si>
    <t>The collecting electrode is graphite coated acrylic of diameter 16 mm.</t>
  </si>
  <si>
    <t>The front window is graphite coated PMMA of 1 mm thickness.</t>
  </si>
  <si>
    <t>IRC-FORM-2100J (ARPANSA-FORM-1856)</t>
  </si>
  <si>
    <t>As a single date eg 11/02/2021</t>
  </si>
  <si>
    <t>Date ranges</t>
  </si>
  <si>
    <t>Loaded from MEX sheet</t>
  </si>
  <si>
    <t>Number of runs</t>
  </si>
  <si>
    <t>Number of dates</t>
  </si>
  <si>
    <t>457</t>
  </si>
  <si>
    <t>1</t>
  </si>
  <si>
    <t>Buildup cap</t>
  </si>
  <si>
    <t>Not previously calibrated at ARPANSA</t>
  </si>
  <si>
    <t>100 Street Name</t>
  </si>
  <si>
    <t>Suburb 2000 NSW</t>
  </si>
  <si>
    <t>Uncertainties (k=1) %</t>
  </si>
  <si>
    <t>Job_ID_01</t>
  </si>
  <si>
    <t>Name_of_Client</t>
  </si>
  <si>
    <t>The yellow cells are filled in by the operator, and used in the report.</t>
  </si>
  <si>
    <t>Version for Melb Uni IT Project</t>
  </si>
  <si>
    <t>Note for Melb Unit IT Project:</t>
  </si>
  <si>
    <t>In our current system, there is no link between the identifiers (Make/Model,Serial) and the measurement data files</t>
  </si>
  <si>
    <t>On this sheet the user copies in the results from the other spreadsheet - for as many repeat measurements</t>
  </si>
  <si>
    <t>as they have done. This sheet needs to show the variation between the runs, allow the user to omit a run,</t>
  </si>
  <si>
    <t>and then average the remaining values for use in the report</t>
  </si>
  <si>
    <t>There is also the graph which allows the user to compare the runs, and compare against a previous measurement (if any) and against another</t>
  </si>
  <si>
    <t>chamber of the same type (called the QA chamber)</t>
  </si>
  <si>
    <t>This sheet moves groups the data differently to create some graphs that are used in the report.</t>
  </si>
  <si>
    <t>There are also some simple calculations (for the uncertainty term)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</si>
</sst>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0.0"/>
    <numFmt numFmtId="175" formatCode="d/m/yyyy;@"/>
    <numFmt numFmtId="177" formatCode="d/m/yy;@"/>
  </numFmts>
  <fonts count="7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vertAlign val="subscript"/>
      <sz val="10"/>
      <name val="Arial"/>
      <family val="2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vertAlign val="superscript"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vertAlign val="subscript"/>
      <sz val="11"/>
      <color indexed="8"/>
      <name val="Times New Roman"/>
      <family val="1"/>
    </font>
    <font>
      <sz val="11"/>
      <name val="Times New Roman"/>
      <family val="1"/>
    </font>
    <font>
      <i/>
      <sz val="12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0"/>
      <name val="MS Sans Serif"/>
      <family val="2"/>
    </font>
    <font>
      <i/>
      <sz val="10.5"/>
      <color indexed="8"/>
      <name val="Times New Roman"/>
      <family val="1"/>
    </font>
    <font>
      <i/>
      <vertAlign val="subscript"/>
      <sz val="10.5"/>
      <color indexed="8"/>
      <name val="Times New Roman"/>
      <family val="1"/>
    </font>
    <font>
      <sz val="10.5"/>
      <color indexed="8"/>
      <name val="Times New Roman"/>
      <family val="1"/>
    </font>
    <font>
      <sz val="10.5"/>
      <name val="Times New Roman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 tint="-0.2499465926084170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5.5"/>
      <color theme="1"/>
      <name val="Arial"/>
      <family val="2"/>
    </font>
    <font>
      <b/>
      <sz val="5.5"/>
      <color theme="1"/>
      <name val="Arial"/>
      <family val="2"/>
    </font>
    <font>
      <sz val="12"/>
      <color theme="1"/>
      <name val="Calibri"/>
      <family val="2"/>
      <scheme val="minor"/>
    </font>
    <font>
      <b/>
      <sz val="11"/>
      <color theme="1"/>
      <name val="Times New Roman"/>
      <family val="1"/>
    </font>
    <font>
      <i/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i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u/>
      <sz val="14"/>
      <color theme="1"/>
      <name val="Times New Roman"/>
      <family val="1"/>
    </font>
    <font>
      <i/>
      <sz val="8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0"/>
      <color theme="1"/>
      <name val="Times New Roman"/>
      <family val="1"/>
    </font>
    <font>
      <sz val="10.5"/>
      <color theme="1"/>
      <name val="Times New Roman"/>
      <family val="1"/>
    </font>
    <font>
      <b/>
      <sz val="11"/>
      <color theme="4" tint="-0.249977111117893"/>
      <name val="Calibri"/>
      <family val="2"/>
      <scheme val="minor"/>
    </font>
    <font>
      <sz val="10"/>
      <name val="Calibri"/>
      <family val="2"/>
    </font>
    <font>
      <sz val="8.6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3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theme="3"/>
      </bottom>
      <diagonal/>
    </border>
  </borders>
  <cellStyleXfs count="47">
    <xf numFmtId="0" fontId="0" fillId="0" borderId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8" borderId="0" applyNumberFormat="0" applyBorder="0" applyAlignment="0" applyProtection="0"/>
    <xf numFmtId="0" fontId="30" fillId="29" borderId="0" applyNumberFormat="0" applyBorder="0" applyAlignment="0" applyProtection="0"/>
    <xf numFmtId="0" fontId="31" fillId="30" borderId="0" applyNumberFormat="0" applyBorder="0" applyAlignment="0" applyProtection="0"/>
    <xf numFmtId="0" fontId="32" fillId="31" borderId="17" applyNumberFormat="0" applyAlignment="0" applyProtection="0"/>
    <xf numFmtId="0" fontId="33" fillId="32" borderId="18" applyNumberFormat="0" applyAlignment="0" applyProtection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6" fillId="0" borderId="19" applyNumberFormat="0" applyFill="0" applyAlignment="0" applyProtection="0"/>
    <xf numFmtId="0" fontId="37" fillId="0" borderId="20" applyNumberFormat="0" applyFill="0" applyAlignment="0" applyProtection="0"/>
    <xf numFmtId="0" fontId="38" fillId="0" borderId="21" applyNumberFormat="0" applyFill="0" applyAlignment="0" applyProtection="0"/>
    <xf numFmtId="0" fontId="38" fillId="0" borderId="0" applyNumberFormat="0" applyFill="0" applyBorder="0" applyAlignment="0" applyProtection="0"/>
    <xf numFmtId="0" fontId="39" fillId="34" borderId="17" applyNumberFormat="0" applyAlignment="0" applyProtection="0"/>
    <xf numFmtId="0" fontId="40" fillId="0" borderId="22" applyNumberFormat="0" applyFill="0" applyAlignment="0" applyProtection="0"/>
    <xf numFmtId="0" fontId="41" fillId="35" borderId="0" applyNumberFormat="0" applyBorder="0" applyAlignment="0" applyProtection="0"/>
    <xf numFmtId="0" fontId="5" fillId="0" borderId="0"/>
    <xf numFmtId="0" fontId="24" fillId="0" borderId="0"/>
    <xf numFmtId="0" fontId="29" fillId="0" borderId="0"/>
    <xf numFmtId="0" fontId="5" fillId="0" borderId="0"/>
    <xf numFmtId="0" fontId="5" fillId="0" borderId="0"/>
    <xf numFmtId="0" fontId="29" fillId="36" borderId="23" applyNumberFormat="0" applyFont="0" applyAlignment="0" applyProtection="0"/>
    <xf numFmtId="0" fontId="42" fillId="31" borderId="24" applyNumberFormat="0" applyAlignment="0" applyProtection="0"/>
    <xf numFmtId="0" fontId="43" fillId="0" borderId="0" applyNumberFormat="0" applyFill="0" applyBorder="0" applyAlignment="0" applyProtection="0"/>
    <xf numFmtId="0" fontId="44" fillId="0" borderId="25" applyNumberFormat="0" applyFill="0" applyAlignment="0" applyProtection="0"/>
    <xf numFmtId="0" fontId="46" fillId="0" borderId="0" applyNumberFormat="0" applyFill="0" applyBorder="0" applyAlignment="0" applyProtection="0"/>
  </cellStyleXfs>
  <cellXfs count="41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/>
    <xf numFmtId="0" fontId="3" fillId="0" borderId="0" xfId="0" applyFont="1"/>
    <xf numFmtId="0" fontId="6" fillId="2" borderId="0" xfId="0" applyFont="1" applyFill="1"/>
    <xf numFmtId="15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6" fillId="0" borderId="0" xfId="0" applyFont="1"/>
    <xf numFmtId="0" fontId="7" fillId="2" borderId="0" xfId="0" applyFont="1" applyFill="1" applyProtection="1"/>
    <xf numFmtId="15" fontId="6" fillId="2" borderId="0" xfId="0" applyNumberFormat="1" applyFont="1" applyFill="1" applyAlignment="1">
      <alignment horizontal="left"/>
    </xf>
    <xf numFmtId="0" fontId="8" fillId="2" borderId="0" xfId="0" applyFont="1" applyFill="1"/>
    <xf numFmtId="15" fontId="6" fillId="2" borderId="1" xfId="0" applyNumberFormat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/>
    <xf numFmtId="0" fontId="6" fillId="2" borderId="3" xfId="0" applyFont="1" applyFill="1" applyBorder="1"/>
    <xf numFmtId="15" fontId="8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8" fillId="0" borderId="0" xfId="0" applyFont="1"/>
    <xf numFmtId="0" fontId="6" fillId="2" borderId="0" xfId="0" applyFont="1" applyFill="1" applyAlignment="1">
      <alignment horizontal="center"/>
    </xf>
    <xf numFmtId="0" fontId="0" fillId="2" borderId="0" xfId="0" applyFill="1"/>
    <xf numFmtId="0" fontId="5" fillId="2" borderId="0" xfId="0" applyFont="1" applyFill="1"/>
    <xf numFmtId="0" fontId="3" fillId="2" borderId="0" xfId="0" applyFont="1" applyFill="1"/>
    <xf numFmtId="2" fontId="0" fillId="3" borderId="2" xfId="0" applyNumberFormat="1" applyFill="1" applyBorder="1" applyAlignment="1" applyProtection="1">
      <alignment horizontal="center"/>
      <protection locked="0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3" borderId="2" xfId="0" applyNumberFormat="1" applyFill="1" applyBorder="1" applyAlignment="1" applyProtection="1">
      <alignment horizontal="center"/>
      <protection locked="0"/>
    </xf>
    <xf numFmtId="165" fontId="0" fillId="3" borderId="2" xfId="0" applyNumberFormat="1" applyFill="1" applyBorder="1" applyAlignment="1" applyProtection="1">
      <alignment horizontal="center"/>
      <protection locked="0"/>
    </xf>
    <xf numFmtId="0" fontId="0" fillId="0" borderId="0" xfId="0" applyBorder="1"/>
    <xf numFmtId="0" fontId="5" fillId="0" borderId="6" xfId="0" applyFont="1" applyBorder="1"/>
    <xf numFmtId="0" fontId="0" fillId="0" borderId="6" xfId="0" applyBorder="1"/>
    <xf numFmtId="0" fontId="5" fillId="0" borderId="0" xfId="0" applyFon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5" fillId="0" borderId="11" xfId="0" applyFont="1" applyBorder="1"/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0" xfId="0" applyProtection="1"/>
    <xf numFmtId="0" fontId="3" fillId="0" borderId="0" xfId="0" applyFont="1" applyProtection="1"/>
    <xf numFmtId="0" fontId="5" fillId="0" borderId="0" xfId="0" applyFont="1" applyProtection="1"/>
    <xf numFmtId="0" fontId="0" fillId="0" borderId="0" xfId="0" applyAlignment="1" applyProtection="1">
      <alignment horizontal="center"/>
    </xf>
    <xf numFmtId="0" fontId="5" fillId="3" borderId="2" xfId="0" applyNumberFormat="1" applyFont="1" applyFill="1" applyBorder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3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0" fillId="0" borderId="5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5" fontId="1" fillId="3" borderId="2" xfId="0" applyNumberFormat="1" applyFont="1" applyFill="1" applyBorder="1" applyAlignment="1" applyProtection="1">
      <alignment horizontal="center"/>
      <protection locked="0"/>
    </xf>
    <xf numFmtId="0" fontId="47" fillId="0" borderId="0" xfId="0" applyFont="1"/>
    <xf numFmtId="49" fontId="48" fillId="0" borderId="0" xfId="0" applyNumberFormat="1" applyFont="1"/>
    <xf numFmtId="0" fontId="49" fillId="0" borderId="0" xfId="0" applyNumberFormat="1" applyFont="1"/>
    <xf numFmtId="0" fontId="49" fillId="0" borderId="11" xfId="0" applyNumberFormat="1" applyFont="1" applyBorder="1" applyAlignment="1">
      <alignment horizontal="center"/>
    </xf>
    <xf numFmtId="0" fontId="49" fillId="0" borderId="11" xfId="0" applyNumberFormat="1" applyFont="1" applyBorder="1"/>
    <xf numFmtId="0" fontId="49" fillId="0" borderId="0" xfId="0" applyNumberFormat="1" applyFont="1" applyAlignment="1">
      <alignment horizontal="right"/>
    </xf>
    <xf numFmtId="0" fontId="50" fillId="0" borderId="0" xfId="0" applyNumberFormat="1" applyFont="1" applyAlignment="1">
      <alignment horizontal="right"/>
    </xf>
    <xf numFmtId="0" fontId="49" fillId="0" borderId="0" xfId="0" applyFont="1"/>
    <xf numFmtId="0" fontId="0" fillId="0" borderId="0" xfId="0" applyNumberFormat="1"/>
    <xf numFmtId="0" fontId="51" fillId="0" borderId="0" xfId="0" applyNumberFormat="1" applyFont="1"/>
    <xf numFmtId="0" fontId="50" fillId="0" borderId="0" xfId="0" applyNumberFormat="1" applyFont="1"/>
    <xf numFmtId="49" fontId="50" fillId="0" borderId="0" xfId="0" applyNumberFormat="1" applyFont="1"/>
    <xf numFmtId="0" fontId="50" fillId="0" borderId="10" xfId="0" applyNumberFormat="1" applyFont="1" applyBorder="1"/>
    <xf numFmtId="0" fontId="50" fillId="0" borderId="0" xfId="0" applyNumberFormat="1" applyFont="1" applyBorder="1"/>
    <xf numFmtId="0" fontId="44" fillId="0" borderId="0" xfId="0" applyFont="1"/>
    <xf numFmtId="0" fontId="52" fillId="0" borderId="0" xfId="0" applyFont="1" applyAlignment="1">
      <alignment horizontal="center"/>
    </xf>
    <xf numFmtId="0" fontId="52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2" fillId="0" borderId="0" xfId="0" applyFont="1" applyAlignment="1">
      <alignment horizontal="center" vertical="top"/>
    </xf>
    <xf numFmtId="0" fontId="54" fillId="0" borderId="0" xfId="0" applyFont="1"/>
    <xf numFmtId="0" fontId="50" fillId="0" borderId="0" xfId="0" applyFont="1"/>
    <xf numFmtId="0" fontId="51" fillId="0" borderId="0" xfId="0" applyFont="1"/>
    <xf numFmtId="0" fontId="0" fillId="0" borderId="0" xfId="0" applyAlignment="1">
      <alignment vertical="top"/>
    </xf>
    <xf numFmtId="0" fontId="51" fillId="0" borderId="0" xfId="0" applyFont="1" applyAlignment="1">
      <alignment vertical="center"/>
    </xf>
    <xf numFmtId="0" fontId="50" fillId="0" borderId="0" xfId="0" applyFont="1" applyAlignment="1">
      <alignment vertical="top"/>
    </xf>
    <xf numFmtId="0" fontId="0" fillId="0" borderId="11" xfId="0" applyNumberFormat="1" applyBorder="1"/>
    <xf numFmtId="0" fontId="56" fillId="0" borderId="0" xfId="0" applyFont="1" applyBorder="1"/>
    <xf numFmtId="0" fontId="57" fillId="0" borderId="0" xfId="0" applyFont="1" applyBorder="1"/>
    <xf numFmtId="49" fontId="58" fillId="0" borderId="0" xfId="0" applyNumberFormat="1" applyFont="1" applyBorder="1"/>
    <xf numFmtId="0" fontId="58" fillId="0" borderId="0" xfId="0" applyFont="1" applyBorder="1"/>
    <xf numFmtId="0" fontId="58" fillId="0" borderId="0" xfId="0" applyFont="1" applyBorder="1" applyAlignment="1">
      <alignment horizontal="right"/>
    </xf>
    <xf numFmtId="0" fontId="21" fillId="0" borderId="0" xfId="0" applyFont="1"/>
    <xf numFmtId="0" fontId="59" fillId="0" borderId="1" xfId="0" applyFont="1" applyBorder="1"/>
    <xf numFmtId="49" fontId="48" fillId="0" borderId="4" xfId="0" applyNumberFormat="1" applyFont="1" applyBorder="1"/>
    <xf numFmtId="0" fontId="0" fillId="0" borderId="4" xfId="0" applyBorder="1"/>
    <xf numFmtId="0" fontId="0" fillId="0" borderId="3" xfId="0" applyBorder="1"/>
    <xf numFmtId="0" fontId="5" fillId="0" borderId="15" xfId="0" applyFont="1" applyBorder="1"/>
    <xf numFmtId="0" fontId="0" fillId="0" borderId="0" xfId="0" applyNumberFormat="1" applyAlignment="1">
      <alignment horizontal="left"/>
    </xf>
    <xf numFmtId="0" fontId="0" fillId="0" borderId="5" xfId="0" applyNumberFormat="1" applyBorder="1"/>
    <xf numFmtId="0" fontId="0" fillId="0" borderId="14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0" fillId="0" borderId="10" xfId="0" applyNumberFormat="1" applyBorder="1"/>
    <xf numFmtId="0" fontId="5" fillId="0" borderId="5" xfId="0" applyNumberFormat="1" applyFont="1" applyBorder="1"/>
    <xf numFmtId="0" fontId="5" fillId="0" borderId="0" xfId="0" applyNumberFormat="1" applyFont="1"/>
    <xf numFmtId="0" fontId="5" fillId="0" borderId="11" xfId="0" applyNumberFormat="1" applyFont="1" applyBorder="1"/>
    <xf numFmtId="0" fontId="5" fillId="0" borderId="0" xfId="0" applyNumberFormat="1" applyFont="1" applyBorder="1"/>
    <xf numFmtId="0" fontId="5" fillId="37" borderId="2" xfId="0" applyNumberFormat="1" applyFont="1" applyFill="1" applyBorder="1"/>
    <xf numFmtId="0" fontId="3" fillId="0" borderId="0" xfId="0" applyNumberFormat="1" applyFont="1"/>
    <xf numFmtId="0" fontId="5" fillId="0" borderId="0" xfId="0" applyNumberFormat="1" applyFont="1" applyFill="1" applyBorder="1"/>
    <xf numFmtId="0" fontId="23" fillId="0" borderId="0" xfId="0" applyFont="1" applyAlignment="1">
      <alignment vertical="center"/>
    </xf>
    <xf numFmtId="0" fontId="15" fillId="0" borderId="0" xfId="0" applyNumberFormat="1" applyFont="1" applyAlignment="1">
      <alignment horizontal="center"/>
    </xf>
    <xf numFmtId="0" fontId="49" fillId="0" borderId="0" xfId="0" applyNumberFormat="1" applyFont="1" applyAlignment="1">
      <alignment vertical="top"/>
    </xf>
    <xf numFmtId="0" fontId="49" fillId="0" borderId="0" xfId="0" applyNumberFormat="1" applyFont="1" applyAlignment="1"/>
    <xf numFmtId="0" fontId="49" fillId="0" borderId="0" xfId="0" applyNumberFormat="1" applyFont="1" applyAlignment="1">
      <alignment horizontal="left"/>
    </xf>
    <xf numFmtId="0" fontId="5" fillId="0" borderId="10" xfId="0" applyFont="1" applyBorder="1"/>
    <xf numFmtId="0" fontId="0" fillId="0" borderId="0" xfId="0" applyNumberFormat="1" applyFont="1" applyFill="1" applyBorder="1"/>
    <xf numFmtId="0" fontId="5" fillId="0" borderId="14" xfId="0" applyNumberFormat="1" applyFont="1" applyBorder="1"/>
    <xf numFmtId="0" fontId="5" fillId="0" borderId="10" xfId="0" applyNumberFormat="1" applyFont="1" applyFill="1" applyBorder="1"/>
    <xf numFmtId="0" fontId="45" fillId="0" borderId="0" xfId="0" applyFont="1" applyBorder="1"/>
    <xf numFmtId="0" fontId="0" fillId="0" borderId="0" xfId="0" applyAlignment="1" applyProtection="1">
      <alignment horizontal="left"/>
    </xf>
    <xf numFmtId="0" fontId="0" fillId="0" borderId="0" xfId="0" applyNumberFormat="1" applyAlignment="1">
      <alignment vertical="top"/>
    </xf>
    <xf numFmtId="2" fontId="3" fillId="3" borderId="2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Border="1" applyAlignment="1">
      <alignment horizontal="right"/>
    </xf>
    <xf numFmtId="0" fontId="50" fillId="0" borderId="0" xfId="0" applyFont="1" applyAlignment="1">
      <alignment horizontal="left" vertical="center" wrapText="1"/>
    </xf>
    <xf numFmtId="0" fontId="0" fillId="37" borderId="2" xfId="0" applyNumberFormat="1" applyFill="1" applyBorder="1" applyAlignment="1">
      <alignment horizontal="left"/>
    </xf>
    <xf numFmtId="0" fontId="5" fillId="37" borderId="2" xfId="0" applyNumberFormat="1" applyFont="1" applyFill="1" applyBorder="1" applyAlignment="1">
      <alignment horizontal="left"/>
    </xf>
    <xf numFmtId="49" fontId="50" fillId="0" borderId="0" xfId="0" applyNumberFormat="1" applyFont="1" applyAlignment="1">
      <alignment horizontal="right"/>
    </xf>
    <xf numFmtId="0" fontId="15" fillId="0" borderId="0" xfId="0" applyNumberFormat="1" applyFont="1"/>
    <xf numFmtId="165" fontId="5" fillId="39" borderId="2" xfId="0" applyNumberFormat="1" applyFont="1" applyFill="1" applyBorder="1" applyAlignment="1" applyProtection="1">
      <alignment horizontal="center"/>
    </xf>
    <xf numFmtId="0" fontId="0" fillId="5" borderId="5" xfId="0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165" fontId="3" fillId="5" borderId="2" xfId="0" applyNumberFormat="1" applyFont="1" applyFill="1" applyBorder="1" applyAlignment="1" applyProtection="1">
      <alignment horizontal="center"/>
    </xf>
    <xf numFmtId="165" fontId="0" fillId="5" borderId="2" xfId="0" applyNumberFormat="1" applyFill="1" applyBorder="1" applyAlignment="1" applyProtection="1">
      <alignment horizontal="center"/>
    </xf>
    <xf numFmtId="0" fontId="5" fillId="39" borderId="5" xfId="0" applyFont="1" applyFill="1" applyBorder="1" applyAlignment="1" applyProtection="1">
      <alignment horizontal="center"/>
    </xf>
    <xf numFmtId="0" fontId="0" fillId="0" borderId="0" xfId="0" applyAlignment="1" applyProtection="1"/>
    <xf numFmtId="0" fontId="5" fillId="5" borderId="8" xfId="0" applyFont="1" applyFill="1" applyBorder="1" applyAlignment="1" applyProtection="1">
      <alignment horizontal="center"/>
    </xf>
    <xf numFmtId="0" fontId="0" fillId="5" borderId="8" xfId="0" applyFill="1" applyBorder="1" applyAlignment="1" applyProtection="1">
      <alignment horizontal="center"/>
    </xf>
    <xf numFmtId="0" fontId="5" fillId="5" borderId="14" xfId="0" applyFont="1" applyFill="1" applyBorder="1" applyAlignment="1" applyProtection="1">
      <alignment horizontal="center"/>
    </xf>
    <xf numFmtId="0" fontId="60" fillId="0" borderId="0" xfId="0" applyFont="1"/>
    <xf numFmtId="0" fontId="59" fillId="40" borderId="1" xfId="0" applyFont="1" applyFill="1" applyBorder="1"/>
    <xf numFmtId="49" fontId="48" fillId="40" borderId="4" xfId="0" applyNumberFormat="1" applyFont="1" applyFill="1" applyBorder="1"/>
    <xf numFmtId="0" fontId="0" fillId="40" borderId="4" xfId="0" applyFill="1" applyBorder="1"/>
    <xf numFmtId="0" fontId="0" fillId="40" borderId="3" xfId="0" applyFill="1" applyBorder="1"/>
    <xf numFmtId="0" fontId="5" fillId="38" borderId="5" xfId="0" applyNumberFormat="1" applyFont="1" applyFill="1" applyBorder="1"/>
    <xf numFmtId="0" fontId="0" fillId="38" borderId="11" xfId="0" applyNumberFormat="1" applyFill="1" applyBorder="1"/>
    <xf numFmtId="0" fontId="0" fillId="38" borderId="14" xfId="0" applyNumberFormat="1" applyFill="1" applyBorder="1"/>
    <xf numFmtId="0" fontId="0" fillId="38" borderId="0" xfId="0" applyNumberFormat="1" applyFill="1" applyBorder="1"/>
    <xf numFmtId="0" fontId="0" fillId="38" borderId="8" xfId="0" applyNumberFormat="1" applyFill="1" applyBorder="1"/>
    <xf numFmtId="0" fontId="0" fillId="38" borderId="10" xfId="0" applyNumberFormat="1" applyFill="1" applyBorder="1"/>
    <xf numFmtId="0" fontId="5" fillId="0" borderId="5" xfId="0" applyNumberFormat="1" applyFont="1" applyFill="1" applyBorder="1" applyAlignment="1">
      <alignment horizontal="left"/>
    </xf>
    <xf numFmtId="0" fontId="5" fillId="0" borderId="11" xfId="0" applyNumberFormat="1" applyFont="1" applyFill="1" applyBorder="1"/>
    <xf numFmtId="0" fontId="0" fillId="0" borderId="11" xfId="0" applyNumberFormat="1" applyFill="1" applyBorder="1"/>
    <xf numFmtId="0" fontId="0" fillId="0" borderId="14" xfId="0" applyNumberFormat="1" applyFill="1" applyBorder="1"/>
    <xf numFmtId="0" fontId="0" fillId="0" borderId="0" xfId="0" applyNumberFormat="1" applyFill="1" applyBorder="1"/>
    <xf numFmtId="0" fontId="0" fillId="0" borderId="8" xfId="0" applyNumberFormat="1" applyFill="1" applyBorder="1"/>
    <xf numFmtId="0" fontId="0" fillId="0" borderId="10" xfId="0" applyNumberFormat="1" applyFill="1" applyBorder="1"/>
    <xf numFmtId="49" fontId="48" fillId="0" borderId="10" xfId="0" applyNumberFormat="1" applyFont="1" applyBorder="1"/>
    <xf numFmtId="49" fontId="61" fillId="0" borderId="16" xfId="0" applyNumberFormat="1" applyFont="1" applyBorder="1" applyAlignment="1">
      <alignment horizontal="center"/>
    </xf>
    <xf numFmtId="0" fontId="55" fillId="0" borderId="0" xfId="0" applyNumberFormat="1" applyFont="1" applyAlignment="1"/>
    <xf numFmtId="49" fontId="49" fillId="0" borderId="0" xfId="0" applyNumberFormat="1" applyFont="1" applyAlignment="1"/>
    <xf numFmtId="0" fontId="0" fillId="0" borderId="0" xfId="0" applyFont="1" applyAlignment="1"/>
    <xf numFmtId="0" fontId="58" fillId="0" borderId="26" xfId="0" applyFont="1" applyBorder="1"/>
    <xf numFmtId="0" fontId="57" fillId="0" borderId="26" xfId="0" applyFont="1" applyBorder="1"/>
    <xf numFmtId="49" fontId="58" fillId="0" borderId="26" xfId="0" applyNumberFormat="1" applyFont="1" applyBorder="1"/>
    <xf numFmtId="0" fontId="58" fillId="0" borderId="26" xfId="0" applyFont="1" applyBorder="1" applyAlignment="1">
      <alignment horizontal="right"/>
    </xf>
    <xf numFmtId="0" fontId="5" fillId="0" borderId="5" xfId="0" applyNumberFormat="1" applyFont="1" applyFill="1" applyBorder="1"/>
    <xf numFmtId="0" fontId="23" fillId="0" borderId="0" xfId="0" applyFont="1" applyAlignment="1">
      <alignment vertical="top"/>
    </xf>
    <xf numFmtId="165" fontId="3" fillId="39" borderId="2" xfId="0" applyNumberFormat="1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left"/>
    </xf>
    <xf numFmtId="0" fontId="6" fillId="0" borderId="0" xfId="0" applyFont="1" applyProtection="1"/>
    <xf numFmtId="0" fontId="9" fillId="0" borderId="0" xfId="0" applyFont="1" applyAlignment="1" applyProtection="1">
      <alignment horizontal="left"/>
    </xf>
    <xf numFmtId="49" fontId="3" fillId="5" borderId="2" xfId="0" applyNumberFormat="1" applyFont="1" applyFill="1" applyBorder="1" applyProtection="1"/>
    <xf numFmtId="49" fontId="3" fillId="5" borderId="1" xfId="0" applyNumberFormat="1" applyFont="1" applyFill="1" applyBorder="1" applyAlignment="1" applyProtection="1"/>
    <xf numFmtId="49" fontId="3" fillId="5" borderId="4" xfId="0" applyNumberFormat="1" applyFont="1" applyFill="1" applyBorder="1" applyAlignment="1" applyProtection="1"/>
    <xf numFmtId="0" fontId="3" fillId="5" borderId="4" xfId="0" applyFont="1" applyFill="1" applyBorder="1" applyAlignment="1" applyProtection="1"/>
    <xf numFmtId="0" fontId="3" fillId="5" borderId="3" xfId="0" applyFont="1" applyFill="1" applyBorder="1" applyAlignment="1" applyProtection="1"/>
    <xf numFmtId="0" fontId="0" fillId="5" borderId="1" xfId="0" applyFill="1" applyBorder="1" applyAlignment="1" applyProtection="1">
      <alignment horizontal="centerContinuous"/>
    </xf>
    <xf numFmtId="0" fontId="0" fillId="5" borderId="4" xfId="0" applyFill="1" applyBorder="1" applyAlignment="1" applyProtection="1">
      <alignment horizontal="centerContinuous"/>
    </xf>
    <xf numFmtId="0" fontId="0" fillId="5" borderId="3" xfId="0" applyFill="1" applyBorder="1" applyAlignment="1" applyProtection="1">
      <alignment horizontal="centerContinuous"/>
    </xf>
    <xf numFmtId="0" fontId="0" fillId="4" borderId="1" xfId="0" applyFill="1" applyBorder="1" applyAlignment="1" applyProtection="1">
      <alignment horizontal="centerContinuous"/>
    </xf>
    <xf numFmtId="0" fontId="0" fillId="4" borderId="4" xfId="0" applyFill="1" applyBorder="1" applyAlignment="1" applyProtection="1">
      <alignment horizontal="centerContinuous"/>
    </xf>
    <xf numFmtId="0" fontId="0" fillId="4" borderId="3" xfId="0" applyFill="1" applyBorder="1" applyAlignment="1" applyProtection="1">
      <alignment horizontal="centerContinuous"/>
    </xf>
    <xf numFmtId="0" fontId="3" fillId="5" borderId="5" xfId="0" applyFont="1" applyFill="1" applyBorder="1" applyAlignment="1" applyProtection="1">
      <alignment horizontal="center"/>
    </xf>
    <xf numFmtId="0" fontId="3" fillId="5" borderId="14" xfId="0" applyFont="1" applyFill="1" applyBorder="1" applyAlignment="1" applyProtection="1">
      <alignment horizontal="center"/>
    </xf>
    <xf numFmtId="0" fontId="3" fillId="5" borderId="8" xfId="0" applyFont="1" applyFill="1" applyBorder="1" applyAlignment="1" applyProtection="1">
      <alignment horizontal="center"/>
    </xf>
    <xf numFmtId="0" fontId="0" fillId="41" borderId="2" xfId="0" applyFill="1" applyBorder="1" applyAlignment="1" applyProtection="1">
      <alignment horizontal="center"/>
    </xf>
    <xf numFmtId="2" fontId="0" fillId="41" borderId="2" xfId="0" applyNumberFormat="1" applyFill="1" applyBorder="1" applyAlignment="1" applyProtection="1">
      <alignment horizontal="center"/>
    </xf>
    <xf numFmtId="165" fontId="0" fillId="41" borderId="2" xfId="0" applyNumberFormat="1" applyFill="1" applyBorder="1" applyAlignment="1" applyProtection="1">
      <alignment horizontal="center"/>
    </xf>
    <xf numFmtId="2" fontId="3" fillId="5" borderId="2" xfId="0" applyNumberFormat="1" applyFont="1" applyFill="1" applyBorder="1" applyAlignment="1" applyProtection="1">
      <alignment horizontal="center"/>
    </xf>
    <xf numFmtId="0" fontId="3" fillId="41" borderId="2" xfId="0" applyFont="1" applyFill="1" applyBorder="1" applyAlignment="1" applyProtection="1">
      <alignment horizontal="center"/>
    </xf>
    <xf numFmtId="2" fontId="3" fillId="41" borderId="2" xfId="0" applyNumberFormat="1" applyFont="1" applyFill="1" applyBorder="1" applyAlignment="1" applyProtection="1">
      <alignment horizontal="center"/>
    </xf>
    <xf numFmtId="165" fontId="3" fillId="41" borderId="2" xfId="0" applyNumberFormat="1" applyFont="1" applyFill="1" applyBorder="1" applyAlignment="1" applyProtection="1">
      <alignment horizontal="center"/>
    </xf>
    <xf numFmtId="0" fontId="5" fillId="41" borderId="2" xfId="0" applyFont="1" applyFill="1" applyBorder="1" applyAlignment="1" applyProtection="1">
      <alignment horizontal="center"/>
    </xf>
    <xf numFmtId="49" fontId="48" fillId="38" borderId="2" xfId="0" applyNumberFormat="1" applyFont="1" applyFill="1" applyBorder="1" applyProtection="1">
      <protection locked="0"/>
    </xf>
    <xf numFmtId="0" fontId="0" fillId="38" borderId="11" xfId="0" applyNumberFormat="1" applyFill="1" applyBorder="1" applyProtection="1">
      <protection locked="0"/>
    </xf>
    <xf numFmtId="0" fontId="0" fillId="38" borderId="14" xfId="0" applyNumberFormat="1" applyFill="1" applyBorder="1" applyProtection="1">
      <protection locked="0"/>
    </xf>
    <xf numFmtId="0" fontId="0" fillId="38" borderId="0" xfId="0" applyNumberFormat="1" applyFill="1" applyBorder="1" applyProtection="1">
      <protection locked="0"/>
    </xf>
    <xf numFmtId="0" fontId="0" fillId="38" borderId="8" xfId="0" applyNumberFormat="1" applyFill="1" applyBorder="1" applyProtection="1">
      <protection locked="0"/>
    </xf>
    <xf numFmtId="0" fontId="0" fillId="38" borderId="10" xfId="0" applyNumberFormat="1" applyFill="1" applyBorder="1" applyProtection="1">
      <protection locked="0"/>
    </xf>
    <xf numFmtId="165" fontId="0" fillId="0" borderId="0" xfId="0" applyNumberFormat="1" applyProtection="1"/>
    <xf numFmtId="0" fontId="5" fillId="5" borderId="1" xfId="0" applyFont="1" applyFill="1" applyBorder="1" applyAlignment="1" applyProtection="1">
      <alignment horizontal="centerContinuous"/>
    </xf>
    <xf numFmtId="2" fontId="5" fillId="41" borderId="2" xfId="0" applyNumberFormat="1" applyFont="1" applyFill="1" applyBorder="1" applyAlignment="1" applyProtection="1">
      <alignment horizontal="center"/>
    </xf>
    <xf numFmtId="49" fontId="48" fillId="38" borderId="2" xfId="37" applyNumberFormat="1" applyFont="1" applyFill="1" applyBorder="1" applyProtection="1">
      <protection locked="0"/>
    </xf>
    <xf numFmtId="49" fontId="48" fillId="38" borderId="2" xfId="37" applyNumberFormat="1" applyFont="1" applyFill="1" applyBorder="1" applyProtection="1">
      <protection locked="0"/>
    </xf>
    <xf numFmtId="0" fontId="0" fillId="0" borderId="11" xfId="0" applyNumberFormat="1" applyFill="1" applyBorder="1" applyProtection="1">
      <protection locked="0"/>
    </xf>
    <xf numFmtId="0" fontId="0" fillId="0" borderId="14" xfId="0" applyNumberFormat="1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8" xfId="0" applyNumberFormat="1" applyFill="1" applyBorder="1" applyProtection="1">
      <protection locked="0"/>
    </xf>
    <xf numFmtId="0" fontId="0" fillId="0" borderId="10" xfId="0" applyNumberFormat="1" applyFill="1" applyBorder="1" applyProtection="1">
      <protection locked="0"/>
    </xf>
    <xf numFmtId="49" fontId="48" fillId="0" borderId="0" xfId="0" applyNumberFormat="1" applyFont="1" applyBorder="1"/>
    <xf numFmtId="49" fontId="48" fillId="0" borderId="0" xfId="0" applyNumberFormat="1" applyFont="1" applyBorder="1" applyAlignment="1">
      <alignment vertical="top"/>
    </xf>
    <xf numFmtId="0" fontId="22" fillId="0" borderId="0" xfId="0" applyNumberFormat="1" applyFont="1" applyBorder="1" applyAlignment="1">
      <alignment horizontal="left" vertical="top" wrapText="1"/>
    </xf>
    <xf numFmtId="0" fontId="5" fillId="38" borderId="2" xfId="0" applyNumberFormat="1" applyFont="1" applyFill="1" applyBorder="1" applyAlignment="1" applyProtection="1">
      <alignment horizontal="left"/>
      <protection locked="0"/>
    </xf>
    <xf numFmtId="0" fontId="5" fillId="0" borderId="10" xfId="0" applyNumberFormat="1" applyFont="1" applyBorder="1"/>
    <xf numFmtId="0" fontId="0" fillId="42" borderId="0" xfId="0" applyNumberFormat="1" applyFill="1" applyBorder="1"/>
    <xf numFmtId="0" fontId="0" fillId="42" borderId="10" xfId="0" applyNumberFormat="1" applyFill="1" applyBorder="1"/>
    <xf numFmtId="0" fontId="5" fillId="42" borderId="0" xfId="0" applyNumberFormat="1" applyFont="1" applyFill="1"/>
    <xf numFmtId="0" fontId="0" fillId="42" borderId="0" xfId="0" applyNumberFormat="1" applyFill="1"/>
    <xf numFmtId="49" fontId="0" fillId="42" borderId="0" xfId="0" applyNumberFormat="1" applyFill="1"/>
    <xf numFmtId="0" fontId="0" fillId="42" borderId="15" xfId="0" applyNumberFormat="1" applyFill="1" applyBorder="1"/>
    <xf numFmtId="0" fontId="0" fillId="42" borderId="11" xfId="0" applyNumberFormat="1" applyFill="1" applyBorder="1"/>
    <xf numFmtId="0" fontId="0" fillId="42" borderId="13" xfId="0" applyNumberFormat="1" applyFill="1" applyBorder="1"/>
    <xf numFmtId="0" fontId="0" fillId="42" borderId="6" xfId="0" applyNumberFormat="1" applyFill="1" applyBorder="1"/>
    <xf numFmtId="0" fontId="0" fillId="42" borderId="12" xfId="0" applyNumberFormat="1" applyFill="1" applyBorder="1"/>
    <xf numFmtId="0" fontId="0" fillId="42" borderId="9" xfId="0" applyNumberFormat="1" applyFill="1" applyBorder="1"/>
    <xf numFmtId="0" fontId="0" fillId="42" borderId="7" xfId="0" applyNumberFormat="1" applyFill="1" applyBorder="1"/>
    <xf numFmtId="0" fontId="5" fillId="42" borderId="9" xfId="0" applyNumberFormat="1" applyFont="1" applyFill="1" applyBorder="1"/>
    <xf numFmtId="0" fontId="5" fillId="42" borderId="10" xfId="0" applyNumberFormat="1" applyFont="1" applyFill="1" applyBorder="1" applyAlignment="1">
      <alignment horizontal="right"/>
    </xf>
    <xf numFmtId="0" fontId="0" fillId="42" borderId="7" xfId="0" applyNumberFormat="1" applyFill="1" applyBorder="1" applyAlignment="1">
      <alignment horizontal="center"/>
    </xf>
    <xf numFmtId="0" fontId="0" fillId="42" borderId="0" xfId="0" applyNumberFormat="1" applyFill="1" applyAlignment="1">
      <alignment horizontal="left"/>
    </xf>
    <xf numFmtId="0" fontId="5" fillId="42" borderId="0" xfId="0" applyNumberFormat="1" applyFont="1" applyFill="1" applyAlignment="1">
      <alignment horizontal="center"/>
    </xf>
    <xf numFmtId="0" fontId="0" fillId="42" borderId="0" xfId="0" applyFill="1" applyBorder="1"/>
    <xf numFmtId="0" fontId="0" fillId="42" borderId="2" xfId="0" applyNumberFormat="1" applyFill="1" applyBorder="1" applyAlignment="1">
      <alignment horizontal="center"/>
    </xf>
    <xf numFmtId="49" fontId="0" fillId="0" borderId="13" xfId="0" applyNumberFormat="1" applyBorder="1" applyAlignment="1">
      <alignment horizontal="right"/>
    </xf>
    <xf numFmtId="49" fontId="0" fillId="0" borderId="12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49" fontId="0" fillId="0" borderId="13" xfId="0" applyNumberFormat="1" applyFill="1" applyBorder="1" applyAlignment="1">
      <alignment horizontal="right"/>
    </xf>
    <xf numFmtId="49" fontId="0" fillId="0" borderId="12" xfId="0" applyNumberFormat="1" applyFill="1" applyBorder="1" applyAlignment="1">
      <alignment horizontal="right"/>
    </xf>
    <xf numFmtId="49" fontId="0" fillId="0" borderId="7" xfId="0" applyNumberFormat="1" applyFill="1" applyBorder="1" applyAlignment="1">
      <alignment horizontal="right"/>
    </xf>
    <xf numFmtId="49" fontId="5" fillId="0" borderId="12" xfId="0" applyNumberFormat="1" applyFont="1" applyBorder="1" applyAlignment="1">
      <alignment horizontal="right"/>
    </xf>
    <xf numFmtId="49" fontId="5" fillId="0" borderId="13" xfId="0" applyNumberFormat="1" applyFont="1" applyBorder="1" applyAlignment="1">
      <alignment horizontal="right"/>
    </xf>
    <xf numFmtId="49" fontId="5" fillId="0" borderId="13" xfId="0" applyNumberFormat="1" applyFont="1" applyFill="1" applyBorder="1" applyAlignment="1" applyProtection="1">
      <alignment horizontal="right"/>
      <protection locked="0"/>
    </xf>
    <xf numFmtId="49" fontId="0" fillId="0" borderId="12" xfId="0" applyNumberFormat="1" applyFill="1" applyBorder="1" applyAlignment="1" applyProtection="1">
      <alignment horizontal="right"/>
      <protection locked="0"/>
    </xf>
    <xf numFmtId="49" fontId="0" fillId="0" borderId="7" xfId="0" applyNumberFormat="1" applyFill="1" applyBorder="1" applyAlignment="1" applyProtection="1">
      <alignment horizontal="right"/>
      <protection locked="0"/>
    </xf>
    <xf numFmtId="49" fontId="5" fillId="0" borderId="7" xfId="0" applyNumberFormat="1" applyFont="1" applyBorder="1" applyAlignment="1">
      <alignment horizontal="right"/>
    </xf>
    <xf numFmtId="49" fontId="0" fillId="38" borderId="12" xfId="0" applyNumberFormat="1" applyFill="1" applyBorder="1" applyAlignment="1" applyProtection="1">
      <alignment horizontal="right"/>
      <protection locked="0"/>
    </xf>
    <xf numFmtId="49" fontId="0" fillId="38" borderId="7" xfId="0" applyNumberFormat="1" applyFill="1" applyBorder="1" applyAlignment="1" applyProtection="1">
      <alignment horizontal="right"/>
      <protection locked="0"/>
    </xf>
    <xf numFmtId="49" fontId="0" fillId="38" borderId="13" xfId="0" applyNumberFormat="1" applyFill="1" applyBorder="1" applyAlignment="1">
      <alignment horizontal="right"/>
    </xf>
    <xf numFmtId="49" fontId="0" fillId="38" borderId="12" xfId="0" applyNumberFormat="1" applyFill="1" applyBorder="1" applyAlignment="1">
      <alignment horizontal="right"/>
    </xf>
    <xf numFmtId="49" fontId="0" fillId="38" borderId="7" xfId="0" applyNumberFormat="1" applyFill="1" applyBorder="1" applyAlignment="1">
      <alignment horizontal="right"/>
    </xf>
    <xf numFmtId="0" fontId="1" fillId="0" borderId="10" xfId="0" applyNumberFormat="1" applyFont="1" applyFill="1" applyBorder="1"/>
    <xf numFmtId="0" fontId="0" fillId="37" borderId="1" xfId="0" applyFill="1" applyBorder="1"/>
    <xf numFmtId="0" fontId="1" fillId="38" borderId="1" xfId="0" applyFont="1" applyFill="1" applyBorder="1"/>
    <xf numFmtId="49" fontId="48" fillId="37" borderId="3" xfId="0" applyNumberFormat="1" applyFont="1" applyFill="1" applyBorder="1"/>
    <xf numFmtId="49" fontId="48" fillId="38" borderId="3" xfId="0" applyNumberFormat="1" applyFont="1" applyFill="1" applyBorder="1"/>
    <xf numFmtId="0" fontId="1" fillId="0" borderId="0" xfId="0" applyFont="1" applyProtection="1"/>
    <xf numFmtId="0" fontId="1" fillId="0" borderId="0" xfId="0" applyFont="1" applyBorder="1"/>
    <xf numFmtId="14" fontId="48" fillId="38" borderId="2" xfId="37" applyNumberFormat="1" applyFont="1" applyFill="1" applyBorder="1" applyAlignment="1" applyProtection="1">
      <alignment horizontal="left"/>
      <protection locked="0"/>
    </xf>
    <xf numFmtId="0" fontId="67" fillId="38" borderId="2" xfId="37" applyFont="1" applyFill="1" applyBorder="1" applyProtection="1">
      <protection locked="0"/>
    </xf>
    <xf numFmtId="0" fontId="1" fillId="0" borderId="0" xfId="0" applyNumberFormat="1" applyFont="1"/>
    <xf numFmtId="0" fontId="1" fillId="0" borderId="0" xfId="0" applyNumberFormat="1" applyFont="1" applyBorder="1"/>
    <xf numFmtId="0" fontId="1" fillId="0" borderId="0" xfId="0" applyNumberFormat="1" applyFont="1" applyFill="1" applyBorder="1"/>
    <xf numFmtId="0" fontId="1" fillId="0" borderId="0" xfId="0" applyFont="1" applyAlignment="1" applyProtection="1">
      <alignment horizontal="right"/>
    </xf>
    <xf numFmtId="0" fontId="1" fillId="38" borderId="5" xfId="0" applyNumberFormat="1" applyFont="1" applyFill="1" applyBorder="1" applyProtection="1">
      <protection locked="0"/>
    </xf>
    <xf numFmtId="0" fontId="1" fillId="38" borderId="11" xfId="0" applyNumberFormat="1" applyFont="1" applyFill="1" applyBorder="1" applyProtection="1">
      <protection locked="0"/>
    </xf>
    <xf numFmtId="49" fontId="1" fillId="38" borderId="13" xfId="0" applyNumberFormat="1" applyFont="1" applyFill="1" applyBorder="1" applyAlignment="1" applyProtection="1">
      <alignment horizontal="right"/>
      <protection locked="0"/>
    </xf>
    <xf numFmtId="0" fontId="1" fillId="38" borderId="0" xfId="0" applyNumberFormat="1" applyFont="1" applyFill="1" applyBorder="1" applyProtection="1">
      <protection locked="0"/>
    </xf>
    <xf numFmtId="0" fontId="58" fillId="0" borderId="26" xfId="0" applyFont="1" applyBorder="1" applyAlignment="1" applyProtection="1">
      <alignment horizontal="right"/>
      <protection locked="0"/>
    </xf>
    <xf numFmtId="0" fontId="48" fillId="38" borderId="2" xfId="37" applyFont="1" applyFill="1" applyBorder="1" applyAlignment="1" applyProtection="1">
      <alignment horizontal="left"/>
      <protection locked="0"/>
    </xf>
    <xf numFmtId="0" fontId="58" fillId="0" borderId="0" xfId="0" applyFont="1" applyBorder="1" applyAlignment="1" applyProtection="1">
      <alignment horizontal="right"/>
      <protection locked="0"/>
    </xf>
    <xf numFmtId="0" fontId="0" fillId="0" borderId="30" xfId="0" applyBorder="1"/>
    <xf numFmtId="14" fontId="48" fillId="45" borderId="2" xfId="37" applyNumberFormat="1" applyFont="1" applyFill="1" applyBorder="1" applyAlignment="1" applyProtection="1">
      <alignment horizontal="left"/>
    </xf>
    <xf numFmtId="177" fontId="0" fillId="3" borderId="2" xfId="0" applyNumberFormat="1" applyFill="1" applyBorder="1" applyAlignment="1" applyProtection="1">
      <alignment horizontal="center"/>
      <protection locked="0"/>
    </xf>
    <xf numFmtId="177" fontId="0" fillId="0" borderId="0" xfId="0" applyNumberFormat="1" applyProtection="1"/>
    <xf numFmtId="0" fontId="1" fillId="46" borderId="2" xfId="0" applyFont="1" applyFill="1" applyBorder="1" applyAlignment="1" applyProtection="1">
      <alignment horizontal="center"/>
    </xf>
    <xf numFmtId="0" fontId="1" fillId="0" borderId="0" xfId="0" applyFont="1" applyAlignment="1" applyProtection="1"/>
    <xf numFmtId="0" fontId="1" fillId="0" borderId="0" xfId="0" applyFont="1" applyFill="1" applyBorder="1" applyAlignment="1" applyProtection="1"/>
    <xf numFmtId="175" fontId="0" fillId="5" borderId="2" xfId="0" applyNumberFormat="1" applyFill="1" applyBorder="1" applyAlignment="1" applyProtection="1">
      <alignment horizontal="center"/>
    </xf>
    <xf numFmtId="177" fontId="1" fillId="3" borderId="2" xfId="0" applyNumberFormat="1" applyFont="1" applyFill="1" applyBorder="1" applyAlignment="1" applyProtection="1">
      <alignment horizontal="center"/>
      <protection locked="0"/>
    </xf>
    <xf numFmtId="0" fontId="22" fillId="0" borderId="0" xfId="0" applyNumberFormat="1" applyFont="1" applyBorder="1" applyAlignment="1">
      <alignment horizontal="center" vertical="top" wrapText="1"/>
    </xf>
    <xf numFmtId="0" fontId="0" fillId="39" borderId="2" xfId="0" applyFill="1" applyBorder="1" applyAlignment="1" applyProtection="1">
      <alignment horizontal="center"/>
    </xf>
    <xf numFmtId="0" fontId="62" fillId="0" borderId="0" xfId="0" applyFont="1" applyAlignment="1">
      <alignment horizontal="center"/>
    </xf>
    <xf numFmtId="0" fontId="49" fillId="44" borderId="28" xfId="0" applyNumberFormat="1" applyFont="1" applyFill="1" applyBorder="1" applyAlignment="1">
      <alignment horizontal="center" vertical="center" wrapText="1"/>
    </xf>
    <xf numFmtId="0" fontId="49" fillId="44" borderId="29" xfId="0" applyNumberFormat="1" applyFont="1" applyFill="1" applyBorder="1" applyAlignment="1">
      <alignment horizontal="center" vertical="center" wrapText="1"/>
    </xf>
    <xf numFmtId="165" fontId="49" fillId="0" borderId="2" xfId="0" applyNumberFormat="1" applyFont="1" applyBorder="1" applyAlignment="1">
      <alignment horizontal="center" vertical="center"/>
    </xf>
    <xf numFmtId="0" fontId="51" fillId="0" borderId="0" xfId="0" applyNumberFormat="1" applyFont="1" applyAlignment="1">
      <alignment horizontal="center"/>
    </xf>
    <xf numFmtId="0" fontId="50" fillId="0" borderId="0" xfId="0" applyFont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64" fillId="0" borderId="0" xfId="0" applyFont="1" applyBorder="1" applyAlignment="1">
      <alignment horizontal="center"/>
    </xf>
    <xf numFmtId="0" fontId="63" fillId="0" borderId="0" xfId="0" applyNumberFormat="1" applyFont="1" applyAlignment="1">
      <alignment horizontal="center" vertical="center" textRotation="90"/>
    </xf>
    <xf numFmtId="165" fontId="20" fillId="0" borderId="2" xfId="0" applyNumberFormat="1" applyFont="1" applyBorder="1" applyAlignment="1">
      <alignment horizontal="center" vertical="center"/>
    </xf>
    <xf numFmtId="0" fontId="50" fillId="0" borderId="0" xfId="0" applyFont="1" applyAlignment="1">
      <alignment horizontal="left" vertical="center" wrapText="1"/>
    </xf>
    <xf numFmtId="0" fontId="51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top"/>
    </xf>
    <xf numFmtId="0" fontId="57" fillId="0" borderId="10" xfId="0" applyFont="1" applyBorder="1" applyAlignment="1">
      <alignment horizontal="center" vertical="top"/>
    </xf>
    <xf numFmtId="0" fontId="62" fillId="0" borderId="0" xfId="0" applyNumberFormat="1" applyFont="1" applyAlignment="1">
      <alignment horizontal="center"/>
    </xf>
    <xf numFmtId="0" fontId="49" fillId="44" borderId="28" xfId="0" applyFont="1" applyFill="1" applyBorder="1" applyAlignment="1">
      <alignment horizontal="center" vertical="center" wrapText="1"/>
    </xf>
    <xf numFmtId="0" fontId="49" fillId="44" borderId="29" xfId="0" applyFont="1" applyFill="1" applyBorder="1" applyAlignment="1">
      <alignment horizontal="center" vertical="center" wrapText="1"/>
    </xf>
    <xf numFmtId="0" fontId="49" fillId="0" borderId="15" xfId="0" applyFont="1" applyBorder="1" applyAlignment="1">
      <alignment horizontal="center" vertical="center" wrapText="1"/>
    </xf>
    <xf numFmtId="0" fontId="49" fillId="0" borderId="13" xfId="0" applyFont="1" applyBorder="1" applyAlignment="1">
      <alignment horizontal="center" vertical="center" wrapText="1"/>
    </xf>
    <xf numFmtId="0" fontId="49" fillId="0" borderId="5" xfId="0" applyNumberFormat="1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 wrapText="1"/>
    </xf>
    <xf numFmtId="49" fontId="0" fillId="4" borderId="1" xfId="0" applyNumberFormat="1" applyFill="1" applyBorder="1" applyAlignment="1" applyProtection="1">
      <alignment horizontal="left"/>
    </xf>
    <xf numFmtId="2" fontId="49" fillId="0" borderId="2" xfId="0" applyNumberFormat="1" applyFont="1" applyBorder="1" applyAlignment="1">
      <alignment horizontal="center" vertical="center"/>
    </xf>
    <xf numFmtId="49" fontId="0" fillId="4" borderId="3" xfId="0" applyNumberFormat="1" applyFill="1" applyBorder="1" applyAlignment="1" applyProtection="1">
      <alignment horizontal="left"/>
    </xf>
    <xf numFmtId="0" fontId="5" fillId="39" borderId="2" xfId="0" applyFont="1" applyFill="1" applyBorder="1" applyAlignment="1" applyProtection="1">
      <alignment horizontal="center"/>
    </xf>
    <xf numFmtId="49" fontId="0" fillId="4" borderId="2" xfId="0" applyNumberFormat="1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  <protection locked="0"/>
    </xf>
    <xf numFmtId="0" fontId="5" fillId="3" borderId="3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49" fillId="0" borderId="0" xfId="0" applyNumberFormat="1" applyFont="1" applyAlignment="1">
      <alignment horizontal="center"/>
    </xf>
    <xf numFmtId="2" fontId="66" fillId="44" borderId="2" xfId="0" applyNumberFormat="1" applyFont="1" applyFill="1" applyBorder="1" applyAlignment="1">
      <alignment horizontal="center"/>
    </xf>
    <xf numFmtId="165" fontId="28" fillId="44" borderId="2" xfId="0" applyNumberFormat="1" applyFont="1" applyFill="1" applyBorder="1" applyAlignment="1">
      <alignment horizontal="center"/>
    </xf>
    <xf numFmtId="2" fontId="66" fillId="0" borderId="1" xfId="0" applyNumberFormat="1" applyFont="1" applyBorder="1" applyAlignment="1">
      <alignment horizontal="center"/>
    </xf>
    <xf numFmtId="2" fontId="66" fillId="0" borderId="3" xfId="0" applyNumberFormat="1" applyFont="1" applyBorder="1" applyAlignment="1">
      <alignment horizontal="center"/>
    </xf>
    <xf numFmtId="165" fontId="28" fillId="0" borderId="1" xfId="0" applyNumberFormat="1" applyFont="1" applyBorder="1" applyAlignment="1">
      <alignment horizontal="center"/>
    </xf>
    <xf numFmtId="165" fontId="28" fillId="0" borderId="3" xfId="0" applyNumberFormat="1" applyFont="1" applyBorder="1" applyAlignment="1">
      <alignment horizontal="center"/>
    </xf>
    <xf numFmtId="0" fontId="28" fillId="44" borderId="2" xfId="0" applyFont="1" applyFill="1" applyBorder="1" applyAlignment="1">
      <alignment horizontal="center"/>
    </xf>
    <xf numFmtId="2" fontId="28" fillId="44" borderId="2" xfId="0" applyNumberFormat="1" applyFont="1" applyFill="1" applyBorder="1" applyAlignment="1">
      <alignment horizontal="center"/>
    </xf>
    <xf numFmtId="1" fontId="66" fillId="44" borderId="2" xfId="0" applyNumberFormat="1" applyFont="1" applyFill="1" applyBorder="1" applyAlignment="1">
      <alignment horizontal="center"/>
    </xf>
    <xf numFmtId="165" fontId="66" fillId="44" borderId="2" xfId="0" applyNumberFormat="1" applyFont="1" applyFill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2" fontId="28" fillId="0" borderId="3" xfId="0" applyNumberFormat="1" applyFont="1" applyBorder="1" applyAlignment="1">
      <alignment horizontal="center"/>
    </xf>
    <xf numFmtId="1" fontId="66" fillId="0" borderId="1" xfId="0" applyNumberFormat="1" applyFont="1" applyBorder="1" applyAlignment="1">
      <alignment horizontal="center"/>
    </xf>
    <xf numFmtId="1" fontId="66" fillId="0" borderId="3" xfId="0" applyNumberFormat="1" applyFont="1" applyBorder="1" applyAlignment="1">
      <alignment horizontal="center"/>
    </xf>
    <xf numFmtId="165" fontId="66" fillId="0" borderId="1" xfId="0" applyNumberFormat="1" applyFont="1" applyBorder="1" applyAlignment="1">
      <alignment horizontal="center"/>
    </xf>
    <xf numFmtId="165" fontId="66" fillId="0" borderId="3" xfId="0" applyNumberFormat="1" applyFont="1" applyBorder="1" applyAlignment="1">
      <alignment horizontal="center"/>
    </xf>
    <xf numFmtId="49" fontId="50" fillId="0" borderId="0" xfId="0" applyNumberFormat="1" applyFont="1" applyBorder="1" applyAlignment="1" applyProtection="1">
      <alignment horizontal="left"/>
      <protection locked="0"/>
    </xf>
    <xf numFmtId="165" fontId="28" fillId="44" borderId="5" xfId="0" applyNumberFormat="1" applyFont="1" applyFill="1" applyBorder="1" applyAlignment="1">
      <alignment horizontal="center"/>
    </xf>
    <xf numFmtId="0" fontId="28" fillId="0" borderId="14" xfId="0" applyFont="1" applyBorder="1" applyAlignment="1">
      <alignment horizontal="center"/>
    </xf>
    <xf numFmtId="165" fontId="28" fillId="0" borderId="14" xfId="0" applyNumberFormat="1" applyFont="1" applyBorder="1" applyAlignment="1">
      <alignment horizontal="center"/>
    </xf>
    <xf numFmtId="2" fontId="28" fillId="0" borderId="14" xfId="0" applyNumberFormat="1" applyFont="1" applyBorder="1" applyAlignment="1">
      <alignment horizontal="center"/>
    </xf>
    <xf numFmtId="2" fontId="66" fillId="0" borderId="14" xfId="0" applyNumberFormat="1" applyFont="1" applyBorder="1" applyAlignment="1">
      <alignment horizontal="center"/>
    </xf>
    <xf numFmtId="1" fontId="66" fillId="0" borderId="14" xfId="0" applyNumberFormat="1" applyFont="1" applyBorder="1" applyAlignment="1">
      <alignment horizontal="center"/>
    </xf>
    <xf numFmtId="165" fontId="66" fillId="0" borderId="14" xfId="0" applyNumberFormat="1" applyFont="1" applyBorder="1" applyAlignment="1">
      <alignment horizontal="center"/>
    </xf>
    <xf numFmtId="0" fontId="28" fillId="44" borderId="5" xfId="0" applyFont="1" applyFill="1" applyBorder="1" applyAlignment="1">
      <alignment horizontal="center"/>
    </xf>
    <xf numFmtId="2" fontId="28" fillId="44" borderId="5" xfId="0" applyNumberFormat="1" applyFont="1" applyFill="1" applyBorder="1" applyAlignment="1">
      <alignment horizontal="center"/>
    </xf>
    <xf numFmtId="2" fontId="66" fillId="44" borderId="5" xfId="0" applyNumberFormat="1" applyFont="1" applyFill="1" applyBorder="1" applyAlignment="1">
      <alignment horizontal="center"/>
    </xf>
    <xf numFmtId="1" fontId="66" fillId="44" borderId="5" xfId="0" applyNumberFormat="1" applyFont="1" applyFill="1" applyBorder="1" applyAlignment="1">
      <alignment horizontal="center"/>
    </xf>
    <xf numFmtId="165" fontId="66" fillId="44" borderId="5" xfId="0" applyNumberFormat="1" applyFont="1" applyFill="1" applyBorder="1" applyAlignment="1">
      <alignment horizontal="center"/>
    </xf>
    <xf numFmtId="165" fontId="28" fillId="44" borderId="14" xfId="0" applyNumberFormat="1" applyFont="1" applyFill="1" applyBorder="1" applyAlignment="1">
      <alignment horizontal="center"/>
    </xf>
    <xf numFmtId="0" fontId="28" fillId="44" borderId="14" xfId="0" applyFont="1" applyFill="1" applyBorder="1" applyAlignment="1">
      <alignment horizontal="center"/>
    </xf>
    <xf numFmtId="2" fontId="28" fillId="44" borderId="14" xfId="0" applyNumberFormat="1" applyFont="1" applyFill="1" applyBorder="1" applyAlignment="1">
      <alignment horizontal="center"/>
    </xf>
    <xf numFmtId="2" fontId="66" fillId="44" borderId="14" xfId="0" applyNumberFormat="1" applyFont="1" applyFill="1" applyBorder="1" applyAlignment="1">
      <alignment horizontal="center"/>
    </xf>
    <xf numFmtId="1" fontId="66" fillId="44" borderId="14" xfId="0" applyNumberFormat="1" applyFont="1" applyFill="1" applyBorder="1" applyAlignment="1">
      <alignment horizontal="center"/>
    </xf>
    <xf numFmtId="165" fontId="66" fillId="44" borderId="14" xfId="0" applyNumberFormat="1" applyFont="1" applyFill="1" applyBorder="1" applyAlignment="1">
      <alignment horizontal="center"/>
    </xf>
    <xf numFmtId="165" fontId="28" fillId="44" borderId="8" xfId="0" applyNumberFormat="1" applyFont="1" applyFill="1" applyBorder="1" applyAlignment="1">
      <alignment horizontal="center"/>
    </xf>
    <xf numFmtId="0" fontId="28" fillId="0" borderId="5" xfId="0" applyFont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2" fontId="28" fillId="0" borderId="5" xfId="0" applyNumberFormat="1" applyFont="1" applyBorder="1" applyAlignment="1">
      <alignment horizontal="center"/>
    </xf>
    <xf numFmtId="2" fontId="66" fillId="0" borderId="5" xfId="0" applyNumberFormat="1" applyFont="1" applyBorder="1" applyAlignment="1">
      <alignment horizontal="center"/>
    </xf>
    <xf numFmtId="1" fontId="66" fillId="0" borderId="5" xfId="0" applyNumberFormat="1" applyFont="1" applyBorder="1" applyAlignment="1">
      <alignment horizontal="center"/>
    </xf>
    <xf numFmtId="165" fontId="66" fillId="0" borderId="5" xfId="0" applyNumberFormat="1" applyFont="1" applyBorder="1" applyAlignment="1">
      <alignment horizontal="center"/>
    </xf>
    <xf numFmtId="0" fontId="28" fillId="44" borderId="8" xfId="0" applyFont="1" applyFill="1" applyBorder="1" applyAlignment="1">
      <alignment horizontal="center"/>
    </xf>
    <xf numFmtId="2" fontId="28" fillId="44" borderId="8" xfId="0" applyNumberFormat="1" applyFont="1" applyFill="1" applyBorder="1" applyAlignment="1">
      <alignment horizontal="center"/>
    </xf>
    <xf numFmtId="2" fontId="66" fillId="44" borderId="8" xfId="0" applyNumberFormat="1" applyFont="1" applyFill="1" applyBorder="1" applyAlignment="1">
      <alignment horizontal="center"/>
    </xf>
    <xf numFmtId="1" fontId="66" fillId="44" borderId="8" xfId="0" applyNumberFormat="1" applyFont="1" applyFill="1" applyBorder="1" applyAlignment="1">
      <alignment horizontal="center"/>
    </xf>
    <xf numFmtId="165" fontId="66" fillId="44" borderId="8" xfId="0" applyNumberFormat="1" applyFont="1" applyFill="1" applyBorder="1" applyAlignment="1">
      <alignment horizontal="center"/>
    </xf>
    <xf numFmtId="0" fontId="28" fillId="0" borderId="8" xfId="0" applyFont="1" applyBorder="1" applyAlignment="1">
      <alignment horizontal="center"/>
    </xf>
    <xf numFmtId="165" fontId="28" fillId="0" borderId="8" xfId="0" applyNumberFormat="1" applyFont="1" applyBorder="1" applyAlignment="1">
      <alignment horizontal="center"/>
    </xf>
    <xf numFmtId="2" fontId="28" fillId="0" borderId="8" xfId="0" applyNumberFormat="1" applyFont="1" applyBorder="1" applyAlignment="1">
      <alignment horizontal="center"/>
    </xf>
    <xf numFmtId="2" fontId="66" fillId="0" borderId="8" xfId="0" applyNumberFormat="1" applyFont="1" applyBorder="1" applyAlignment="1">
      <alignment horizontal="center"/>
    </xf>
    <xf numFmtId="1" fontId="66" fillId="0" borderId="8" xfId="0" applyNumberFormat="1" applyFont="1" applyBorder="1" applyAlignment="1">
      <alignment horizontal="center"/>
    </xf>
    <xf numFmtId="165" fontId="66" fillId="0" borderId="8" xfId="0" applyNumberFormat="1" applyFont="1" applyBorder="1" applyAlignment="1">
      <alignment horizontal="center"/>
    </xf>
    <xf numFmtId="0" fontId="66" fillId="0" borderId="2" xfId="0" applyFont="1" applyBorder="1" applyAlignment="1">
      <alignment horizontal="center" vertical="center" wrapText="1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5" xfId="0" applyNumberFormat="1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6" fillId="0" borderId="15" xfId="0" applyNumberFormat="1" applyFont="1" applyBorder="1" applyAlignment="1">
      <alignment horizontal="center" vertical="center" wrapText="1"/>
    </xf>
    <xf numFmtId="0" fontId="66" fillId="0" borderId="13" xfId="0" applyNumberFormat="1" applyFont="1" applyBorder="1" applyAlignment="1">
      <alignment horizontal="center" vertical="center" wrapText="1"/>
    </xf>
    <xf numFmtId="0" fontId="27" fillId="0" borderId="5" xfId="0" applyNumberFormat="1" applyFont="1" applyBorder="1" applyAlignment="1">
      <alignment horizontal="center" vertical="center" wrapText="1"/>
    </xf>
    <xf numFmtId="165" fontId="20" fillId="0" borderId="14" xfId="0" applyNumberFormat="1" applyFont="1" applyBorder="1" applyAlignment="1">
      <alignment horizontal="center" vertical="center"/>
    </xf>
    <xf numFmtId="0" fontId="20" fillId="44" borderId="9" xfId="0" applyFont="1" applyFill="1" applyBorder="1" applyAlignment="1">
      <alignment horizontal="center" vertical="center"/>
    </xf>
    <xf numFmtId="0" fontId="20" fillId="44" borderId="7" xfId="0" applyFont="1" applyFill="1" applyBorder="1" applyAlignment="1">
      <alignment horizontal="center" vertical="center"/>
    </xf>
    <xf numFmtId="0" fontId="20" fillId="44" borderId="14" xfId="0" applyFont="1" applyFill="1" applyBorder="1" applyAlignment="1">
      <alignment horizontal="center" vertical="center"/>
    </xf>
    <xf numFmtId="165" fontId="20" fillId="44" borderId="14" xfId="0" applyNumberFormat="1" applyFont="1" applyFill="1" applyBorder="1" applyAlignment="1">
      <alignment horizontal="center" vertical="center"/>
    </xf>
    <xf numFmtId="2" fontId="49" fillId="44" borderId="14" xfId="0" applyNumberFormat="1" applyFont="1" applyFill="1" applyBorder="1" applyAlignment="1">
      <alignment horizontal="center" vertical="center"/>
    </xf>
    <xf numFmtId="165" fontId="49" fillId="44" borderId="14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2" fontId="49" fillId="0" borderId="14" xfId="0" applyNumberFormat="1" applyFont="1" applyBorder="1" applyAlignment="1">
      <alignment horizontal="center" vertical="center"/>
    </xf>
    <xf numFmtId="165" fontId="49" fillId="0" borderId="14" xfId="0" applyNumberFormat="1" applyFont="1" applyBorder="1" applyAlignment="1">
      <alignment horizontal="center" vertical="center"/>
    </xf>
    <xf numFmtId="0" fontId="20" fillId="44" borderId="6" xfId="0" applyFont="1" applyFill="1" applyBorder="1" applyAlignment="1">
      <alignment horizontal="center" vertical="center"/>
    </xf>
    <xf numFmtId="0" fontId="20" fillId="44" borderId="12" xfId="0" applyFont="1" applyFill="1" applyBorder="1" applyAlignment="1">
      <alignment horizontal="center" vertical="center"/>
    </xf>
    <xf numFmtId="2" fontId="20" fillId="0" borderId="14" xfId="0" applyNumberFormat="1" applyFont="1" applyBorder="1" applyAlignment="1">
      <alignment horizontal="center" vertical="center"/>
    </xf>
    <xf numFmtId="2" fontId="20" fillId="44" borderId="14" xfId="0" applyNumberFormat="1" applyFont="1" applyFill="1" applyBorder="1" applyAlignment="1">
      <alignment horizontal="center" vertical="center"/>
    </xf>
    <xf numFmtId="165" fontId="20" fillId="0" borderId="5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14" fillId="0" borderId="5" xfId="0" applyNumberFormat="1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2" fontId="20" fillId="0" borderId="5" xfId="0" applyNumberFormat="1" applyFont="1" applyBorder="1" applyAlignment="1">
      <alignment horizontal="center" vertical="center"/>
    </xf>
    <xf numFmtId="0" fontId="20" fillId="44" borderId="27" xfId="0" applyFont="1" applyFill="1" applyBorder="1" applyAlignment="1">
      <alignment horizontal="center" vertical="center"/>
    </xf>
    <xf numFmtId="2" fontId="49" fillId="0" borderId="5" xfId="0" applyNumberFormat="1" applyFont="1" applyBorder="1" applyAlignment="1">
      <alignment horizontal="center" vertical="center"/>
    </xf>
    <xf numFmtId="165" fontId="49" fillId="0" borderId="5" xfId="0" applyNumberFormat="1" applyFont="1" applyBorder="1" applyAlignment="1">
      <alignment horizontal="center" vertical="center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alignment horizontal="center"/>
      <protection locked="0"/>
    </xf>
    <xf numFmtId="49" fontId="48" fillId="0" borderId="0" xfId="0" applyNumberFormat="1" applyFont="1" applyProtection="1"/>
    <xf numFmtId="165" fontId="0" fillId="43" borderId="0" xfId="0" applyNumberFormat="1" applyFill="1" applyAlignment="1">
      <alignment horizontal="center"/>
    </xf>
  </cellXfs>
  <cellStyles count="47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rmal 2" xfId="37" xr:uid="{00000000-0005-0000-0000-000025000000}"/>
    <cellStyle name="Normal 2 2" xfId="38" xr:uid="{00000000-0005-0000-0000-000026000000}"/>
    <cellStyle name="Normal 3" xfId="39" xr:uid="{00000000-0005-0000-0000-000027000000}"/>
    <cellStyle name="Normal 4" xfId="40" xr:uid="{00000000-0005-0000-0000-000028000000}"/>
    <cellStyle name="Normal 6" xfId="41" xr:uid="{00000000-0005-0000-0000-000029000000}"/>
    <cellStyle name="Note 2" xfId="42" xr:uid="{00000000-0005-0000-0000-00002A000000}"/>
    <cellStyle name="Output 2" xfId="43" xr:uid="{00000000-0005-0000-0000-00002B000000}"/>
    <cellStyle name="Title" xfId="44" builtinId="15" customBuiltin="1"/>
    <cellStyle name="Total 2" xfId="45" xr:uid="{00000000-0005-0000-0000-00002D000000}"/>
    <cellStyle name="Warning Text 2" xfId="46" xr:uid="{00000000-0005-0000-0000-00002E000000}"/>
  </cellStyles>
  <dxfs count="2">
    <dxf>
      <fill>
        <patternFill>
          <bgColor rgb="FFFF00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EC8C8C"/>
      <color rgb="FFCCFFCC"/>
      <color rgb="FF00FE73"/>
      <color rgb="FF00F66F"/>
      <color rgb="FF05FF7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69117678750271"/>
          <c:y val="4.7619139887036303E-2"/>
          <c:w val="0.86643536135689037"/>
          <c:h val="0.7976205931078580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MEX!$Y$42</c:f>
              <c:strCache>
                <c:ptCount val="1"/>
                <c:pt idx="0">
                  <c:v>Job_ID_01 Set 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MEX!$E$12:$E$73</c:f>
              <c:numCache>
                <c:formatCode>0.0</c:formatCode>
                <c:ptCount val="62"/>
                <c:pt idx="0">
                  <c:v>17.956</c:v>
                </c:pt>
                <c:pt idx="1">
                  <c:v>19.5</c:v>
                </c:pt>
                <c:pt idx="2">
                  <c:v>20.856999999999999</c:v>
                </c:pt>
                <c:pt idx="3">
                  <c:v>22.146999999999998</c:v>
                </c:pt>
                <c:pt idx="4">
                  <c:v>23.48</c:v>
                </c:pt>
                <c:pt idx="5">
                  <c:v>24.878</c:v>
                </c:pt>
                <c:pt idx="6">
                  <c:v>26.34</c:v>
                </c:pt>
                <c:pt idx="7">
                  <c:v>20.93</c:v>
                </c:pt>
                <c:pt idx="8">
                  <c:v>22.646000000000001</c:v>
                </c:pt>
                <c:pt idx="9">
                  <c:v>24.094999999999999</c:v>
                </c:pt>
                <c:pt idx="10">
                  <c:v>25.442</c:v>
                </c:pt>
                <c:pt idx="11">
                  <c:v>26.841999999999999</c:v>
                </c:pt>
                <c:pt idx="12">
                  <c:v>28.32</c:v>
                </c:pt>
                <c:pt idx="13">
                  <c:v>29.867000000000001</c:v>
                </c:pt>
                <c:pt idx="14">
                  <c:v>27.068000000000001</c:v>
                </c:pt>
                <c:pt idx="15">
                  <c:v>29.934000000000001</c:v>
                </c:pt>
                <c:pt idx="16">
                  <c:v>32.250999999999998</c:v>
                </c:pt>
                <c:pt idx="17">
                  <c:v>34.274999999999999</c:v>
                </c:pt>
                <c:pt idx="18">
                  <c:v>36.328000000000003</c:v>
                </c:pt>
                <c:pt idx="19">
                  <c:v>38.384999999999998</c:v>
                </c:pt>
                <c:pt idx="20">
                  <c:v>30.623000000000001</c:v>
                </c:pt>
                <c:pt idx="21">
                  <c:v>35.19</c:v>
                </c:pt>
                <c:pt idx="22">
                  <c:v>41.587000000000003</c:v>
                </c:pt>
                <c:pt idx="23">
                  <c:v>45.744</c:v>
                </c:pt>
                <c:pt idx="24">
                  <c:v>49.868000000000002</c:v>
                </c:pt>
                <c:pt idx="25">
                  <c:v>37.509</c:v>
                </c:pt>
                <c:pt idx="26">
                  <c:v>44.582999999999998</c:v>
                </c:pt>
                <c:pt idx="27">
                  <c:v>48.945</c:v>
                </c:pt>
                <c:pt idx="28">
                  <c:v>53.139000000000003</c:v>
                </c:pt>
                <c:pt idx="29">
                  <c:v>55.186999999999998</c:v>
                </c:pt>
                <c:pt idx="30">
                  <c:v>49.084000000000003</c:v>
                </c:pt>
                <c:pt idx="31">
                  <c:v>53.752000000000002</c:v>
                </c:pt>
                <c:pt idx="32">
                  <c:v>58.063000000000002</c:v>
                </c:pt>
                <c:pt idx="33">
                  <c:v>60.128</c:v>
                </c:pt>
                <c:pt idx="34">
                  <c:v>69.760999999999996</c:v>
                </c:pt>
                <c:pt idx="35">
                  <c:v>65</c:v>
                </c:pt>
                <c:pt idx="36">
                  <c:v>69.849999999999994</c:v>
                </c:pt>
                <c:pt idx="37">
                  <c:v>72.150000000000006</c:v>
                </c:pt>
                <c:pt idx="38">
                  <c:v>82.81</c:v>
                </c:pt>
                <c:pt idx="39">
                  <c:v>92.84</c:v>
                </c:pt>
                <c:pt idx="40">
                  <c:v>78.519000000000005</c:v>
                </c:pt>
                <c:pt idx="41">
                  <c:v>81.358000000000004</c:v>
                </c:pt>
                <c:pt idx="42">
                  <c:v>94.739000000000004</c:v>
                </c:pt>
                <c:pt idx="43">
                  <c:v>107.324</c:v>
                </c:pt>
                <c:pt idx="44">
                  <c:v>114.61199999999999</c:v>
                </c:pt>
                <c:pt idx="45">
                  <c:v>89.066000000000003</c:v>
                </c:pt>
                <c:pt idx="46">
                  <c:v>105.252</c:v>
                </c:pt>
                <c:pt idx="47">
                  <c:v>120.09699999999999</c:v>
                </c:pt>
                <c:pt idx="48">
                  <c:v>128.495</c:v>
                </c:pt>
                <c:pt idx="49">
                  <c:v>133.916</c:v>
                </c:pt>
                <c:pt idx="50">
                  <c:v>120.14700000000001</c:v>
                </c:pt>
                <c:pt idx="51">
                  <c:v>137.45500000000001</c:v>
                </c:pt>
                <c:pt idx="52">
                  <c:v>147.05000000000001</c:v>
                </c:pt>
                <c:pt idx="53">
                  <c:v>153.21</c:v>
                </c:pt>
                <c:pt idx="54">
                  <c:v>159.21700000000001</c:v>
                </c:pt>
                <c:pt idx="55">
                  <c:v>149.50700000000001</c:v>
                </c:pt>
                <c:pt idx="56">
                  <c:v>159.91800000000001</c:v>
                </c:pt>
                <c:pt idx="57">
                  <c:v>166.58099999999999</c:v>
                </c:pt>
                <c:pt idx="58">
                  <c:v>173.059</c:v>
                </c:pt>
                <c:pt idx="59">
                  <c:v>120.09699999999999</c:v>
                </c:pt>
                <c:pt idx="60">
                  <c:v>147.05000000000001</c:v>
                </c:pt>
                <c:pt idx="61">
                  <c:v>153.21</c:v>
                </c:pt>
              </c:numCache>
            </c:numRef>
          </c:xVal>
          <c:yVal>
            <c:numRef>
              <c:f>MEX!$F$12:$F$73</c:f>
              <c:numCache>
                <c:formatCode>0.00</c:formatCode>
                <c:ptCount val="62"/>
                <c:pt idx="0">
                  <c:v>47.843838554534642</c:v>
                </c:pt>
                <c:pt idx="1">
                  <c:v>47.328049506933851</c:v>
                </c:pt>
                <c:pt idx="2">
                  <c:v>46.954372465615627</c:v>
                </c:pt>
                <c:pt idx="3">
                  <c:v>46.647879463000812</c:v>
                </c:pt>
                <c:pt idx="4">
                  <c:v>46.415410521846567</c:v>
                </c:pt>
                <c:pt idx="5">
                  <c:v>46.233464812127941</c:v>
                </c:pt>
                <c:pt idx="6">
                  <c:v>46.011489628878685</c:v>
                </c:pt>
                <c:pt idx="7">
                  <c:v>46.222371235681578</c:v>
                </c:pt>
                <c:pt idx="8">
                  <c:v>46.035966377622657</c:v>
                </c:pt>
                <c:pt idx="9">
                  <c:v>45.876097835972821</c:v>
                </c:pt>
                <c:pt idx="10">
                  <c:v>45.673666489919093</c:v>
                </c:pt>
                <c:pt idx="11">
                  <c:v>45.5885729493789</c:v>
                </c:pt>
                <c:pt idx="12">
                  <c:v>45.438181510889599</c:v>
                </c:pt>
                <c:pt idx="13">
                  <c:v>45.344164322939967</c:v>
                </c:pt>
                <c:pt idx="14">
                  <c:v>45.074294647472584</c:v>
                </c:pt>
                <c:pt idx="15">
                  <c:v>45.078319049835819</c:v>
                </c:pt>
                <c:pt idx="16">
                  <c:v>45.0946064186626</c:v>
                </c:pt>
                <c:pt idx="17">
                  <c:v>45.035791189931743</c:v>
                </c:pt>
                <c:pt idx="18">
                  <c:v>44.914646648791539</c:v>
                </c:pt>
                <c:pt idx="19">
                  <c:v>44.851717378746656</c:v>
                </c:pt>
                <c:pt idx="20">
                  <c:v>45.056337309454975</c:v>
                </c:pt>
                <c:pt idx="21">
                  <c:v>44.977021541789036</c:v>
                </c:pt>
                <c:pt idx="22">
                  <c:v>44.752633896772487</c:v>
                </c:pt>
                <c:pt idx="23">
                  <c:v>44.605880308013603</c:v>
                </c:pt>
                <c:pt idx="24">
                  <c:v>44.540680488049631</c:v>
                </c:pt>
                <c:pt idx="25">
                  <c:v>44.752164884325211</c:v>
                </c:pt>
                <c:pt idx="26">
                  <c:v>44.742035279843492</c:v>
                </c:pt>
                <c:pt idx="27">
                  <c:v>44.565296839746686</c:v>
                </c:pt>
                <c:pt idx="28">
                  <c:v>44.426594275503206</c:v>
                </c:pt>
                <c:pt idx="29">
                  <c:v>44.379061573170866</c:v>
                </c:pt>
                <c:pt idx="30">
                  <c:v>44.578006101870514</c:v>
                </c:pt>
                <c:pt idx="31">
                  <c:v>44.466395523718845</c:v>
                </c:pt>
                <c:pt idx="32">
                  <c:v>44.368792977634442</c:v>
                </c:pt>
                <c:pt idx="33">
                  <c:v>44.285562072740554</c:v>
                </c:pt>
                <c:pt idx="34">
                  <c:v>44.082356842058914</c:v>
                </c:pt>
                <c:pt idx="35">
                  <c:v>44.210364106543359</c:v>
                </c:pt>
                <c:pt idx="36">
                  <c:v>44.113194654051711</c:v>
                </c:pt>
                <c:pt idx="37">
                  <c:v>44.042041104134746</c:v>
                </c:pt>
                <c:pt idx="38">
                  <c:v>43.805304389596081</c:v>
                </c:pt>
                <c:pt idx="39">
                  <c:v>43.684275422214348</c:v>
                </c:pt>
                <c:pt idx="40">
                  <c:v>43.86317999041686</c:v>
                </c:pt>
                <c:pt idx="41">
                  <c:v>43.805713287999147</c:v>
                </c:pt>
                <c:pt idx="42">
                  <c:v>43.689963778958258</c:v>
                </c:pt>
                <c:pt idx="43">
                  <c:v>43.513768819798806</c:v>
                </c:pt>
                <c:pt idx="44">
                  <c:v>43.474401215164995</c:v>
                </c:pt>
                <c:pt idx="45">
                  <c:v>43.670863913125856</c:v>
                </c:pt>
                <c:pt idx="46">
                  <c:v>43.561635089231913</c:v>
                </c:pt>
                <c:pt idx="47">
                  <c:v>43.478599723976892</c:v>
                </c:pt>
                <c:pt idx="48">
                  <c:v>43.396408583854011</c:v>
                </c:pt>
                <c:pt idx="49">
                  <c:v>43.312738715719959</c:v>
                </c:pt>
                <c:pt idx="50">
                  <c:v>43.330645180198545</c:v>
                </c:pt>
                <c:pt idx="51">
                  <c:v>43.331238831140503</c:v>
                </c:pt>
                <c:pt idx="52">
                  <c:v>43.257305670095107</c:v>
                </c:pt>
                <c:pt idx="53">
                  <c:v>43.22535383483774</c:v>
                </c:pt>
                <c:pt idx="54">
                  <c:v>43.083004608461458</c:v>
                </c:pt>
                <c:pt idx="55">
                  <c:v>43.322328360798579</c:v>
                </c:pt>
                <c:pt idx="56">
                  <c:v>43.226855678560845</c:v>
                </c:pt>
                <c:pt idx="57">
                  <c:v>43.156947806155088</c:v>
                </c:pt>
                <c:pt idx="58">
                  <c:v>43.060445735630651</c:v>
                </c:pt>
                <c:pt idx="59">
                  <c:v>43.326729011236971</c:v>
                </c:pt>
                <c:pt idx="60">
                  <c:v>43.353820242662607</c:v>
                </c:pt>
                <c:pt idx="61">
                  <c:v>43.280830122350963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9B-4EBA-9A35-77C8A734891B}"/>
            </c:ext>
          </c:extLst>
        </c:ser>
        <c:ser>
          <c:idx val="2"/>
          <c:order val="1"/>
          <c:tx>
            <c:strRef>
              <c:f>MEX!$Y$43</c:f>
              <c:strCache>
                <c:ptCount val="1"/>
                <c:pt idx="0">
                  <c:v>Job_ID_01 Set 2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MEX!$E$12:$E$73</c:f>
              <c:numCache>
                <c:formatCode>0.0</c:formatCode>
                <c:ptCount val="62"/>
                <c:pt idx="0">
                  <c:v>17.956</c:v>
                </c:pt>
                <c:pt idx="1">
                  <c:v>19.5</c:v>
                </c:pt>
                <c:pt idx="2">
                  <c:v>20.856999999999999</c:v>
                </c:pt>
                <c:pt idx="3">
                  <c:v>22.146999999999998</c:v>
                </c:pt>
                <c:pt idx="4">
                  <c:v>23.48</c:v>
                </c:pt>
                <c:pt idx="5">
                  <c:v>24.878</c:v>
                </c:pt>
                <c:pt idx="6">
                  <c:v>26.34</c:v>
                </c:pt>
                <c:pt idx="7">
                  <c:v>20.93</c:v>
                </c:pt>
                <c:pt idx="8">
                  <c:v>22.646000000000001</c:v>
                </c:pt>
                <c:pt idx="9">
                  <c:v>24.094999999999999</c:v>
                </c:pt>
                <c:pt idx="10">
                  <c:v>25.442</c:v>
                </c:pt>
                <c:pt idx="11">
                  <c:v>26.841999999999999</c:v>
                </c:pt>
                <c:pt idx="12">
                  <c:v>28.32</c:v>
                </c:pt>
                <c:pt idx="13">
                  <c:v>29.867000000000001</c:v>
                </c:pt>
                <c:pt idx="14">
                  <c:v>27.068000000000001</c:v>
                </c:pt>
                <c:pt idx="15">
                  <c:v>29.934000000000001</c:v>
                </c:pt>
                <c:pt idx="16">
                  <c:v>32.250999999999998</c:v>
                </c:pt>
                <c:pt idx="17">
                  <c:v>34.274999999999999</c:v>
                </c:pt>
                <c:pt idx="18">
                  <c:v>36.328000000000003</c:v>
                </c:pt>
                <c:pt idx="19">
                  <c:v>38.384999999999998</c:v>
                </c:pt>
                <c:pt idx="20">
                  <c:v>30.623000000000001</c:v>
                </c:pt>
                <c:pt idx="21">
                  <c:v>35.19</c:v>
                </c:pt>
                <c:pt idx="22">
                  <c:v>41.587000000000003</c:v>
                </c:pt>
                <c:pt idx="23">
                  <c:v>45.744</c:v>
                </c:pt>
                <c:pt idx="24">
                  <c:v>49.868000000000002</c:v>
                </c:pt>
                <c:pt idx="25">
                  <c:v>37.509</c:v>
                </c:pt>
                <c:pt idx="26">
                  <c:v>44.582999999999998</c:v>
                </c:pt>
                <c:pt idx="27">
                  <c:v>48.945</c:v>
                </c:pt>
                <c:pt idx="28">
                  <c:v>53.139000000000003</c:v>
                </c:pt>
                <c:pt idx="29">
                  <c:v>55.186999999999998</c:v>
                </c:pt>
                <c:pt idx="30">
                  <c:v>49.084000000000003</c:v>
                </c:pt>
                <c:pt idx="31">
                  <c:v>53.752000000000002</c:v>
                </c:pt>
                <c:pt idx="32">
                  <c:v>58.063000000000002</c:v>
                </c:pt>
                <c:pt idx="33">
                  <c:v>60.128</c:v>
                </c:pt>
                <c:pt idx="34">
                  <c:v>69.760999999999996</c:v>
                </c:pt>
                <c:pt idx="35">
                  <c:v>65</c:v>
                </c:pt>
                <c:pt idx="36">
                  <c:v>69.849999999999994</c:v>
                </c:pt>
                <c:pt idx="37">
                  <c:v>72.150000000000006</c:v>
                </c:pt>
                <c:pt idx="38">
                  <c:v>82.81</c:v>
                </c:pt>
                <c:pt idx="39">
                  <c:v>92.84</c:v>
                </c:pt>
                <c:pt idx="40">
                  <c:v>78.519000000000005</c:v>
                </c:pt>
                <c:pt idx="41">
                  <c:v>81.358000000000004</c:v>
                </c:pt>
                <c:pt idx="42">
                  <c:v>94.739000000000004</c:v>
                </c:pt>
                <c:pt idx="43">
                  <c:v>107.324</c:v>
                </c:pt>
                <c:pt idx="44">
                  <c:v>114.61199999999999</c:v>
                </c:pt>
                <c:pt idx="45">
                  <c:v>89.066000000000003</c:v>
                </c:pt>
                <c:pt idx="46">
                  <c:v>105.252</c:v>
                </c:pt>
                <c:pt idx="47">
                  <c:v>120.09699999999999</c:v>
                </c:pt>
                <c:pt idx="48">
                  <c:v>128.495</c:v>
                </c:pt>
                <c:pt idx="49">
                  <c:v>133.916</c:v>
                </c:pt>
                <c:pt idx="50">
                  <c:v>120.14700000000001</c:v>
                </c:pt>
                <c:pt idx="51">
                  <c:v>137.45500000000001</c:v>
                </c:pt>
                <c:pt idx="52">
                  <c:v>147.05000000000001</c:v>
                </c:pt>
                <c:pt idx="53">
                  <c:v>153.21</c:v>
                </c:pt>
                <c:pt idx="54">
                  <c:v>159.21700000000001</c:v>
                </c:pt>
                <c:pt idx="55">
                  <c:v>149.50700000000001</c:v>
                </c:pt>
                <c:pt idx="56">
                  <c:v>159.91800000000001</c:v>
                </c:pt>
                <c:pt idx="57">
                  <c:v>166.58099999999999</c:v>
                </c:pt>
                <c:pt idx="58">
                  <c:v>173.059</c:v>
                </c:pt>
                <c:pt idx="59">
                  <c:v>120.09699999999999</c:v>
                </c:pt>
                <c:pt idx="60">
                  <c:v>147.05000000000001</c:v>
                </c:pt>
                <c:pt idx="61">
                  <c:v>153.21</c:v>
                </c:pt>
              </c:numCache>
            </c:numRef>
          </c:xVal>
          <c:yVal>
            <c:numRef>
              <c:f>MEX!$G$12:$G$73</c:f>
              <c:numCache>
                <c:formatCode>0.00</c:formatCode>
                <c:ptCount val="62"/>
                <c:pt idx="0">
                  <c:v>47.688900374435526</c:v>
                </c:pt>
                <c:pt idx="1">
                  <c:v>47.273482007609147</c:v>
                </c:pt>
                <c:pt idx="2">
                  <c:v>46.651923935841047</c:v>
                </c:pt>
                <c:pt idx="3">
                  <c:v>46.554101111153123</c:v>
                </c:pt>
                <c:pt idx="4">
                  <c:v>46.397378648964697</c:v>
                </c:pt>
                <c:pt idx="5">
                  <c:v>46.144471889462899</c:v>
                </c:pt>
                <c:pt idx="6">
                  <c:v>45.926815339804705</c:v>
                </c:pt>
                <c:pt idx="7">
                  <c:v>46.116083371684184</c:v>
                </c:pt>
                <c:pt idx="8">
                  <c:v>45.802732688041118</c:v>
                </c:pt>
                <c:pt idx="9">
                  <c:v>45.842226021566937</c:v>
                </c:pt>
                <c:pt idx="10">
                  <c:v>45.616223009264665</c:v>
                </c:pt>
                <c:pt idx="11">
                  <c:v>45.460096365444052</c:v>
                </c:pt>
                <c:pt idx="12">
                  <c:v>45.329158770161669</c:v>
                </c:pt>
                <c:pt idx="13">
                  <c:v>45.285608599942783</c:v>
                </c:pt>
                <c:pt idx="14">
                  <c:v>44.985508587120606</c:v>
                </c:pt>
                <c:pt idx="15">
                  <c:v>44.966188308022375</c:v>
                </c:pt>
                <c:pt idx="16">
                  <c:v>45.019794556032608</c:v>
                </c:pt>
                <c:pt idx="17">
                  <c:v>44.929428738893634</c:v>
                </c:pt>
                <c:pt idx="18">
                  <c:v>44.865024057072922</c:v>
                </c:pt>
                <c:pt idx="19">
                  <c:v>44.875158321447991</c:v>
                </c:pt>
                <c:pt idx="20">
                  <c:v>44.816400316725755</c:v>
                </c:pt>
                <c:pt idx="21">
                  <c:v>44.890494913459392</c:v>
                </c:pt>
                <c:pt idx="22">
                  <c:v>44.799614915956539</c:v>
                </c:pt>
                <c:pt idx="23">
                  <c:v>44.62523256448678</c:v>
                </c:pt>
                <c:pt idx="24">
                  <c:v>44.49858600603519</c:v>
                </c:pt>
                <c:pt idx="25">
                  <c:v>44.765675369999798</c:v>
                </c:pt>
                <c:pt idx="26">
                  <c:v>44.648604875540506</c:v>
                </c:pt>
                <c:pt idx="27">
                  <c:v>44.623282078103166</c:v>
                </c:pt>
                <c:pt idx="28">
                  <c:v>44.476940065572357</c:v>
                </c:pt>
                <c:pt idx="29">
                  <c:v>44.394808184157803</c:v>
                </c:pt>
                <c:pt idx="30">
                  <c:v>44.718832020756295</c:v>
                </c:pt>
                <c:pt idx="31">
                  <c:v>44.543203208959646</c:v>
                </c:pt>
                <c:pt idx="32">
                  <c:v>44.350880195501865</c:v>
                </c:pt>
                <c:pt idx="33">
                  <c:v>44.335510412631784</c:v>
                </c:pt>
                <c:pt idx="34">
                  <c:v>44.108209023176904</c:v>
                </c:pt>
                <c:pt idx="35">
                  <c:v>44.326919348000182</c:v>
                </c:pt>
                <c:pt idx="36">
                  <c:v>44.275806533420941</c:v>
                </c:pt>
                <c:pt idx="37">
                  <c:v>43.979931181389908</c:v>
                </c:pt>
                <c:pt idx="38">
                  <c:v>43.773718062359407</c:v>
                </c:pt>
                <c:pt idx="39">
                  <c:v>43.790120904236815</c:v>
                </c:pt>
                <c:pt idx="40">
                  <c:v>43.902043257319335</c:v>
                </c:pt>
                <c:pt idx="41">
                  <c:v>44.092286681992888</c:v>
                </c:pt>
                <c:pt idx="42">
                  <c:v>43.701576307811465</c:v>
                </c:pt>
                <c:pt idx="43">
                  <c:v>43.721189703892129</c:v>
                </c:pt>
                <c:pt idx="44">
                  <c:v>43.62341354205244</c:v>
                </c:pt>
                <c:pt idx="45">
                  <c:v>43.722553445047566</c:v>
                </c:pt>
                <c:pt idx="46">
                  <c:v>43.554247313935569</c:v>
                </c:pt>
                <c:pt idx="47">
                  <c:v>43.5712170673524</c:v>
                </c:pt>
                <c:pt idx="48">
                  <c:v>43.39330441458273</c:v>
                </c:pt>
                <c:pt idx="49">
                  <c:v>43.400028083047069</c:v>
                </c:pt>
                <c:pt idx="50">
                  <c:v>43.676958476638092</c:v>
                </c:pt>
                <c:pt idx="51">
                  <c:v>43.404801243756268</c:v>
                </c:pt>
                <c:pt idx="52">
                  <c:v>43.401496553153734</c:v>
                </c:pt>
                <c:pt idx="53">
                  <c:v>43.429356532803624</c:v>
                </c:pt>
                <c:pt idx="54">
                  <c:v>43.217599498628935</c:v>
                </c:pt>
                <c:pt idx="55">
                  <c:v>43.334894998964273</c:v>
                </c:pt>
                <c:pt idx="56">
                  <c:v>43.29894803819527</c:v>
                </c:pt>
                <c:pt idx="57">
                  <c:v>43.161333172657429</c:v>
                </c:pt>
                <c:pt idx="58">
                  <c:v>43.014795931452277</c:v>
                </c:pt>
                <c:pt idx="59">
                  <c:v>43.373170109332086</c:v>
                </c:pt>
                <c:pt idx="60">
                  <c:v>43.358366969363829</c:v>
                </c:pt>
                <c:pt idx="61">
                  <c:v>43.305817328542915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9B-4EBA-9A35-77C8A734891B}"/>
            </c:ext>
          </c:extLst>
        </c:ser>
        <c:ser>
          <c:idx val="3"/>
          <c:order val="2"/>
          <c:tx>
            <c:strRef>
              <c:f>MEX!$Y$44</c:f>
              <c:strCache>
                <c:ptCount val="1"/>
                <c:pt idx="0">
                  <c:v>Job_ID_01 Set 3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MEX!$E$12:$E$73</c:f>
              <c:numCache>
                <c:formatCode>0.0</c:formatCode>
                <c:ptCount val="62"/>
                <c:pt idx="0">
                  <c:v>17.956</c:v>
                </c:pt>
                <c:pt idx="1">
                  <c:v>19.5</c:v>
                </c:pt>
                <c:pt idx="2">
                  <c:v>20.856999999999999</c:v>
                </c:pt>
                <c:pt idx="3">
                  <c:v>22.146999999999998</c:v>
                </c:pt>
                <c:pt idx="4">
                  <c:v>23.48</c:v>
                </c:pt>
                <c:pt idx="5">
                  <c:v>24.878</c:v>
                </c:pt>
                <c:pt idx="6">
                  <c:v>26.34</c:v>
                </c:pt>
                <c:pt idx="7">
                  <c:v>20.93</c:v>
                </c:pt>
                <c:pt idx="8">
                  <c:v>22.646000000000001</c:v>
                </c:pt>
                <c:pt idx="9">
                  <c:v>24.094999999999999</c:v>
                </c:pt>
                <c:pt idx="10">
                  <c:v>25.442</c:v>
                </c:pt>
                <c:pt idx="11">
                  <c:v>26.841999999999999</c:v>
                </c:pt>
                <c:pt idx="12">
                  <c:v>28.32</c:v>
                </c:pt>
                <c:pt idx="13">
                  <c:v>29.867000000000001</c:v>
                </c:pt>
                <c:pt idx="14">
                  <c:v>27.068000000000001</c:v>
                </c:pt>
                <c:pt idx="15">
                  <c:v>29.934000000000001</c:v>
                </c:pt>
                <c:pt idx="16">
                  <c:v>32.250999999999998</c:v>
                </c:pt>
                <c:pt idx="17">
                  <c:v>34.274999999999999</c:v>
                </c:pt>
                <c:pt idx="18">
                  <c:v>36.328000000000003</c:v>
                </c:pt>
                <c:pt idx="19">
                  <c:v>38.384999999999998</c:v>
                </c:pt>
                <c:pt idx="20">
                  <c:v>30.623000000000001</c:v>
                </c:pt>
                <c:pt idx="21">
                  <c:v>35.19</c:v>
                </c:pt>
                <c:pt idx="22">
                  <c:v>41.587000000000003</c:v>
                </c:pt>
                <c:pt idx="23">
                  <c:v>45.744</c:v>
                </c:pt>
                <c:pt idx="24">
                  <c:v>49.868000000000002</c:v>
                </c:pt>
                <c:pt idx="25">
                  <c:v>37.509</c:v>
                </c:pt>
                <c:pt idx="26">
                  <c:v>44.582999999999998</c:v>
                </c:pt>
                <c:pt idx="27">
                  <c:v>48.945</c:v>
                </c:pt>
                <c:pt idx="28">
                  <c:v>53.139000000000003</c:v>
                </c:pt>
                <c:pt idx="29">
                  <c:v>55.186999999999998</c:v>
                </c:pt>
                <c:pt idx="30">
                  <c:v>49.084000000000003</c:v>
                </c:pt>
                <c:pt idx="31">
                  <c:v>53.752000000000002</c:v>
                </c:pt>
                <c:pt idx="32">
                  <c:v>58.063000000000002</c:v>
                </c:pt>
                <c:pt idx="33">
                  <c:v>60.128</c:v>
                </c:pt>
                <c:pt idx="34">
                  <c:v>69.760999999999996</c:v>
                </c:pt>
                <c:pt idx="35">
                  <c:v>65</c:v>
                </c:pt>
                <c:pt idx="36">
                  <c:v>69.849999999999994</c:v>
                </c:pt>
                <c:pt idx="37">
                  <c:v>72.150000000000006</c:v>
                </c:pt>
                <c:pt idx="38">
                  <c:v>82.81</c:v>
                </c:pt>
                <c:pt idx="39">
                  <c:v>92.84</c:v>
                </c:pt>
                <c:pt idx="40">
                  <c:v>78.519000000000005</c:v>
                </c:pt>
                <c:pt idx="41">
                  <c:v>81.358000000000004</c:v>
                </c:pt>
                <c:pt idx="42">
                  <c:v>94.739000000000004</c:v>
                </c:pt>
                <c:pt idx="43">
                  <c:v>107.324</c:v>
                </c:pt>
                <c:pt idx="44">
                  <c:v>114.61199999999999</c:v>
                </c:pt>
                <c:pt idx="45">
                  <c:v>89.066000000000003</c:v>
                </c:pt>
                <c:pt idx="46">
                  <c:v>105.252</c:v>
                </c:pt>
                <c:pt idx="47">
                  <c:v>120.09699999999999</c:v>
                </c:pt>
                <c:pt idx="48">
                  <c:v>128.495</c:v>
                </c:pt>
                <c:pt idx="49">
                  <c:v>133.916</c:v>
                </c:pt>
                <c:pt idx="50">
                  <c:v>120.14700000000001</c:v>
                </c:pt>
                <c:pt idx="51">
                  <c:v>137.45500000000001</c:v>
                </c:pt>
                <c:pt idx="52">
                  <c:v>147.05000000000001</c:v>
                </c:pt>
                <c:pt idx="53">
                  <c:v>153.21</c:v>
                </c:pt>
                <c:pt idx="54">
                  <c:v>159.21700000000001</c:v>
                </c:pt>
                <c:pt idx="55">
                  <c:v>149.50700000000001</c:v>
                </c:pt>
                <c:pt idx="56">
                  <c:v>159.91800000000001</c:v>
                </c:pt>
                <c:pt idx="57">
                  <c:v>166.58099999999999</c:v>
                </c:pt>
                <c:pt idx="58">
                  <c:v>173.059</c:v>
                </c:pt>
                <c:pt idx="59">
                  <c:v>120.09699999999999</c:v>
                </c:pt>
                <c:pt idx="60">
                  <c:v>147.05000000000001</c:v>
                </c:pt>
                <c:pt idx="61">
                  <c:v>153.21</c:v>
                </c:pt>
              </c:numCache>
            </c:numRef>
          </c:xVal>
          <c:yVal>
            <c:numRef>
              <c:f>MEX!$I$12:$I$73</c:f>
              <c:numCache>
                <c:formatCode>0.00</c:formatCode>
                <c:ptCount val="62"/>
                <c:pt idx="0">
                  <c:v>47.547868664153405</c:v>
                </c:pt>
                <c:pt idx="1">
                  <c:v>47.347051451873448</c:v>
                </c:pt>
                <c:pt idx="2">
                  <c:v>46.833518656943689</c:v>
                </c:pt>
                <c:pt idx="3">
                  <c:v>46.551024364456218</c:v>
                </c:pt>
                <c:pt idx="4">
                  <c:v>46.255410032855551</c:v>
                </c:pt>
                <c:pt idx="5">
                  <c:v>46.096093849972945</c:v>
                </c:pt>
                <c:pt idx="6">
                  <c:v>45.986237701222834</c:v>
                </c:pt>
                <c:pt idx="7">
                  <c:v>46.271486858530892</c:v>
                </c:pt>
                <c:pt idx="8">
                  <c:v>45.905730313669459</c:v>
                </c:pt>
                <c:pt idx="9">
                  <c:v>45.65794754980336</c:v>
                </c:pt>
                <c:pt idx="10">
                  <c:v>45.587860190916636</c:v>
                </c:pt>
                <c:pt idx="11">
                  <c:v>45.502066687447794</c:v>
                </c:pt>
                <c:pt idx="12">
                  <c:v>45.370497708225983</c:v>
                </c:pt>
                <c:pt idx="13">
                  <c:v>45.391276952410308</c:v>
                </c:pt>
                <c:pt idx="14">
                  <c:v>44.936972237655297</c:v>
                </c:pt>
                <c:pt idx="15">
                  <c:v>45.020716014240925</c:v>
                </c:pt>
                <c:pt idx="16">
                  <c:v>45.029470584435558</c:v>
                </c:pt>
                <c:pt idx="17">
                  <c:v>44.9595605435753</c:v>
                </c:pt>
                <c:pt idx="18">
                  <c:v>44.872947522608897</c:v>
                </c:pt>
                <c:pt idx="19">
                  <c:v>44.795616388995228</c:v>
                </c:pt>
                <c:pt idx="20">
                  <c:v>44.854844144421328</c:v>
                </c:pt>
                <c:pt idx="21">
                  <c:v>44.924294020370077</c:v>
                </c:pt>
                <c:pt idx="22">
                  <c:v>44.783206147375367</c:v>
                </c:pt>
                <c:pt idx="23">
                  <c:v>44.688739385617978</c:v>
                </c:pt>
                <c:pt idx="24">
                  <c:v>44.377896338633633</c:v>
                </c:pt>
                <c:pt idx="25">
                  <c:v>44.986086368733062</c:v>
                </c:pt>
                <c:pt idx="26">
                  <c:v>44.802855187680422</c:v>
                </c:pt>
                <c:pt idx="27">
                  <c:v>44.600442188188389</c:v>
                </c:pt>
                <c:pt idx="28">
                  <c:v>44.412478609485667</c:v>
                </c:pt>
                <c:pt idx="29">
                  <c:v>44.425116736682135</c:v>
                </c:pt>
                <c:pt idx="30">
                  <c:v>44.60097194821001</c:v>
                </c:pt>
                <c:pt idx="31">
                  <c:v>44.511801382110768</c:v>
                </c:pt>
                <c:pt idx="32">
                  <c:v>44.435264699898717</c:v>
                </c:pt>
                <c:pt idx="33">
                  <c:v>44.38606652764939</c:v>
                </c:pt>
                <c:pt idx="34">
                  <c:v>44.003323870074183</c:v>
                </c:pt>
                <c:pt idx="35">
                  <c:v>44.184178512782047</c:v>
                </c:pt>
                <c:pt idx="36">
                  <c:v>44.173932147693165</c:v>
                </c:pt>
                <c:pt idx="37">
                  <c:v>44.097628433678643</c:v>
                </c:pt>
                <c:pt idx="38">
                  <c:v>43.771711335394741</c:v>
                </c:pt>
                <c:pt idx="39">
                  <c:v>43.714980291427047</c:v>
                </c:pt>
                <c:pt idx="40">
                  <c:v>43.969502155532048</c:v>
                </c:pt>
                <c:pt idx="41">
                  <c:v>43.905782095868801</c:v>
                </c:pt>
                <c:pt idx="42">
                  <c:v>43.679734739163067</c:v>
                </c:pt>
                <c:pt idx="43">
                  <c:v>43.409450717891957</c:v>
                </c:pt>
                <c:pt idx="44">
                  <c:v>43.545802008809787</c:v>
                </c:pt>
                <c:pt idx="45">
                  <c:v>43.682490976777366</c:v>
                </c:pt>
                <c:pt idx="46">
                  <c:v>43.612414507351055</c:v>
                </c:pt>
                <c:pt idx="47">
                  <c:v>43.496012352359557</c:v>
                </c:pt>
                <c:pt idx="48">
                  <c:v>43.461384656188287</c:v>
                </c:pt>
                <c:pt idx="49">
                  <c:v>43.365100722787048</c:v>
                </c:pt>
                <c:pt idx="50">
                  <c:v>43.449247732798703</c:v>
                </c:pt>
                <c:pt idx="51">
                  <c:v>43.446165289448082</c:v>
                </c:pt>
                <c:pt idx="52">
                  <c:v>43.337567650074902</c:v>
                </c:pt>
                <c:pt idx="53">
                  <c:v>43.155667537735951</c:v>
                </c:pt>
                <c:pt idx="54">
                  <c:v>43.094736545706326</c:v>
                </c:pt>
                <c:pt idx="55">
                  <c:v>43.129445098776301</c:v>
                </c:pt>
                <c:pt idx="56">
                  <c:v>43.222950590743693</c:v>
                </c:pt>
                <c:pt idx="57">
                  <c:v>43.083653065493372</c:v>
                </c:pt>
                <c:pt idx="58">
                  <c:v>43.070332764257763</c:v>
                </c:pt>
                <c:pt idx="59">
                  <c:v>43.332892944416528</c:v>
                </c:pt>
                <c:pt idx="60">
                  <c:v>43.286072204935664</c:v>
                </c:pt>
                <c:pt idx="61">
                  <c:v>43.234711168264994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9B-4EBA-9A35-77C8A734891B}"/>
            </c:ext>
          </c:extLst>
        </c:ser>
        <c:ser>
          <c:idx val="5"/>
          <c:order val="3"/>
          <c:tx>
            <c:strRef>
              <c:f>MEX!$Y$45</c:f>
              <c:strCache>
                <c:ptCount val="1"/>
                <c:pt idx="0">
                  <c:v>Job_ID_01 Set 4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MEX!$E$12:$E$73</c:f>
              <c:numCache>
                <c:formatCode>0.0</c:formatCode>
                <c:ptCount val="62"/>
                <c:pt idx="0">
                  <c:v>17.956</c:v>
                </c:pt>
                <c:pt idx="1">
                  <c:v>19.5</c:v>
                </c:pt>
                <c:pt idx="2">
                  <c:v>20.856999999999999</c:v>
                </c:pt>
                <c:pt idx="3">
                  <c:v>22.146999999999998</c:v>
                </c:pt>
                <c:pt idx="4">
                  <c:v>23.48</c:v>
                </c:pt>
                <c:pt idx="5">
                  <c:v>24.878</c:v>
                </c:pt>
                <c:pt idx="6">
                  <c:v>26.34</c:v>
                </c:pt>
                <c:pt idx="7">
                  <c:v>20.93</c:v>
                </c:pt>
                <c:pt idx="8">
                  <c:v>22.646000000000001</c:v>
                </c:pt>
                <c:pt idx="9">
                  <c:v>24.094999999999999</c:v>
                </c:pt>
                <c:pt idx="10">
                  <c:v>25.442</c:v>
                </c:pt>
                <c:pt idx="11">
                  <c:v>26.841999999999999</c:v>
                </c:pt>
                <c:pt idx="12">
                  <c:v>28.32</c:v>
                </c:pt>
                <c:pt idx="13">
                  <c:v>29.867000000000001</c:v>
                </c:pt>
                <c:pt idx="14">
                  <c:v>27.068000000000001</c:v>
                </c:pt>
                <c:pt idx="15">
                  <c:v>29.934000000000001</c:v>
                </c:pt>
                <c:pt idx="16">
                  <c:v>32.250999999999998</c:v>
                </c:pt>
                <c:pt idx="17">
                  <c:v>34.274999999999999</c:v>
                </c:pt>
                <c:pt idx="18">
                  <c:v>36.328000000000003</c:v>
                </c:pt>
                <c:pt idx="19">
                  <c:v>38.384999999999998</c:v>
                </c:pt>
                <c:pt idx="20">
                  <c:v>30.623000000000001</c:v>
                </c:pt>
                <c:pt idx="21">
                  <c:v>35.19</c:v>
                </c:pt>
                <c:pt idx="22">
                  <c:v>41.587000000000003</c:v>
                </c:pt>
                <c:pt idx="23">
                  <c:v>45.744</c:v>
                </c:pt>
                <c:pt idx="24">
                  <c:v>49.868000000000002</c:v>
                </c:pt>
                <c:pt idx="25">
                  <c:v>37.509</c:v>
                </c:pt>
                <c:pt idx="26">
                  <c:v>44.582999999999998</c:v>
                </c:pt>
                <c:pt idx="27">
                  <c:v>48.945</c:v>
                </c:pt>
                <c:pt idx="28">
                  <c:v>53.139000000000003</c:v>
                </c:pt>
                <c:pt idx="29">
                  <c:v>55.186999999999998</c:v>
                </c:pt>
                <c:pt idx="30">
                  <c:v>49.084000000000003</c:v>
                </c:pt>
                <c:pt idx="31">
                  <c:v>53.752000000000002</c:v>
                </c:pt>
                <c:pt idx="32">
                  <c:v>58.063000000000002</c:v>
                </c:pt>
                <c:pt idx="33">
                  <c:v>60.128</c:v>
                </c:pt>
                <c:pt idx="34">
                  <c:v>69.760999999999996</c:v>
                </c:pt>
                <c:pt idx="35">
                  <c:v>65</c:v>
                </c:pt>
                <c:pt idx="36">
                  <c:v>69.849999999999994</c:v>
                </c:pt>
                <c:pt idx="37">
                  <c:v>72.150000000000006</c:v>
                </c:pt>
                <c:pt idx="38">
                  <c:v>82.81</c:v>
                </c:pt>
                <c:pt idx="39">
                  <c:v>92.84</c:v>
                </c:pt>
                <c:pt idx="40">
                  <c:v>78.519000000000005</c:v>
                </c:pt>
                <c:pt idx="41">
                  <c:v>81.358000000000004</c:v>
                </c:pt>
                <c:pt idx="42">
                  <c:v>94.739000000000004</c:v>
                </c:pt>
                <c:pt idx="43">
                  <c:v>107.324</c:v>
                </c:pt>
                <c:pt idx="44">
                  <c:v>114.61199999999999</c:v>
                </c:pt>
                <c:pt idx="45">
                  <c:v>89.066000000000003</c:v>
                </c:pt>
                <c:pt idx="46">
                  <c:v>105.252</c:v>
                </c:pt>
                <c:pt idx="47">
                  <c:v>120.09699999999999</c:v>
                </c:pt>
                <c:pt idx="48">
                  <c:v>128.495</c:v>
                </c:pt>
                <c:pt idx="49">
                  <c:v>133.916</c:v>
                </c:pt>
                <c:pt idx="50">
                  <c:v>120.14700000000001</c:v>
                </c:pt>
                <c:pt idx="51">
                  <c:v>137.45500000000001</c:v>
                </c:pt>
                <c:pt idx="52">
                  <c:v>147.05000000000001</c:v>
                </c:pt>
                <c:pt idx="53">
                  <c:v>153.21</c:v>
                </c:pt>
                <c:pt idx="54">
                  <c:v>159.21700000000001</c:v>
                </c:pt>
                <c:pt idx="55">
                  <c:v>149.50700000000001</c:v>
                </c:pt>
                <c:pt idx="56">
                  <c:v>159.91800000000001</c:v>
                </c:pt>
                <c:pt idx="57">
                  <c:v>166.58099999999999</c:v>
                </c:pt>
                <c:pt idx="58">
                  <c:v>173.059</c:v>
                </c:pt>
                <c:pt idx="59">
                  <c:v>120.09699999999999</c:v>
                </c:pt>
                <c:pt idx="60">
                  <c:v>147.05000000000001</c:v>
                </c:pt>
                <c:pt idx="61">
                  <c:v>153.21</c:v>
                </c:pt>
              </c:numCache>
            </c:numRef>
          </c:xVal>
          <c:yVal>
            <c:numRef>
              <c:f>MEX!$K$12:$K$73</c:f>
              <c:numCache>
                <c:formatCode>0.00</c:formatCode>
                <c:ptCount val="6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9B-4EBA-9A35-77C8A734891B}"/>
            </c:ext>
          </c:extLst>
        </c:ser>
        <c:ser>
          <c:idx val="0"/>
          <c:order val="4"/>
          <c:tx>
            <c:strRef>
              <c:f>MEX!$Y$46</c:f>
              <c:strCache>
                <c:ptCount val="1"/>
                <c:pt idx="0">
                  <c:v>Previous (None)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MEX!$E$12:$E$73</c:f>
              <c:numCache>
                <c:formatCode>0.0</c:formatCode>
                <c:ptCount val="62"/>
                <c:pt idx="0">
                  <c:v>17.956</c:v>
                </c:pt>
                <c:pt idx="1">
                  <c:v>19.5</c:v>
                </c:pt>
                <c:pt idx="2">
                  <c:v>20.856999999999999</c:v>
                </c:pt>
                <c:pt idx="3">
                  <c:v>22.146999999999998</c:v>
                </c:pt>
                <c:pt idx="4">
                  <c:v>23.48</c:v>
                </c:pt>
                <c:pt idx="5">
                  <c:v>24.878</c:v>
                </c:pt>
                <c:pt idx="6">
                  <c:v>26.34</c:v>
                </c:pt>
                <c:pt idx="7">
                  <c:v>20.93</c:v>
                </c:pt>
                <c:pt idx="8">
                  <c:v>22.646000000000001</c:v>
                </c:pt>
                <c:pt idx="9">
                  <c:v>24.094999999999999</c:v>
                </c:pt>
                <c:pt idx="10">
                  <c:v>25.442</c:v>
                </c:pt>
                <c:pt idx="11">
                  <c:v>26.841999999999999</c:v>
                </c:pt>
                <c:pt idx="12">
                  <c:v>28.32</c:v>
                </c:pt>
                <c:pt idx="13">
                  <c:v>29.867000000000001</c:v>
                </c:pt>
                <c:pt idx="14">
                  <c:v>27.068000000000001</c:v>
                </c:pt>
                <c:pt idx="15">
                  <c:v>29.934000000000001</c:v>
                </c:pt>
                <c:pt idx="16">
                  <c:v>32.250999999999998</c:v>
                </c:pt>
                <c:pt idx="17">
                  <c:v>34.274999999999999</c:v>
                </c:pt>
                <c:pt idx="18">
                  <c:v>36.328000000000003</c:v>
                </c:pt>
                <c:pt idx="19">
                  <c:v>38.384999999999998</c:v>
                </c:pt>
                <c:pt idx="20">
                  <c:v>30.623000000000001</c:v>
                </c:pt>
                <c:pt idx="21">
                  <c:v>35.19</c:v>
                </c:pt>
                <c:pt idx="22">
                  <c:v>41.587000000000003</c:v>
                </c:pt>
                <c:pt idx="23">
                  <c:v>45.744</c:v>
                </c:pt>
                <c:pt idx="24">
                  <c:v>49.868000000000002</c:v>
                </c:pt>
                <c:pt idx="25">
                  <c:v>37.509</c:v>
                </c:pt>
                <c:pt idx="26">
                  <c:v>44.582999999999998</c:v>
                </c:pt>
                <c:pt idx="27">
                  <c:v>48.945</c:v>
                </c:pt>
                <c:pt idx="28">
                  <c:v>53.139000000000003</c:v>
                </c:pt>
                <c:pt idx="29">
                  <c:v>55.186999999999998</c:v>
                </c:pt>
                <c:pt idx="30">
                  <c:v>49.084000000000003</c:v>
                </c:pt>
                <c:pt idx="31">
                  <c:v>53.752000000000002</c:v>
                </c:pt>
                <c:pt idx="32">
                  <c:v>58.063000000000002</c:v>
                </c:pt>
                <c:pt idx="33">
                  <c:v>60.128</c:v>
                </c:pt>
                <c:pt idx="34">
                  <c:v>69.760999999999996</c:v>
                </c:pt>
                <c:pt idx="35">
                  <c:v>65</c:v>
                </c:pt>
                <c:pt idx="36">
                  <c:v>69.849999999999994</c:v>
                </c:pt>
                <c:pt idx="37">
                  <c:v>72.150000000000006</c:v>
                </c:pt>
                <c:pt idx="38">
                  <c:v>82.81</c:v>
                </c:pt>
                <c:pt idx="39">
                  <c:v>92.84</c:v>
                </c:pt>
                <c:pt idx="40">
                  <c:v>78.519000000000005</c:v>
                </c:pt>
                <c:pt idx="41">
                  <c:v>81.358000000000004</c:v>
                </c:pt>
                <c:pt idx="42">
                  <c:v>94.739000000000004</c:v>
                </c:pt>
                <c:pt idx="43">
                  <c:v>107.324</c:v>
                </c:pt>
                <c:pt idx="44">
                  <c:v>114.61199999999999</c:v>
                </c:pt>
                <c:pt idx="45">
                  <c:v>89.066000000000003</c:v>
                </c:pt>
                <c:pt idx="46">
                  <c:v>105.252</c:v>
                </c:pt>
                <c:pt idx="47">
                  <c:v>120.09699999999999</c:v>
                </c:pt>
                <c:pt idx="48">
                  <c:v>128.495</c:v>
                </c:pt>
                <c:pt idx="49">
                  <c:v>133.916</c:v>
                </c:pt>
                <c:pt idx="50">
                  <c:v>120.14700000000001</c:v>
                </c:pt>
                <c:pt idx="51">
                  <c:v>137.45500000000001</c:v>
                </c:pt>
                <c:pt idx="52">
                  <c:v>147.05000000000001</c:v>
                </c:pt>
                <c:pt idx="53">
                  <c:v>153.21</c:v>
                </c:pt>
                <c:pt idx="54">
                  <c:v>159.21700000000001</c:v>
                </c:pt>
                <c:pt idx="55">
                  <c:v>149.50700000000001</c:v>
                </c:pt>
                <c:pt idx="56">
                  <c:v>159.91800000000001</c:v>
                </c:pt>
                <c:pt idx="57">
                  <c:v>166.58099999999999</c:v>
                </c:pt>
                <c:pt idx="58">
                  <c:v>173.059</c:v>
                </c:pt>
                <c:pt idx="59">
                  <c:v>120.09699999999999</c:v>
                </c:pt>
                <c:pt idx="60">
                  <c:v>147.05000000000001</c:v>
                </c:pt>
                <c:pt idx="61">
                  <c:v>153.21</c:v>
                </c:pt>
              </c:numCache>
            </c:numRef>
          </c:xVal>
          <c:yVal>
            <c:numRef>
              <c:f>MEX!$P$12:$P$73</c:f>
              <c:numCache>
                <c:formatCode>0.00</c:formatCode>
                <c:ptCount val="6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9B-4EBA-9A35-77C8A734891B}"/>
            </c:ext>
          </c:extLst>
        </c:ser>
        <c:ser>
          <c:idx val="4"/>
          <c:order val="5"/>
          <c:tx>
            <c:strRef>
              <c:f>MEX!$Y$47</c:f>
              <c:strCache>
                <c:ptCount val="1"/>
                <c:pt idx="0">
                  <c:v>QA chamber 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MEX!$E$12:$E$73</c:f>
              <c:numCache>
                <c:formatCode>0.0</c:formatCode>
                <c:ptCount val="62"/>
                <c:pt idx="0">
                  <c:v>17.956</c:v>
                </c:pt>
                <c:pt idx="1">
                  <c:v>19.5</c:v>
                </c:pt>
                <c:pt idx="2">
                  <c:v>20.856999999999999</c:v>
                </c:pt>
                <c:pt idx="3">
                  <c:v>22.146999999999998</c:v>
                </c:pt>
                <c:pt idx="4">
                  <c:v>23.48</c:v>
                </c:pt>
                <c:pt idx="5">
                  <c:v>24.878</c:v>
                </c:pt>
                <c:pt idx="6">
                  <c:v>26.34</c:v>
                </c:pt>
                <c:pt idx="7">
                  <c:v>20.93</c:v>
                </c:pt>
                <c:pt idx="8">
                  <c:v>22.646000000000001</c:v>
                </c:pt>
                <c:pt idx="9">
                  <c:v>24.094999999999999</c:v>
                </c:pt>
                <c:pt idx="10">
                  <c:v>25.442</c:v>
                </c:pt>
                <c:pt idx="11">
                  <c:v>26.841999999999999</c:v>
                </c:pt>
                <c:pt idx="12">
                  <c:v>28.32</c:v>
                </c:pt>
                <c:pt idx="13">
                  <c:v>29.867000000000001</c:v>
                </c:pt>
                <c:pt idx="14">
                  <c:v>27.068000000000001</c:v>
                </c:pt>
                <c:pt idx="15">
                  <c:v>29.934000000000001</c:v>
                </c:pt>
                <c:pt idx="16">
                  <c:v>32.250999999999998</c:v>
                </c:pt>
                <c:pt idx="17">
                  <c:v>34.274999999999999</c:v>
                </c:pt>
                <c:pt idx="18">
                  <c:v>36.328000000000003</c:v>
                </c:pt>
                <c:pt idx="19">
                  <c:v>38.384999999999998</c:v>
                </c:pt>
                <c:pt idx="20">
                  <c:v>30.623000000000001</c:v>
                </c:pt>
                <c:pt idx="21">
                  <c:v>35.19</c:v>
                </c:pt>
                <c:pt idx="22">
                  <c:v>41.587000000000003</c:v>
                </c:pt>
                <c:pt idx="23">
                  <c:v>45.744</c:v>
                </c:pt>
                <c:pt idx="24">
                  <c:v>49.868000000000002</c:v>
                </c:pt>
                <c:pt idx="25">
                  <c:v>37.509</c:v>
                </c:pt>
                <c:pt idx="26">
                  <c:v>44.582999999999998</c:v>
                </c:pt>
                <c:pt idx="27">
                  <c:v>48.945</c:v>
                </c:pt>
                <c:pt idx="28">
                  <c:v>53.139000000000003</c:v>
                </c:pt>
                <c:pt idx="29">
                  <c:v>55.186999999999998</c:v>
                </c:pt>
                <c:pt idx="30">
                  <c:v>49.084000000000003</c:v>
                </c:pt>
                <c:pt idx="31">
                  <c:v>53.752000000000002</c:v>
                </c:pt>
                <c:pt idx="32">
                  <c:v>58.063000000000002</c:v>
                </c:pt>
                <c:pt idx="33">
                  <c:v>60.128</c:v>
                </c:pt>
                <c:pt idx="34">
                  <c:v>69.760999999999996</c:v>
                </c:pt>
                <c:pt idx="35">
                  <c:v>65</c:v>
                </c:pt>
                <c:pt idx="36">
                  <c:v>69.849999999999994</c:v>
                </c:pt>
                <c:pt idx="37">
                  <c:v>72.150000000000006</c:v>
                </c:pt>
                <c:pt idx="38">
                  <c:v>82.81</c:v>
                </c:pt>
                <c:pt idx="39">
                  <c:v>92.84</c:v>
                </c:pt>
                <c:pt idx="40">
                  <c:v>78.519000000000005</c:v>
                </c:pt>
                <c:pt idx="41">
                  <c:v>81.358000000000004</c:v>
                </c:pt>
                <c:pt idx="42">
                  <c:v>94.739000000000004</c:v>
                </c:pt>
                <c:pt idx="43">
                  <c:v>107.324</c:v>
                </c:pt>
                <c:pt idx="44">
                  <c:v>114.61199999999999</c:v>
                </c:pt>
                <c:pt idx="45">
                  <c:v>89.066000000000003</c:v>
                </c:pt>
                <c:pt idx="46">
                  <c:v>105.252</c:v>
                </c:pt>
                <c:pt idx="47">
                  <c:v>120.09699999999999</c:v>
                </c:pt>
                <c:pt idx="48">
                  <c:v>128.495</c:v>
                </c:pt>
                <c:pt idx="49">
                  <c:v>133.916</c:v>
                </c:pt>
                <c:pt idx="50">
                  <c:v>120.14700000000001</c:v>
                </c:pt>
                <c:pt idx="51">
                  <c:v>137.45500000000001</c:v>
                </c:pt>
                <c:pt idx="52">
                  <c:v>147.05000000000001</c:v>
                </c:pt>
                <c:pt idx="53">
                  <c:v>153.21</c:v>
                </c:pt>
                <c:pt idx="54">
                  <c:v>159.21700000000001</c:v>
                </c:pt>
                <c:pt idx="55">
                  <c:v>149.50700000000001</c:v>
                </c:pt>
                <c:pt idx="56">
                  <c:v>159.91800000000001</c:v>
                </c:pt>
                <c:pt idx="57">
                  <c:v>166.58099999999999</c:v>
                </c:pt>
                <c:pt idx="58">
                  <c:v>173.059</c:v>
                </c:pt>
                <c:pt idx="59">
                  <c:v>120.09699999999999</c:v>
                </c:pt>
                <c:pt idx="60">
                  <c:v>147.05000000000001</c:v>
                </c:pt>
                <c:pt idx="61">
                  <c:v>153.21</c:v>
                </c:pt>
              </c:numCache>
            </c:numRef>
          </c:xVal>
          <c:yVal>
            <c:numRef>
              <c:f>MEX!$S$12:$S$73</c:f>
              <c:numCache>
                <c:formatCode>0.00</c:formatCode>
                <c:ptCount val="6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9B-4EBA-9A35-77C8A7348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584776"/>
        <c:axId val="1"/>
      </c:scatterChart>
      <c:valAx>
        <c:axId val="348584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Effective Energy (keV)</a:t>
                </a:r>
              </a:p>
            </c:rich>
          </c:tx>
          <c:layout>
            <c:manualLayout>
              <c:xMode val="edge"/>
              <c:yMode val="edge"/>
              <c:x val="0.43321761359755678"/>
              <c:y val="0.9265892541642410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8"/>
          <c:min val="4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Calibration factor (mGy/nC)</a:t>
                </a:r>
              </a:p>
            </c:rich>
          </c:tx>
          <c:layout>
            <c:manualLayout>
              <c:xMode val="edge"/>
              <c:yMode val="edge"/>
              <c:x val="6.9686828179934754E-3"/>
              <c:y val="0.2658733417077728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5847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3111507901660991"/>
          <c:y val="6.8232482612825149E-2"/>
          <c:w val="0.60782666107257044"/>
          <c:h val="0.293651357782611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2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5470519847674"/>
          <c:y val="3.2251328061116545E-2"/>
          <c:w val="0.79993889088737002"/>
          <c:h val="0.83337919361387014"/>
        </c:manualLayout>
      </c:layout>
      <c:scatterChart>
        <c:scatterStyle val="lineMarker"/>
        <c:varyColors val="0"/>
        <c:ser>
          <c:idx val="0"/>
          <c:order val="0"/>
          <c:tx>
            <c:v>40 kVp</c:v>
          </c:tx>
          <c:spPr>
            <a:ln w="28575">
              <a:solidFill>
                <a:schemeClr val="accent1"/>
              </a:solidFill>
            </a:ln>
          </c:spPr>
          <c:xVal>
            <c:numRef>
              <c:f>MEXtabs!$M$8:$M$10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xVal>
          <c:yVal>
            <c:numRef>
              <c:f>MEXtabs!$T$8:$T$10</c:f>
              <c:numCache>
                <c:formatCode>0.00</c:formatCode>
                <c:ptCount val="3"/>
                <c:pt idx="0">
                  <c:v>47.693535864374525</c:v>
                </c:pt>
                <c:pt idx="1">
                  <c:v>46.203313821965558</c:v>
                </c:pt>
                <c:pt idx="2">
                  <c:v>44.99892515741616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C-48B7-913C-64CD350DD935}"/>
            </c:ext>
          </c:extLst>
        </c:ser>
        <c:ser>
          <c:idx val="1"/>
          <c:order val="1"/>
          <c:tx>
            <c:v>50 kVp</c:v>
          </c:tx>
          <c:marker>
            <c:symbol val="diamond"/>
            <c:size val="5"/>
          </c:marker>
          <c:xVal>
            <c:numRef>
              <c:f>MEXtabs!$M$11:$M$14</c:f>
              <c:numCache>
                <c:formatCode>General</c:formatCode>
                <c:ptCount val="4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MEXtabs!$T$11:$T$14</c:f>
              <c:numCache>
                <c:formatCode>0.00</c:formatCode>
                <c:ptCount val="4"/>
                <c:pt idx="0">
                  <c:v>47.316194322138813</c:v>
                </c:pt>
                <c:pt idx="1">
                  <c:v>45.914809793111083</c:v>
                </c:pt>
                <c:pt idx="2">
                  <c:v>45.021741124033042</c:v>
                </c:pt>
                <c:pt idx="3">
                  <c:v>44.909193923534019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0C-48B7-913C-64CD350DD935}"/>
            </c:ext>
          </c:extLst>
        </c:ser>
        <c:ser>
          <c:idx val="2"/>
          <c:order val="2"/>
          <c:tx>
            <c:v>60 kVp</c:v>
          </c:tx>
          <c:marker>
            <c:symbol val="diamond"/>
            <c:size val="5"/>
          </c:marker>
          <c:xVal>
            <c:numRef>
              <c:f>MEXtabs!$M$15:$M$17</c:f>
              <c:numCache>
                <c:formatCode>General</c:formatCode>
                <c:ptCount val="3"/>
                <c:pt idx="0">
                  <c:v>60</c:v>
                </c:pt>
                <c:pt idx="1">
                  <c:v>60</c:v>
                </c:pt>
                <c:pt idx="2">
                  <c:v>60</c:v>
                </c:pt>
              </c:numCache>
            </c:numRef>
          </c:xVal>
          <c:yVal>
            <c:numRef>
              <c:f>MEXtabs!$T$15:$T$17</c:f>
              <c:numCache>
                <c:formatCode>0.00</c:formatCode>
                <c:ptCount val="3"/>
                <c:pt idx="0">
                  <c:v>46.813271686133454</c:v>
                </c:pt>
                <c:pt idx="1">
                  <c:v>45.792090469114378</c:v>
                </c:pt>
                <c:pt idx="2">
                  <c:v>45.047957186376919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0C-48B7-913C-64CD350DD935}"/>
            </c:ext>
          </c:extLst>
        </c:ser>
        <c:ser>
          <c:idx val="3"/>
          <c:order val="3"/>
          <c:tx>
            <c:v>70 kVp</c:v>
          </c:tx>
          <c:marker>
            <c:symbol val="diamond"/>
            <c:size val="5"/>
          </c:marker>
          <c:xVal>
            <c:numRef>
              <c:f>MEXtabs!$M$18:$M$22</c:f>
              <c:numCache>
                <c:formatCode>General</c:formatCode>
                <c:ptCount val="5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</c:numCache>
            </c:numRef>
          </c:xVal>
          <c:yVal>
            <c:numRef>
              <c:f>MEXtabs!$T$18:$T$22</c:f>
              <c:numCache>
                <c:formatCode>0.00</c:formatCode>
                <c:ptCount val="5"/>
                <c:pt idx="0">
                  <c:v>46.58433497953672</c:v>
                </c:pt>
                <c:pt idx="1">
                  <c:v>45.625916563366793</c:v>
                </c:pt>
                <c:pt idx="2">
                  <c:v>44.974926824133554</c:v>
                </c:pt>
                <c:pt idx="3">
                  <c:v>44.93060349187283</c:v>
                </c:pt>
                <c:pt idx="4">
                  <c:v>44.834642207686024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0C-48B7-913C-64CD350DD935}"/>
            </c:ext>
          </c:extLst>
        </c:ser>
        <c:ser>
          <c:idx val="4"/>
          <c:order val="4"/>
          <c:tx>
            <c:v>80 kVp</c:v>
          </c:tx>
          <c:marker>
            <c:symbol val="diamond"/>
            <c:size val="5"/>
          </c:marker>
          <c:xVal>
            <c:numRef>
              <c:f>MEXtabs!$M$23:$M$25</c:f>
              <c:numCache>
                <c:formatCode>General</c:formatCode>
                <c:ptCount val="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</c:numCache>
            </c:numRef>
          </c:xVal>
          <c:yVal>
            <c:numRef>
              <c:f>MEXtabs!$T$23:$T$25</c:f>
              <c:numCache>
                <c:formatCode>0.00</c:formatCode>
                <c:ptCount val="3"/>
                <c:pt idx="0">
                  <c:v>46.356066401222279</c:v>
                </c:pt>
                <c:pt idx="1">
                  <c:v>45.516912000756918</c:v>
                </c:pt>
                <c:pt idx="2">
                  <c:v>44.884206076157788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50C-48B7-913C-64CD350DD935}"/>
            </c:ext>
          </c:extLst>
        </c:ser>
        <c:ser>
          <c:idx val="5"/>
          <c:order val="5"/>
          <c:tx>
            <c:v>90 kVp</c:v>
          </c:tx>
          <c:marker>
            <c:symbol val="diamond"/>
            <c:size val="5"/>
          </c:marker>
          <c:xVal>
            <c:numRef>
              <c:f>MEXtabs!$M$26:$M$28</c:f>
              <c:numCache>
                <c:formatCode>General</c:formatCode>
                <c:ptCount val="3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xVal>
          <c:yVal>
            <c:numRef>
              <c:f>MEXtabs!$T$26:$T$28</c:f>
              <c:numCache>
                <c:formatCode>0.00</c:formatCode>
                <c:ptCount val="3"/>
                <c:pt idx="0">
                  <c:v>46.158010183854593</c:v>
                </c:pt>
                <c:pt idx="1">
                  <c:v>45.379279329759093</c:v>
                </c:pt>
                <c:pt idx="2">
                  <c:v>44.84083069639663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0C-48B7-913C-64CD350DD935}"/>
            </c:ext>
          </c:extLst>
        </c:ser>
        <c:ser>
          <c:idx val="6"/>
          <c:order val="6"/>
          <c:tx>
            <c:v>100 kVp</c:v>
          </c:tx>
          <c:marker>
            <c:symbol val="diamond"/>
            <c:size val="5"/>
          </c:marker>
          <c:xVal>
            <c:numRef>
              <c:f>MEXtabs!$M$29:$M$33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</c:numCache>
            </c:numRef>
          </c:xVal>
          <c:yVal>
            <c:numRef>
              <c:f>MEXtabs!$T$29:$T$33</c:f>
              <c:numCache>
                <c:formatCode>0.00</c:formatCode>
                <c:ptCount val="5"/>
                <c:pt idx="0">
                  <c:v>45.974847556635403</c:v>
                </c:pt>
                <c:pt idx="1">
                  <c:v>45.340349958431013</c:v>
                </c:pt>
                <c:pt idx="2">
                  <c:v>44.778484986701471</c:v>
                </c:pt>
                <c:pt idx="3">
                  <c:v>44.731165114354809</c:v>
                </c:pt>
                <c:pt idx="4">
                  <c:v>44.632603356945602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50C-48B7-913C-64CD350DD935}"/>
            </c:ext>
          </c:extLst>
        </c:ser>
        <c:ser>
          <c:idx val="7"/>
          <c:order val="7"/>
          <c:tx>
            <c:v>120 kVp</c:v>
          </c:tx>
          <c:marker>
            <c:symbol val="diamond"/>
            <c:size val="5"/>
          </c:marker>
          <c:xVal>
            <c:numRef>
              <c:f>MEXtabs!$M$34:$M$37</c:f>
              <c:numCache>
                <c:formatCode>General</c:formatCode>
                <c:ptCount val="4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</c:numCache>
            </c:numRef>
          </c:xVal>
          <c:yVal>
            <c:numRef>
              <c:f>MEXtabs!$T$34:$T$37</c:f>
              <c:numCache>
                <c:formatCode>0.00</c:formatCode>
                <c:ptCount val="4"/>
                <c:pt idx="0">
                  <c:v>44.639950752706113</c:v>
                </c:pt>
                <c:pt idx="1">
                  <c:v>44.596340368679414</c:v>
                </c:pt>
                <c:pt idx="2">
                  <c:v>44.507133371596417</c:v>
                </c:pt>
                <c:pt idx="3">
                  <c:v>44.240487322441858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50C-48B7-913C-64CD350DD935}"/>
            </c:ext>
          </c:extLst>
        </c:ser>
        <c:ser>
          <c:idx val="8"/>
          <c:order val="8"/>
          <c:tx>
            <c:v>140 kVp</c:v>
          </c:tx>
          <c:marker>
            <c:symbol val="diamond"/>
            <c:size val="5"/>
          </c:marker>
          <c:xVal>
            <c:numRef>
              <c:f>MEXtabs!$M$38:$M$42</c:f>
              <c:numCache>
                <c:formatCode>General</c:formatCode>
                <c:ptCount val="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</c:numCache>
            </c:numRef>
          </c:xVal>
          <c:yVal>
            <c:numRef>
              <c:f>MEXtabs!$T$38:$T$42</c:f>
              <c:numCache>
                <c:formatCode>0.00</c:formatCode>
                <c:ptCount val="5"/>
                <c:pt idx="0">
                  <c:v>44.472387610906146</c:v>
                </c:pt>
                <c:pt idx="1">
                  <c:v>44.43867098352041</c:v>
                </c:pt>
                <c:pt idx="2">
                  <c:v>44.384979291011668</c:v>
                </c:pt>
                <c:pt idx="3">
                  <c:v>44.18764444505527</c:v>
                </c:pt>
                <c:pt idx="4">
                  <c:v>43.911575134422748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50C-48B7-913C-64CD350DD935}"/>
            </c:ext>
          </c:extLst>
        </c:ser>
        <c:ser>
          <c:idx val="9"/>
          <c:order val="9"/>
          <c:tx>
            <c:v>150 kVp</c:v>
          </c:tx>
          <c:xVal>
            <c:numRef>
              <c:f>MEXtabs!$M$43:$M$47</c:f>
              <c:numCache>
                <c:formatCode>General</c:formatCode>
                <c:ptCount val="5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</c:numCache>
            </c:numRef>
          </c:xVal>
          <c:yVal>
            <c:numRef>
              <c:f>MEXtabs!$T$43:$T$47</c:f>
              <c:numCache>
                <c:formatCode>0.00</c:formatCode>
                <c:ptCount val="5"/>
                <c:pt idx="0">
                  <c:v>44.399662164670268</c:v>
                </c:pt>
                <c:pt idx="1">
                  <c:v>44.335713004340583</c:v>
                </c:pt>
                <c:pt idx="2">
                  <c:v>44.039866906401102</c:v>
                </c:pt>
                <c:pt idx="3">
                  <c:v>43.934594021953615</c:v>
                </c:pt>
                <c:pt idx="4">
                  <c:v>43.691969444983592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50C-48B7-913C-64CD350DD935}"/>
            </c:ext>
          </c:extLst>
        </c:ser>
        <c:ser>
          <c:idx val="10"/>
          <c:order val="10"/>
          <c:tx>
            <c:v>200 kVp</c:v>
          </c:tx>
          <c:marker>
            <c:symbol val="diamond"/>
            <c:size val="5"/>
          </c:marker>
          <c:xVal>
            <c:numRef>
              <c:f>MEXtabs!$M$48:$M$52</c:f>
              <c:numCache>
                <c:formatCode>General</c:formatCode>
                <c:ptCount val="5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</c:numCache>
            </c:numRef>
          </c:xVal>
          <c:yVal>
            <c:numRef>
              <c:f>MEXtabs!$T$48:$T$52</c:f>
              <c:numCache>
                <c:formatCode>0.00</c:formatCode>
                <c:ptCount val="5"/>
                <c:pt idx="0">
                  <c:v>44.064629911769998</c:v>
                </c:pt>
                <c:pt idx="1">
                  <c:v>43.783577929116746</c:v>
                </c:pt>
                <c:pt idx="2">
                  <c:v>43.690424941977597</c:v>
                </c:pt>
                <c:pt idx="3">
                  <c:v>43.576098970172843</c:v>
                </c:pt>
                <c:pt idx="4">
                  <c:v>43.485617129878449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50C-48B7-913C-64CD350DD935}"/>
            </c:ext>
          </c:extLst>
        </c:ser>
        <c:ser>
          <c:idx val="11"/>
          <c:order val="11"/>
          <c:tx>
            <c:v>250 kVp</c:v>
          </c:tx>
          <c:marker>
            <c:symbol val="diamond"/>
            <c:size val="5"/>
          </c:marker>
          <c:xVal>
            <c:numRef>
              <c:f>MEXtabs!$M$53:$M$57</c:f>
              <c:numCache>
                <c:formatCode>General</c:formatCode>
                <c:ptCount val="5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</c:numCache>
            </c:numRef>
          </c:xVal>
          <c:yVal>
            <c:numRef>
              <c:f>MEXtabs!$T$53:$T$57</c:f>
              <c:numCache>
                <c:formatCode>0.00</c:formatCode>
                <c:ptCount val="5"/>
                <c:pt idx="0">
                  <c:v>43.729792205959406</c:v>
                </c:pt>
                <c:pt idx="1">
                  <c:v>43.548136413860959</c:v>
                </c:pt>
                <c:pt idx="2">
                  <c:v>43.515276381229619</c:v>
                </c:pt>
                <c:pt idx="3">
                  <c:v>43.394068454781625</c:v>
                </c:pt>
                <c:pt idx="4">
                  <c:v>43.262222819513056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50C-48B7-913C-64CD350DD935}"/>
            </c:ext>
          </c:extLst>
        </c:ser>
        <c:ser>
          <c:idx val="12"/>
          <c:order val="12"/>
          <c:tx>
            <c:v>280 kVp</c:v>
          </c:tx>
          <c:marker>
            <c:symbol val="diamond"/>
            <c:size val="5"/>
          </c:marker>
          <c:xVal>
            <c:numRef>
              <c:f>MEXtabs!$M$58:$M$61</c:f>
              <c:numCache>
                <c:formatCode>General</c:formatCode>
                <c:ptCount val="4"/>
                <c:pt idx="0">
                  <c:v>280</c:v>
                </c:pt>
                <c:pt idx="1">
                  <c:v>280</c:v>
                </c:pt>
                <c:pt idx="2">
                  <c:v>280</c:v>
                </c:pt>
                <c:pt idx="3">
                  <c:v>280</c:v>
                </c:pt>
              </c:numCache>
            </c:numRef>
          </c:xVal>
          <c:yVal>
            <c:numRef>
              <c:f>MEXtabs!$T$58:$T$61</c:f>
              <c:numCache>
                <c:formatCode>0.00</c:formatCode>
                <c:ptCount val="4"/>
                <c:pt idx="0">
                  <c:v>43.547872255342405</c:v>
                </c:pt>
                <c:pt idx="1">
                  <c:v>43.417032551541674</c:v>
                </c:pt>
                <c:pt idx="2">
                  <c:v>43.332123291107912</c:v>
                </c:pt>
                <c:pt idx="3">
                  <c:v>43.249584769166603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50C-48B7-913C-64CD350DD935}"/>
            </c:ext>
          </c:extLst>
        </c:ser>
        <c:ser>
          <c:idx val="13"/>
          <c:order val="13"/>
          <c:tx>
            <c:v>300 kVp</c:v>
          </c:tx>
          <c:marker>
            <c:symbol val="diamond"/>
            <c:size val="5"/>
          </c:marker>
          <c:xVal>
            <c:numRef>
              <c:f>MEXtabs!$M$62:$M$64</c:f>
              <c:numCache>
                <c:formatCode>General</c:formatCode>
                <c:ptCount val="3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</c:numCache>
            </c:numRef>
          </c:xVal>
          <c:yVal>
            <c:numRef>
              <c:f>MEXtabs!$T$62:$T$64</c:f>
              <c:numCache>
                <c:formatCode>0.00</c:formatCode>
                <c:ptCount val="3"/>
                <c:pt idx="0">
                  <c:v>43.359289173851359</c:v>
                </c:pt>
                <c:pt idx="1">
                  <c:v>43.270125968459105</c:v>
                </c:pt>
                <c:pt idx="2">
                  <c:v>43.133978014768623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50C-48B7-913C-64CD350DD935}"/>
            </c:ext>
          </c:extLst>
        </c:ser>
        <c:ser>
          <c:idx val="14"/>
          <c:order val="14"/>
          <c:tx>
            <c:v>320 kVp</c:v>
          </c:tx>
          <c:marker>
            <c:symbol val="diamond"/>
            <c:size val="5"/>
          </c:marker>
          <c:xVal>
            <c:numRef>
              <c:f>MEXtabs!$M$65:$M$66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xVal>
          <c:yVal>
            <c:numRef>
              <c:f>MEXtabs!$T$65:$T$66</c:f>
              <c:numCache>
                <c:formatCode>0.00</c:formatCode>
                <c:ptCount val="2"/>
                <c:pt idx="0">
                  <c:v>43.131780217598909</c:v>
                </c:pt>
                <c:pt idx="1">
                  <c:v>43.048524810446899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50C-48B7-913C-64CD350DD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683248"/>
        <c:axId val="1"/>
      </c:scatterChart>
      <c:valAx>
        <c:axId val="35468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kVp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1" i="1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</a:t>
                </a:r>
                <a:r>
                  <a:rPr lang="en-AU" sz="1000" b="1" i="0" u="none" strike="noStrike" baseline="-25000">
                    <a:solidFill>
                      <a:srgbClr val="000000"/>
                    </a:solidFill>
                    <a:latin typeface="Calibri"/>
                    <a:cs typeface="Calibri"/>
                  </a:rPr>
                  <a:t>K</a:t>
                </a:r>
                <a:r>
                  <a:rPr lang="en-AU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(mGy/nC)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68324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221764792091336"/>
          <c:y val="5.3097345132743362E-2"/>
          <c:w val="0.31302929773372234"/>
          <c:h val="0.39233162226403118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8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5470519847674"/>
          <c:y val="3.2251328061116545E-2"/>
          <c:w val="0.79993889088737002"/>
          <c:h val="0.83337919361387014"/>
        </c:manualLayout>
      </c:layout>
      <c:scatterChart>
        <c:scatterStyle val="lineMarker"/>
        <c:varyColors val="0"/>
        <c:ser>
          <c:idx val="0"/>
          <c:order val="0"/>
          <c:tx>
            <c:v>40 kVp</c:v>
          </c:tx>
          <c:spPr>
            <a:ln w="28575">
              <a:solidFill>
                <a:schemeClr val="accent1"/>
              </a:solidFill>
            </a:ln>
          </c:spPr>
          <c:marker>
            <c:symbol val="diamond"/>
            <c:size val="5"/>
          </c:marker>
          <c:xVal>
            <c:numRef>
              <c:f>MEXtabs!$M$8:$M$10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xVal>
          <c:yVal>
            <c:numRef>
              <c:f>MEXtabs!$T$8:$T$10</c:f>
              <c:numCache>
                <c:formatCode>0.00</c:formatCode>
                <c:ptCount val="3"/>
                <c:pt idx="0">
                  <c:v>47.693535864374525</c:v>
                </c:pt>
                <c:pt idx="1">
                  <c:v>46.203313821965558</c:v>
                </c:pt>
                <c:pt idx="2">
                  <c:v>44.99892515741616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94-4DE6-90A2-36603F585E65}"/>
            </c:ext>
          </c:extLst>
        </c:ser>
        <c:ser>
          <c:idx val="1"/>
          <c:order val="1"/>
          <c:tx>
            <c:v>50 kVp</c:v>
          </c:tx>
          <c:marker>
            <c:symbol val="diamond"/>
            <c:size val="5"/>
          </c:marker>
          <c:xVal>
            <c:numRef>
              <c:f>MEXtabs!$M$11:$M$14</c:f>
              <c:numCache>
                <c:formatCode>General</c:formatCode>
                <c:ptCount val="4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MEXtabs!$T$11:$T$14</c:f>
              <c:numCache>
                <c:formatCode>0.00</c:formatCode>
                <c:ptCount val="4"/>
                <c:pt idx="0">
                  <c:v>47.316194322138813</c:v>
                </c:pt>
                <c:pt idx="1">
                  <c:v>45.914809793111083</c:v>
                </c:pt>
                <c:pt idx="2">
                  <c:v>45.021741124033042</c:v>
                </c:pt>
                <c:pt idx="3">
                  <c:v>44.909193923534019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94-4DE6-90A2-36603F585E65}"/>
            </c:ext>
          </c:extLst>
        </c:ser>
        <c:ser>
          <c:idx val="2"/>
          <c:order val="2"/>
          <c:tx>
            <c:v>60 kVp</c:v>
          </c:tx>
          <c:marker>
            <c:symbol val="diamond"/>
            <c:size val="5"/>
          </c:marker>
          <c:xVal>
            <c:numRef>
              <c:f>MEXtabs!$M$15:$M$17</c:f>
              <c:numCache>
                <c:formatCode>General</c:formatCode>
                <c:ptCount val="3"/>
                <c:pt idx="0">
                  <c:v>60</c:v>
                </c:pt>
                <c:pt idx="1">
                  <c:v>60</c:v>
                </c:pt>
                <c:pt idx="2">
                  <c:v>60</c:v>
                </c:pt>
              </c:numCache>
            </c:numRef>
          </c:xVal>
          <c:yVal>
            <c:numRef>
              <c:f>MEXtabs!$T$15:$T$17</c:f>
              <c:numCache>
                <c:formatCode>0.00</c:formatCode>
                <c:ptCount val="3"/>
                <c:pt idx="0">
                  <c:v>46.813271686133454</c:v>
                </c:pt>
                <c:pt idx="1">
                  <c:v>45.792090469114378</c:v>
                </c:pt>
                <c:pt idx="2">
                  <c:v>45.047957186376919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94-4DE6-90A2-36603F585E65}"/>
            </c:ext>
          </c:extLst>
        </c:ser>
        <c:ser>
          <c:idx val="3"/>
          <c:order val="3"/>
          <c:tx>
            <c:v>70 kVp</c:v>
          </c:tx>
          <c:marker>
            <c:symbol val="diamond"/>
            <c:size val="5"/>
          </c:marker>
          <c:xVal>
            <c:numRef>
              <c:f>MEXtabs!$M$18:$M$22</c:f>
              <c:numCache>
                <c:formatCode>General</c:formatCode>
                <c:ptCount val="5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</c:numCache>
            </c:numRef>
          </c:xVal>
          <c:yVal>
            <c:numRef>
              <c:f>MEXtabs!$T$18:$T$22</c:f>
              <c:numCache>
                <c:formatCode>0.00</c:formatCode>
                <c:ptCount val="5"/>
                <c:pt idx="0">
                  <c:v>46.58433497953672</c:v>
                </c:pt>
                <c:pt idx="1">
                  <c:v>45.625916563366793</c:v>
                </c:pt>
                <c:pt idx="2">
                  <c:v>44.974926824133554</c:v>
                </c:pt>
                <c:pt idx="3">
                  <c:v>44.93060349187283</c:v>
                </c:pt>
                <c:pt idx="4">
                  <c:v>44.834642207686024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94-4DE6-90A2-36603F585E65}"/>
            </c:ext>
          </c:extLst>
        </c:ser>
        <c:ser>
          <c:idx val="4"/>
          <c:order val="4"/>
          <c:tx>
            <c:v>80 kVp</c:v>
          </c:tx>
          <c:marker>
            <c:symbol val="diamond"/>
            <c:size val="5"/>
          </c:marker>
          <c:xVal>
            <c:numRef>
              <c:f>MEXtabs!$M$23:$M$25</c:f>
              <c:numCache>
                <c:formatCode>General</c:formatCode>
                <c:ptCount val="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</c:numCache>
            </c:numRef>
          </c:xVal>
          <c:yVal>
            <c:numRef>
              <c:f>MEXtabs!$T$23:$T$25</c:f>
              <c:numCache>
                <c:formatCode>0.00</c:formatCode>
                <c:ptCount val="3"/>
                <c:pt idx="0">
                  <c:v>46.356066401222279</c:v>
                </c:pt>
                <c:pt idx="1">
                  <c:v>45.516912000756918</c:v>
                </c:pt>
                <c:pt idx="2">
                  <c:v>44.884206076157788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94-4DE6-90A2-36603F585E65}"/>
            </c:ext>
          </c:extLst>
        </c:ser>
        <c:ser>
          <c:idx val="5"/>
          <c:order val="5"/>
          <c:tx>
            <c:v>90 kVp</c:v>
          </c:tx>
          <c:marker>
            <c:symbol val="diamond"/>
            <c:size val="5"/>
          </c:marker>
          <c:xVal>
            <c:numRef>
              <c:f>MEXtabs!$M$26:$M$28</c:f>
              <c:numCache>
                <c:formatCode>General</c:formatCode>
                <c:ptCount val="3"/>
                <c:pt idx="0">
                  <c:v>90</c:v>
                </c:pt>
                <c:pt idx="1">
                  <c:v>90</c:v>
                </c:pt>
                <c:pt idx="2">
                  <c:v>90</c:v>
                </c:pt>
              </c:numCache>
            </c:numRef>
          </c:xVal>
          <c:yVal>
            <c:numRef>
              <c:f>MEXtabs!$T$26:$T$28</c:f>
              <c:numCache>
                <c:formatCode>0.00</c:formatCode>
                <c:ptCount val="3"/>
                <c:pt idx="0">
                  <c:v>46.158010183854593</c:v>
                </c:pt>
                <c:pt idx="1">
                  <c:v>45.379279329759093</c:v>
                </c:pt>
                <c:pt idx="2">
                  <c:v>44.84083069639663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94-4DE6-90A2-36603F585E65}"/>
            </c:ext>
          </c:extLst>
        </c:ser>
        <c:ser>
          <c:idx val="6"/>
          <c:order val="6"/>
          <c:tx>
            <c:v>100 kVp</c:v>
          </c:tx>
          <c:marker>
            <c:symbol val="diamond"/>
            <c:size val="5"/>
          </c:marker>
          <c:xVal>
            <c:numRef>
              <c:f>MEXtabs!$M$29:$M$33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</c:numCache>
            </c:numRef>
          </c:xVal>
          <c:yVal>
            <c:numRef>
              <c:f>MEXtabs!$T$29:$T$33</c:f>
              <c:numCache>
                <c:formatCode>0.00</c:formatCode>
                <c:ptCount val="5"/>
                <c:pt idx="0">
                  <c:v>45.974847556635403</c:v>
                </c:pt>
                <c:pt idx="1">
                  <c:v>45.340349958431013</c:v>
                </c:pt>
                <c:pt idx="2">
                  <c:v>44.778484986701471</c:v>
                </c:pt>
                <c:pt idx="3">
                  <c:v>44.731165114354809</c:v>
                </c:pt>
                <c:pt idx="4">
                  <c:v>44.632603356945602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94-4DE6-90A2-36603F585E65}"/>
            </c:ext>
          </c:extLst>
        </c:ser>
        <c:ser>
          <c:idx val="7"/>
          <c:order val="7"/>
          <c:tx>
            <c:v>120 kVp</c:v>
          </c:tx>
          <c:marker>
            <c:symbol val="diamond"/>
            <c:size val="5"/>
          </c:marker>
          <c:xVal>
            <c:numRef>
              <c:f>MEXtabs!$M$34:$M$37</c:f>
              <c:numCache>
                <c:formatCode>General</c:formatCode>
                <c:ptCount val="4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</c:numCache>
            </c:numRef>
          </c:xVal>
          <c:yVal>
            <c:numRef>
              <c:f>MEXtabs!$T$34:$T$37</c:f>
              <c:numCache>
                <c:formatCode>0.00</c:formatCode>
                <c:ptCount val="4"/>
                <c:pt idx="0">
                  <c:v>44.639950752706113</c:v>
                </c:pt>
                <c:pt idx="1">
                  <c:v>44.596340368679414</c:v>
                </c:pt>
                <c:pt idx="2">
                  <c:v>44.507133371596417</c:v>
                </c:pt>
                <c:pt idx="3">
                  <c:v>44.240487322441858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94-4DE6-90A2-36603F585E65}"/>
            </c:ext>
          </c:extLst>
        </c:ser>
        <c:ser>
          <c:idx val="8"/>
          <c:order val="8"/>
          <c:tx>
            <c:v>140 kVp</c:v>
          </c:tx>
          <c:marker>
            <c:symbol val="diamond"/>
            <c:size val="5"/>
          </c:marker>
          <c:xVal>
            <c:numRef>
              <c:f>MEXtabs!$M$38:$M$42</c:f>
              <c:numCache>
                <c:formatCode>General</c:formatCode>
                <c:ptCount val="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</c:numCache>
            </c:numRef>
          </c:xVal>
          <c:yVal>
            <c:numRef>
              <c:f>MEXtabs!$T$38:$T$42</c:f>
              <c:numCache>
                <c:formatCode>0.00</c:formatCode>
                <c:ptCount val="5"/>
                <c:pt idx="0">
                  <c:v>44.472387610906146</c:v>
                </c:pt>
                <c:pt idx="1">
                  <c:v>44.43867098352041</c:v>
                </c:pt>
                <c:pt idx="2">
                  <c:v>44.384979291011668</c:v>
                </c:pt>
                <c:pt idx="3">
                  <c:v>44.18764444505527</c:v>
                </c:pt>
                <c:pt idx="4">
                  <c:v>43.911575134422748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94-4DE6-90A2-36603F585E65}"/>
            </c:ext>
          </c:extLst>
        </c:ser>
        <c:ser>
          <c:idx val="9"/>
          <c:order val="9"/>
          <c:tx>
            <c:v>150 kVp</c:v>
          </c:tx>
          <c:xVal>
            <c:numRef>
              <c:f>MEXtabs!$M$43:$M$47</c:f>
              <c:numCache>
                <c:formatCode>General</c:formatCode>
                <c:ptCount val="5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</c:numCache>
            </c:numRef>
          </c:xVal>
          <c:yVal>
            <c:numRef>
              <c:f>MEXtabs!$T$43:$T$47</c:f>
              <c:numCache>
                <c:formatCode>0.00</c:formatCode>
                <c:ptCount val="5"/>
                <c:pt idx="0">
                  <c:v>44.399662164670268</c:v>
                </c:pt>
                <c:pt idx="1">
                  <c:v>44.335713004340583</c:v>
                </c:pt>
                <c:pt idx="2">
                  <c:v>44.039866906401102</c:v>
                </c:pt>
                <c:pt idx="3">
                  <c:v>43.934594021953615</c:v>
                </c:pt>
                <c:pt idx="4">
                  <c:v>43.691969444983592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94-4DE6-90A2-36603F585E65}"/>
            </c:ext>
          </c:extLst>
        </c:ser>
        <c:ser>
          <c:idx val="10"/>
          <c:order val="10"/>
          <c:tx>
            <c:v>200 kVp</c:v>
          </c:tx>
          <c:marker>
            <c:symbol val="diamond"/>
            <c:size val="5"/>
          </c:marker>
          <c:xVal>
            <c:numRef>
              <c:f>MEXtabs!$M$48:$M$52</c:f>
              <c:numCache>
                <c:formatCode>General</c:formatCode>
                <c:ptCount val="5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</c:numCache>
            </c:numRef>
          </c:xVal>
          <c:yVal>
            <c:numRef>
              <c:f>MEXtabs!$T$48:$T$52</c:f>
              <c:numCache>
                <c:formatCode>0.00</c:formatCode>
                <c:ptCount val="5"/>
                <c:pt idx="0">
                  <c:v>44.064629911769998</c:v>
                </c:pt>
                <c:pt idx="1">
                  <c:v>43.783577929116746</c:v>
                </c:pt>
                <c:pt idx="2">
                  <c:v>43.690424941977597</c:v>
                </c:pt>
                <c:pt idx="3">
                  <c:v>43.576098970172843</c:v>
                </c:pt>
                <c:pt idx="4">
                  <c:v>43.485617129878449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94-4DE6-90A2-36603F585E65}"/>
            </c:ext>
          </c:extLst>
        </c:ser>
        <c:ser>
          <c:idx val="11"/>
          <c:order val="11"/>
          <c:tx>
            <c:v>250 kVp</c:v>
          </c:tx>
          <c:marker>
            <c:symbol val="diamond"/>
            <c:size val="5"/>
          </c:marker>
          <c:xVal>
            <c:numRef>
              <c:f>MEXtabs!$M$53:$M$57</c:f>
              <c:numCache>
                <c:formatCode>General</c:formatCode>
                <c:ptCount val="5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</c:numCache>
            </c:numRef>
          </c:xVal>
          <c:yVal>
            <c:numRef>
              <c:f>MEXtabs!$T$53:$T$57</c:f>
              <c:numCache>
                <c:formatCode>0.00</c:formatCode>
                <c:ptCount val="5"/>
                <c:pt idx="0">
                  <c:v>43.729792205959406</c:v>
                </c:pt>
                <c:pt idx="1">
                  <c:v>43.548136413860959</c:v>
                </c:pt>
                <c:pt idx="2">
                  <c:v>43.515276381229619</c:v>
                </c:pt>
                <c:pt idx="3">
                  <c:v>43.394068454781625</c:v>
                </c:pt>
                <c:pt idx="4">
                  <c:v>43.262222819513056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94-4DE6-90A2-36603F585E65}"/>
            </c:ext>
          </c:extLst>
        </c:ser>
        <c:ser>
          <c:idx val="12"/>
          <c:order val="12"/>
          <c:tx>
            <c:v>280 kVp</c:v>
          </c:tx>
          <c:marker>
            <c:symbol val="diamond"/>
            <c:size val="5"/>
          </c:marker>
          <c:xVal>
            <c:numRef>
              <c:f>MEXtabs!$M$58:$M$61</c:f>
              <c:numCache>
                <c:formatCode>General</c:formatCode>
                <c:ptCount val="4"/>
                <c:pt idx="0">
                  <c:v>280</c:v>
                </c:pt>
                <c:pt idx="1">
                  <c:v>280</c:v>
                </c:pt>
                <c:pt idx="2">
                  <c:v>280</c:v>
                </c:pt>
                <c:pt idx="3">
                  <c:v>280</c:v>
                </c:pt>
              </c:numCache>
            </c:numRef>
          </c:xVal>
          <c:yVal>
            <c:numRef>
              <c:f>MEXtabs!$T$58:$T$61</c:f>
              <c:numCache>
                <c:formatCode>0.00</c:formatCode>
                <c:ptCount val="4"/>
                <c:pt idx="0">
                  <c:v>43.547872255342405</c:v>
                </c:pt>
                <c:pt idx="1">
                  <c:v>43.417032551541674</c:v>
                </c:pt>
                <c:pt idx="2">
                  <c:v>43.332123291107912</c:v>
                </c:pt>
                <c:pt idx="3">
                  <c:v>43.249584769166603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894-4DE6-90A2-36603F585E65}"/>
            </c:ext>
          </c:extLst>
        </c:ser>
        <c:ser>
          <c:idx val="13"/>
          <c:order val="13"/>
          <c:tx>
            <c:v>300 kVp</c:v>
          </c:tx>
          <c:marker>
            <c:symbol val="diamond"/>
            <c:size val="5"/>
          </c:marker>
          <c:xVal>
            <c:numRef>
              <c:f>MEXtabs!$M$62:$M$64</c:f>
              <c:numCache>
                <c:formatCode>General</c:formatCode>
                <c:ptCount val="3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</c:numCache>
            </c:numRef>
          </c:xVal>
          <c:yVal>
            <c:numRef>
              <c:f>MEXtabs!$T$62:$T$64</c:f>
              <c:numCache>
                <c:formatCode>0.00</c:formatCode>
                <c:ptCount val="3"/>
                <c:pt idx="0">
                  <c:v>43.359289173851359</c:v>
                </c:pt>
                <c:pt idx="1">
                  <c:v>43.270125968459105</c:v>
                </c:pt>
                <c:pt idx="2">
                  <c:v>43.133978014768623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894-4DE6-90A2-36603F585E65}"/>
            </c:ext>
          </c:extLst>
        </c:ser>
        <c:ser>
          <c:idx val="14"/>
          <c:order val="14"/>
          <c:tx>
            <c:v>320 kVp</c:v>
          </c:tx>
          <c:marker>
            <c:symbol val="diamond"/>
            <c:size val="5"/>
          </c:marker>
          <c:xVal>
            <c:numRef>
              <c:f>MEXtabs!$M$65:$M$66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xVal>
          <c:yVal>
            <c:numRef>
              <c:f>MEXtabs!$T$65:$T$66</c:f>
              <c:numCache>
                <c:formatCode>0.00</c:formatCode>
                <c:ptCount val="2"/>
                <c:pt idx="0">
                  <c:v>43.131780217598909</c:v>
                </c:pt>
                <c:pt idx="1">
                  <c:v>43.048524810446899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894-4DE6-90A2-36603F585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272760"/>
        <c:axId val="1"/>
      </c:scatterChart>
      <c:valAx>
        <c:axId val="35427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kVp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100" b="1" i="1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</a:t>
                </a:r>
                <a:r>
                  <a:rPr lang="en-AU" sz="1100" b="1" i="0" u="none" strike="noStrike" baseline="-25000">
                    <a:solidFill>
                      <a:srgbClr val="000000"/>
                    </a:solidFill>
                    <a:latin typeface="Calibri"/>
                    <a:cs typeface="Calibri"/>
                  </a:rPr>
                  <a:t>K</a:t>
                </a:r>
                <a:r>
                  <a:rPr lang="en-AU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(mGy/nC)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27276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8564488574327889"/>
          <c:y val="5.0991501416430593E-2"/>
          <c:w val="0.31321387436684611"/>
          <c:h val="0.39093484419263458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5470519847674"/>
          <c:y val="3.2251328061116545E-2"/>
          <c:w val="0.79993889088737002"/>
          <c:h val="0.83337919361387014"/>
        </c:manualLayout>
      </c:layout>
      <c:scatterChart>
        <c:scatterStyle val="lineMarker"/>
        <c:varyColors val="0"/>
        <c:ser>
          <c:idx val="0"/>
          <c:order val="0"/>
          <c:tx>
            <c:v>40 kVp</c:v>
          </c:tx>
          <c:spPr>
            <a:ln w="28575">
              <a:solidFill>
                <a:schemeClr val="accent1"/>
              </a:solidFill>
            </a:ln>
          </c:spPr>
          <c:marker>
            <c:symbol val="diamond"/>
            <c:size val="5"/>
          </c:marker>
          <c:xVal>
            <c:numRef>
              <c:f>MEXtabs!$P$8:$P$10</c:f>
              <c:numCache>
                <c:formatCode>0.00</c:formatCode>
                <c:ptCount val="3"/>
                <c:pt idx="0">
                  <c:v>0.57492783060838692</c:v>
                </c:pt>
                <c:pt idx="1">
                  <c:v>0.9258920135550176</c:v>
                </c:pt>
                <c:pt idx="2">
                  <c:v>1.8978864505991633</c:v>
                </c:pt>
              </c:numCache>
            </c:numRef>
          </c:xVal>
          <c:yVal>
            <c:numRef>
              <c:f>MEXtabs!$T$8:$T$10</c:f>
              <c:numCache>
                <c:formatCode>0.00</c:formatCode>
                <c:ptCount val="3"/>
                <c:pt idx="0">
                  <c:v>47.693535864374525</c:v>
                </c:pt>
                <c:pt idx="1">
                  <c:v>46.203313821965558</c:v>
                </c:pt>
                <c:pt idx="2">
                  <c:v>44.99892515741616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2-4D14-AC51-831F2A7E01A8}"/>
            </c:ext>
          </c:extLst>
        </c:ser>
        <c:ser>
          <c:idx val="1"/>
          <c:order val="1"/>
          <c:tx>
            <c:v>50 kVp</c:v>
          </c:tx>
          <c:marker>
            <c:symbol val="diamond"/>
            <c:size val="5"/>
          </c:marker>
          <c:xVal>
            <c:numRef>
              <c:f>MEXtabs!$P$11:$P$14</c:f>
              <c:numCache>
                <c:formatCode>0.00</c:formatCode>
                <c:ptCount val="4"/>
                <c:pt idx="0">
                  <c:v>0.68410318438743511</c:v>
                </c:pt>
                <c:pt idx="1">
                  <c:v>1.1174180366661788</c:v>
                </c:pt>
                <c:pt idx="2">
                  <c:v>2.3884184190002435</c:v>
                </c:pt>
                <c:pt idx="3">
                  <c:v>2.5292585864499295</c:v>
                </c:pt>
              </c:numCache>
            </c:numRef>
          </c:xVal>
          <c:yVal>
            <c:numRef>
              <c:f>MEXtabs!$T$11:$T$14</c:f>
              <c:numCache>
                <c:formatCode>0.00</c:formatCode>
                <c:ptCount val="4"/>
                <c:pt idx="0">
                  <c:v>47.316194322138813</c:v>
                </c:pt>
                <c:pt idx="1">
                  <c:v>45.914809793111083</c:v>
                </c:pt>
                <c:pt idx="2">
                  <c:v>45.021741124033042</c:v>
                </c:pt>
                <c:pt idx="3">
                  <c:v>44.909193923534019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02-4D14-AC51-831F2A7E01A8}"/>
            </c:ext>
          </c:extLst>
        </c:ser>
        <c:ser>
          <c:idx val="2"/>
          <c:order val="2"/>
          <c:tx>
            <c:v>60 kVp</c:v>
          </c:tx>
          <c:marker>
            <c:symbol val="diamond"/>
            <c:size val="5"/>
          </c:marker>
          <c:xVal>
            <c:numRef>
              <c:f>MEXtabs!$P$15:$P$17</c:f>
              <c:numCache>
                <c:formatCode>0.00</c:formatCode>
                <c:ptCount val="3"/>
                <c:pt idx="0">
                  <c:v>0.78881379165109278</c:v>
                </c:pt>
                <c:pt idx="1">
                  <c:v>1.2886011015031504</c:v>
                </c:pt>
                <c:pt idx="2">
                  <c:v>2.8058625894538358</c:v>
                </c:pt>
              </c:numCache>
            </c:numRef>
          </c:xVal>
          <c:yVal>
            <c:numRef>
              <c:f>MEXtabs!$T$15:$T$17</c:f>
              <c:numCache>
                <c:formatCode>0.00</c:formatCode>
                <c:ptCount val="3"/>
                <c:pt idx="0">
                  <c:v>46.813271686133454</c:v>
                </c:pt>
                <c:pt idx="1">
                  <c:v>45.792090469114378</c:v>
                </c:pt>
                <c:pt idx="2">
                  <c:v>45.047957186376919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02-4D14-AC51-831F2A7E01A8}"/>
            </c:ext>
          </c:extLst>
        </c:ser>
        <c:ser>
          <c:idx val="3"/>
          <c:order val="3"/>
          <c:tx>
            <c:v>70 kVp</c:v>
          </c:tx>
          <c:marker>
            <c:symbol val="diamond"/>
            <c:size val="5"/>
          </c:marker>
          <c:xVal>
            <c:numRef>
              <c:f>MEXtabs!$P$18:$P$22</c:f>
              <c:numCache>
                <c:formatCode>0.00</c:formatCode>
                <c:ptCount val="5"/>
                <c:pt idx="0">
                  <c:v>0.89521104032277998</c:v>
                </c:pt>
                <c:pt idx="1">
                  <c:v>1.4584444510077763</c:v>
                </c:pt>
                <c:pt idx="2">
                  <c:v>3.1929733252964523</c:v>
                </c:pt>
                <c:pt idx="3">
                  <c:v>3.3915742452383575</c:v>
                </c:pt>
                <c:pt idx="4">
                  <c:v>3.9520687461764625</c:v>
                </c:pt>
              </c:numCache>
            </c:numRef>
          </c:xVal>
          <c:yVal>
            <c:numRef>
              <c:f>MEXtabs!$T$18:$T$22</c:f>
              <c:numCache>
                <c:formatCode>0.00</c:formatCode>
                <c:ptCount val="5"/>
                <c:pt idx="0">
                  <c:v>46.58433497953672</c:v>
                </c:pt>
                <c:pt idx="1">
                  <c:v>45.625916563366793</c:v>
                </c:pt>
                <c:pt idx="2">
                  <c:v>44.974926824133554</c:v>
                </c:pt>
                <c:pt idx="3">
                  <c:v>44.93060349187283</c:v>
                </c:pt>
                <c:pt idx="4">
                  <c:v>44.834642207686024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02-4D14-AC51-831F2A7E01A8}"/>
            </c:ext>
          </c:extLst>
        </c:ser>
        <c:ser>
          <c:idx val="4"/>
          <c:order val="4"/>
          <c:tx>
            <c:v>80 kVp</c:v>
          </c:tx>
          <c:marker>
            <c:symbol val="diamond"/>
            <c:size val="5"/>
          </c:marker>
          <c:xVal>
            <c:numRef>
              <c:f>MEXtabs!$P$23:$P$25</c:f>
              <c:numCache>
                <c:formatCode>0.00</c:formatCode>
                <c:ptCount val="3"/>
                <c:pt idx="0">
                  <c:v>1.0168942180395382</c:v>
                </c:pt>
                <c:pt idx="1">
                  <c:v>1.6431678445072386</c:v>
                </c:pt>
                <c:pt idx="2">
                  <c:v>3.6197123995759788</c:v>
                </c:pt>
              </c:numCache>
            </c:numRef>
          </c:xVal>
          <c:yVal>
            <c:numRef>
              <c:f>MEXtabs!$T$23:$T$25</c:f>
              <c:numCache>
                <c:formatCode>0.00</c:formatCode>
                <c:ptCount val="3"/>
                <c:pt idx="0">
                  <c:v>46.356066401222279</c:v>
                </c:pt>
                <c:pt idx="1">
                  <c:v>45.516912000756918</c:v>
                </c:pt>
                <c:pt idx="2">
                  <c:v>44.884206076157788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02-4D14-AC51-831F2A7E01A8}"/>
            </c:ext>
          </c:extLst>
        </c:ser>
        <c:ser>
          <c:idx val="5"/>
          <c:order val="5"/>
          <c:tx>
            <c:v>90 kVp</c:v>
          </c:tx>
          <c:marker>
            <c:symbol val="diamond"/>
            <c:size val="5"/>
          </c:marker>
          <c:xVal>
            <c:numRef>
              <c:f>MEXtabs!$P$26:$P$28</c:f>
              <c:numCache>
                <c:formatCode>0.00</c:formatCode>
                <c:ptCount val="3"/>
                <c:pt idx="0">
                  <c:v>1.1524525686905205</c:v>
                </c:pt>
                <c:pt idx="1">
                  <c:v>1.8393319677543469</c:v>
                </c:pt>
                <c:pt idx="2">
                  <c:v>4.0393687541302778</c:v>
                </c:pt>
              </c:numCache>
            </c:numRef>
          </c:xVal>
          <c:yVal>
            <c:numRef>
              <c:f>MEXtabs!$T$26:$T$28</c:f>
              <c:numCache>
                <c:formatCode>0.00</c:formatCode>
                <c:ptCount val="3"/>
                <c:pt idx="0">
                  <c:v>46.158010183854593</c:v>
                </c:pt>
                <c:pt idx="1">
                  <c:v>45.379279329759093</c:v>
                </c:pt>
                <c:pt idx="2">
                  <c:v>44.84083069639663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302-4D14-AC51-831F2A7E01A8}"/>
            </c:ext>
          </c:extLst>
        </c:ser>
        <c:ser>
          <c:idx val="6"/>
          <c:order val="6"/>
          <c:tx>
            <c:v>100 kVp</c:v>
          </c:tx>
          <c:marker>
            <c:symbol val="diamond"/>
            <c:size val="5"/>
          </c:marker>
          <c:xVal>
            <c:numRef>
              <c:f>MEXtabs!$P$29:$P$33</c:f>
              <c:numCache>
                <c:formatCode>0.00</c:formatCode>
                <c:ptCount val="5"/>
                <c:pt idx="0">
                  <c:v>1.3031305701207649</c:v>
                </c:pt>
                <c:pt idx="1">
                  <c:v>2.0480553989194346</c:v>
                </c:pt>
                <c:pt idx="2">
                  <c:v>4.7352150332082985</c:v>
                </c:pt>
                <c:pt idx="3">
                  <c:v>5.4850226957751094</c:v>
                </c:pt>
                <c:pt idx="4">
                  <c:v>6.6136409012352111</c:v>
                </c:pt>
              </c:numCache>
            </c:numRef>
          </c:xVal>
          <c:yVal>
            <c:numRef>
              <c:f>MEXtabs!$T$29:$T$33</c:f>
              <c:numCache>
                <c:formatCode>0.00</c:formatCode>
                <c:ptCount val="5"/>
                <c:pt idx="0">
                  <c:v>45.974847556635403</c:v>
                </c:pt>
                <c:pt idx="1">
                  <c:v>45.340349958431013</c:v>
                </c:pt>
                <c:pt idx="2">
                  <c:v>44.778484986701471</c:v>
                </c:pt>
                <c:pt idx="3">
                  <c:v>44.731165114354809</c:v>
                </c:pt>
                <c:pt idx="4">
                  <c:v>44.632603356945602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302-4D14-AC51-831F2A7E01A8}"/>
            </c:ext>
          </c:extLst>
        </c:ser>
        <c:ser>
          <c:idx val="7"/>
          <c:order val="7"/>
          <c:tx>
            <c:v>120 kVp</c:v>
          </c:tx>
          <c:marker>
            <c:symbol val="diamond"/>
            <c:size val="5"/>
          </c:marker>
          <c:xVal>
            <c:numRef>
              <c:f>MEXtabs!$P$34:$P$37</c:f>
              <c:numCache>
                <c:formatCode>0.00</c:formatCode>
                <c:ptCount val="4"/>
                <c:pt idx="0">
                  <c:v>5.5559969759148071</c:v>
                </c:pt>
                <c:pt idx="1">
                  <c:v>6.3769778478391608</c:v>
                </c:pt>
                <c:pt idx="2">
                  <c:v>7.588179482309295</c:v>
                </c:pt>
                <c:pt idx="3">
                  <c:v>10.310491894063471</c:v>
                </c:pt>
              </c:numCache>
            </c:numRef>
          </c:xVal>
          <c:yVal>
            <c:numRef>
              <c:f>MEXtabs!$T$34:$T$37</c:f>
              <c:numCache>
                <c:formatCode>0.00</c:formatCode>
                <c:ptCount val="4"/>
                <c:pt idx="0">
                  <c:v>44.639950752706113</c:v>
                </c:pt>
                <c:pt idx="1">
                  <c:v>44.596340368679414</c:v>
                </c:pt>
                <c:pt idx="2">
                  <c:v>44.507133371596417</c:v>
                </c:pt>
                <c:pt idx="3">
                  <c:v>44.240487322441858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302-4D14-AC51-831F2A7E01A8}"/>
            </c:ext>
          </c:extLst>
        </c:ser>
        <c:ser>
          <c:idx val="8"/>
          <c:order val="8"/>
          <c:tx>
            <c:v>140kVp</c:v>
          </c:tx>
          <c:marker>
            <c:symbol val="diamond"/>
            <c:size val="5"/>
          </c:marker>
          <c:xVal>
            <c:numRef>
              <c:f>MEXtabs!$P$38:$P$42</c:f>
              <c:numCache>
                <c:formatCode>0.00</c:formatCode>
                <c:ptCount val="5"/>
                <c:pt idx="0">
                  <c:v>6.3330445132980557</c:v>
                </c:pt>
                <c:pt idx="1">
                  <c:v>7.1952322413084104</c:v>
                </c:pt>
                <c:pt idx="2">
                  <c:v>8.4359614589862257</c:v>
                </c:pt>
              </c:numCache>
            </c:numRef>
          </c:xVal>
          <c:yVal>
            <c:numRef>
              <c:f>MEXtabs!$T$38:$T$42</c:f>
              <c:numCache>
                <c:formatCode>0.00</c:formatCode>
                <c:ptCount val="5"/>
                <c:pt idx="0">
                  <c:v>44.472387610906146</c:v>
                </c:pt>
                <c:pt idx="1">
                  <c:v>44.43867098352041</c:v>
                </c:pt>
                <c:pt idx="2">
                  <c:v>44.384979291011668</c:v>
                </c:pt>
                <c:pt idx="3">
                  <c:v>44.18764444505527</c:v>
                </c:pt>
                <c:pt idx="4">
                  <c:v>43.911575134422748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302-4D14-AC51-831F2A7E01A8}"/>
            </c:ext>
          </c:extLst>
        </c:ser>
        <c:ser>
          <c:idx val="9"/>
          <c:order val="9"/>
          <c:tx>
            <c:v>150 kVp</c:v>
          </c:tx>
          <c:marker>
            <c:symbol val="diamond"/>
            <c:size val="5"/>
          </c:marker>
          <c:xVal>
            <c:numRef>
              <c:f>MEXtabs!$P$43:$P$47</c:f>
              <c:numCache>
                <c:formatCode>0.00</c:formatCode>
                <c:ptCount val="5"/>
                <c:pt idx="0">
                  <c:v>7.58221629670666</c:v>
                </c:pt>
                <c:pt idx="1">
                  <c:v>8.831676949720114</c:v>
                </c:pt>
              </c:numCache>
            </c:numRef>
          </c:xVal>
          <c:yVal>
            <c:numRef>
              <c:f>MEXtabs!$T$43:$T$47</c:f>
              <c:numCache>
                <c:formatCode>0.00</c:formatCode>
                <c:ptCount val="5"/>
                <c:pt idx="0">
                  <c:v>44.399662164670268</c:v>
                </c:pt>
                <c:pt idx="1">
                  <c:v>44.335713004340583</c:v>
                </c:pt>
                <c:pt idx="2">
                  <c:v>44.039866906401102</c:v>
                </c:pt>
                <c:pt idx="3">
                  <c:v>43.934594021953615</c:v>
                </c:pt>
                <c:pt idx="4">
                  <c:v>43.691969444983592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302-4D14-AC51-831F2A7E0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277024"/>
        <c:axId val="1"/>
      </c:scatterChart>
      <c:valAx>
        <c:axId val="35427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HVL (mm Al)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100" b="1" i="1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</a:t>
                </a:r>
                <a:r>
                  <a:rPr lang="en-AU" sz="1100" b="1" i="0" u="none" strike="noStrike" baseline="-25000">
                    <a:solidFill>
                      <a:srgbClr val="000000"/>
                    </a:solidFill>
                    <a:latin typeface="Calibri"/>
                    <a:cs typeface="Calibri"/>
                  </a:rPr>
                  <a:t>K</a:t>
                </a:r>
                <a:r>
                  <a:rPr lang="en-AU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(mGy/nC)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27702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8238224300265895"/>
          <c:y val="4.8158640226628892E-2"/>
          <c:w val="0.31973915984808587"/>
          <c:h val="0.35694050991501414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5470519847674"/>
          <c:y val="3.2251328061116545E-2"/>
          <c:w val="0.79993889088737002"/>
          <c:h val="0.83337919361387014"/>
        </c:manualLayout>
      </c:layout>
      <c:scatterChart>
        <c:scatterStyle val="lineMarker"/>
        <c:varyColors val="0"/>
        <c:ser>
          <c:idx val="4"/>
          <c:order val="0"/>
          <c:tx>
            <c:v>80 kVp</c:v>
          </c:tx>
          <c:marker>
            <c:symbol val="diamond"/>
            <c:size val="5"/>
          </c:marker>
          <c:xVal>
            <c:numRef>
              <c:f>MEXtabs!$Q$23:$Q$25</c:f>
              <c:numCache>
                <c:formatCode>General</c:formatCode>
                <c:ptCount val="3"/>
                <c:pt idx="2" formatCode="0.00">
                  <c:v>0.12923885884326811</c:v>
                </c:pt>
              </c:numCache>
            </c:numRef>
          </c:xVal>
          <c:yVal>
            <c:numRef>
              <c:f>MEXtabs!$T$23:$T$25</c:f>
              <c:numCache>
                <c:formatCode>0.00</c:formatCode>
                <c:ptCount val="3"/>
                <c:pt idx="0">
                  <c:v>46.356066401222279</c:v>
                </c:pt>
                <c:pt idx="1">
                  <c:v>45.516912000756918</c:v>
                </c:pt>
                <c:pt idx="2">
                  <c:v>44.884206076157788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F3-4584-9491-7969B9E73248}"/>
            </c:ext>
          </c:extLst>
        </c:ser>
        <c:ser>
          <c:idx val="5"/>
          <c:order val="1"/>
          <c:tx>
            <c:v>90 kVp</c:v>
          </c:tx>
          <c:marker>
            <c:symbol val="diamond"/>
            <c:size val="5"/>
          </c:marker>
          <c:xVal>
            <c:numRef>
              <c:f>MEXtabs!$Q$26:$Q$28</c:f>
              <c:numCache>
                <c:formatCode>General</c:formatCode>
                <c:ptCount val="3"/>
                <c:pt idx="2" formatCode="0.00">
                  <c:v>0.14848211806760514</c:v>
                </c:pt>
              </c:numCache>
            </c:numRef>
          </c:xVal>
          <c:yVal>
            <c:numRef>
              <c:f>MEXtabs!$T$26:$T$28</c:f>
              <c:numCache>
                <c:formatCode>0.00</c:formatCode>
                <c:ptCount val="3"/>
                <c:pt idx="0">
                  <c:v>46.158010183854593</c:v>
                </c:pt>
                <c:pt idx="1">
                  <c:v>45.379279329759093</c:v>
                </c:pt>
                <c:pt idx="2">
                  <c:v>44.84083069639663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F3-4584-9491-7969B9E73248}"/>
            </c:ext>
          </c:extLst>
        </c:ser>
        <c:ser>
          <c:idx val="6"/>
          <c:order val="2"/>
          <c:tx>
            <c:v>100 kVp</c:v>
          </c:tx>
          <c:marker>
            <c:symbol val="diamond"/>
            <c:size val="5"/>
          </c:marker>
          <c:xVal>
            <c:numRef>
              <c:f>MEXtabs!$Q$29:$Q$33</c:f>
              <c:numCache>
                <c:formatCode>General</c:formatCode>
                <c:ptCount val="5"/>
                <c:pt idx="2" formatCode="0.00">
                  <c:v>0.18268575344478749</c:v>
                </c:pt>
                <c:pt idx="3" formatCode="0.00">
                  <c:v>0.221397651099389</c:v>
                </c:pt>
                <c:pt idx="4" formatCode="0.00">
                  <c:v>0.29051611469154731</c:v>
                </c:pt>
              </c:numCache>
            </c:numRef>
          </c:xVal>
          <c:yVal>
            <c:numRef>
              <c:f>MEXtabs!$T$29:$T$33</c:f>
              <c:numCache>
                <c:formatCode>0.00</c:formatCode>
                <c:ptCount val="5"/>
                <c:pt idx="0">
                  <c:v>45.974847556635403</c:v>
                </c:pt>
                <c:pt idx="1">
                  <c:v>45.340349958431013</c:v>
                </c:pt>
                <c:pt idx="2">
                  <c:v>44.778484986701471</c:v>
                </c:pt>
                <c:pt idx="3">
                  <c:v>44.731165114354809</c:v>
                </c:pt>
                <c:pt idx="4">
                  <c:v>44.632603356945602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F3-4584-9491-7969B9E73248}"/>
            </c:ext>
          </c:extLst>
        </c:ser>
        <c:ser>
          <c:idx val="7"/>
          <c:order val="3"/>
          <c:tx>
            <c:v>120 kVp</c:v>
          </c:tx>
          <c:marker>
            <c:symbol val="diamond"/>
            <c:size val="5"/>
          </c:marker>
          <c:xVal>
            <c:numRef>
              <c:f>MEXtabs!$Q$34:$Q$37</c:f>
              <c:numCache>
                <c:formatCode>0.00</c:formatCode>
                <c:ptCount val="4"/>
                <c:pt idx="0">
                  <c:v>0.22971681375447262</c:v>
                </c:pt>
                <c:pt idx="1">
                  <c:v>0.28062311390349393</c:v>
                </c:pt>
                <c:pt idx="2">
                  <c:v>0.36809931938124019</c:v>
                </c:pt>
                <c:pt idx="3">
                  <c:v>0.6348381723836316</c:v>
                </c:pt>
              </c:numCache>
            </c:numRef>
          </c:xVal>
          <c:yVal>
            <c:numRef>
              <c:f>MEXtabs!$T$34:$T$37</c:f>
              <c:numCache>
                <c:formatCode>0.00</c:formatCode>
                <c:ptCount val="4"/>
                <c:pt idx="0">
                  <c:v>44.639950752706113</c:v>
                </c:pt>
                <c:pt idx="1">
                  <c:v>44.596340368679414</c:v>
                </c:pt>
                <c:pt idx="2">
                  <c:v>44.507133371596417</c:v>
                </c:pt>
                <c:pt idx="3">
                  <c:v>44.240487322441858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F3-4584-9491-7969B9E73248}"/>
            </c:ext>
          </c:extLst>
        </c:ser>
        <c:ser>
          <c:idx val="8"/>
          <c:order val="4"/>
          <c:tx>
            <c:v>140 kVp</c:v>
          </c:tx>
          <c:marker>
            <c:symbol val="diamond"/>
            <c:size val="5"/>
          </c:marker>
          <c:xVal>
            <c:numRef>
              <c:f>MEXtabs!$Q$38:$Q$42</c:f>
              <c:numCache>
                <c:formatCode>0.00</c:formatCode>
                <c:ptCount val="5"/>
                <c:pt idx="0">
                  <c:v>0.28214314856452327</c:v>
                </c:pt>
                <c:pt idx="1">
                  <c:v>0.34467534185441145</c:v>
                </c:pt>
                <c:pt idx="2">
                  <c:v>0.45081671702125536</c:v>
                </c:pt>
                <c:pt idx="3">
                  <c:v>0.76915213495507195</c:v>
                </c:pt>
                <c:pt idx="4">
                  <c:v>1.0269176732121137</c:v>
                </c:pt>
              </c:numCache>
            </c:numRef>
          </c:xVal>
          <c:yVal>
            <c:numRef>
              <c:f>MEXtabs!$T$38:$T$42</c:f>
              <c:numCache>
                <c:formatCode>0.00</c:formatCode>
                <c:ptCount val="5"/>
                <c:pt idx="0">
                  <c:v>44.472387610906146</c:v>
                </c:pt>
                <c:pt idx="1">
                  <c:v>44.43867098352041</c:v>
                </c:pt>
                <c:pt idx="2">
                  <c:v>44.384979291011668</c:v>
                </c:pt>
                <c:pt idx="3">
                  <c:v>44.18764444505527</c:v>
                </c:pt>
                <c:pt idx="4">
                  <c:v>43.911575134422748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F3-4584-9491-7969B9E73248}"/>
            </c:ext>
          </c:extLst>
        </c:ser>
        <c:ser>
          <c:idx val="9"/>
          <c:order val="5"/>
          <c:tx>
            <c:v>150 kVp</c:v>
          </c:tx>
          <c:xVal>
            <c:numRef>
              <c:f>MEXtabs!$Q$43:$Q$47</c:f>
              <c:numCache>
                <c:formatCode>0.00</c:formatCode>
                <c:ptCount val="5"/>
                <c:pt idx="0">
                  <c:v>0.37860748947727846</c:v>
                </c:pt>
                <c:pt idx="1">
                  <c:v>0.49291798086961647</c:v>
                </c:pt>
                <c:pt idx="2">
                  <c:v>0.83812332024006297</c:v>
                </c:pt>
                <c:pt idx="3">
                  <c:v>1.1251186734176981</c:v>
                </c:pt>
                <c:pt idx="4">
                  <c:v>1.3834337181000833</c:v>
                </c:pt>
              </c:numCache>
            </c:numRef>
          </c:xVal>
          <c:yVal>
            <c:numRef>
              <c:f>MEXtabs!$T$43:$T$47</c:f>
              <c:numCache>
                <c:formatCode>0.00</c:formatCode>
                <c:ptCount val="5"/>
                <c:pt idx="0">
                  <c:v>44.399662164670268</c:v>
                </c:pt>
                <c:pt idx="1">
                  <c:v>44.335713004340583</c:v>
                </c:pt>
                <c:pt idx="2">
                  <c:v>44.039866906401102</c:v>
                </c:pt>
                <c:pt idx="3">
                  <c:v>43.934594021953615</c:v>
                </c:pt>
                <c:pt idx="4">
                  <c:v>43.691969444983592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3F3-4584-9491-7969B9E73248}"/>
            </c:ext>
          </c:extLst>
        </c:ser>
        <c:ser>
          <c:idx val="10"/>
          <c:order val="6"/>
          <c:tx>
            <c:v>200 kVp</c:v>
          </c:tx>
          <c:marker>
            <c:symbol val="diamond"/>
            <c:size val="5"/>
          </c:marker>
          <c:xVal>
            <c:numRef>
              <c:f>MEXtabs!$Q$48:$Q$52</c:f>
              <c:numCache>
                <c:formatCode>0.00</c:formatCode>
                <c:ptCount val="5"/>
                <c:pt idx="0">
                  <c:v>0.73230337407773993</c:v>
                </c:pt>
                <c:pt idx="1">
                  <c:v>1.2072306039939562</c:v>
                </c:pt>
                <c:pt idx="2">
                  <c:v>1.6296937192778045</c:v>
                </c:pt>
                <c:pt idx="3">
                  <c:v>2.0015314501377075</c:v>
                </c:pt>
                <c:pt idx="4">
                  <c:v>2.5415199349414408</c:v>
                </c:pt>
              </c:numCache>
            </c:numRef>
          </c:xVal>
          <c:yVal>
            <c:numRef>
              <c:f>MEXtabs!$T$48:$T$52</c:f>
              <c:numCache>
                <c:formatCode>0.00</c:formatCode>
                <c:ptCount val="5"/>
                <c:pt idx="0">
                  <c:v>44.064629911769998</c:v>
                </c:pt>
                <c:pt idx="1">
                  <c:v>43.783577929116746</c:v>
                </c:pt>
                <c:pt idx="2">
                  <c:v>43.690424941977597</c:v>
                </c:pt>
                <c:pt idx="3">
                  <c:v>43.576098970172843</c:v>
                </c:pt>
                <c:pt idx="4">
                  <c:v>43.485617129878449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F3-4584-9491-7969B9E73248}"/>
            </c:ext>
          </c:extLst>
        </c:ser>
        <c:ser>
          <c:idx val="11"/>
          <c:order val="7"/>
          <c:tx>
            <c:v>250 kVp</c:v>
          </c:tx>
          <c:marker>
            <c:symbol val="diamond"/>
            <c:size val="5"/>
          </c:marker>
          <c:xVal>
            <c:numRef>
              <c:f>MEXtabs!$Q$53:$Q$57</c:f>
              <c:numCache>
                <c:formatCode>0.00</c:formatCode>
                <c:ptCount val="5"/>
                <c:pt idx="0">
                  <c:v>1.6128041668984248</c:v>
                </c:pt>
                <c:pt idx="1">
                  <c:v>2.1356721844076167</c:v>
                </c:pt>
                <c:pt idx="2">
                  <c:v>2.5711570771389516</c:v>
                </c:pt>
                <c:pt idx="3">
                  <c:v>3.1622519161675675</c:v>
                </c:pt>
                <c:pt idx="4">
                  <c:v>3.5951513428636979</c:v>
                </c:pt>
              </c:numCache>
            </c:numRef>
          </c:xVal>
          <c:yVal>
            <c:numRef>
              <c:f>MEXtabs!$T$53:$T$57</c:f>
              <c:numCache>
                <c:formatCode>0.00</c:formatCode>
                <c:ptCount val="5"/>
                <c:pt idx="0">
                  <c:v>43.729792205959406</c:v>
                </c:pt>
                <c:pt idx="1">
                  <c:v>43.548136413860959</c:v>
                </c:pt>
                <c:pt idx="2">
                  <c:v>43.515276381229619</c:v>
                </c:pt>
                <c:pt idx="3">
                  <c:v>43.394068454781625</c:v>
                </c:pt>
                <c:pt idx="4">
                  <c:v>43.262222819513056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3F3-4584-9491-7969B9E73248}"/>
            </c:ext>
          </c:extLst>
        </c:ser>
        <c:ser>
          <c:idx val="12"/>
          <c:order val="8"/>
          <c:tx>
            <c:v>280 kVp</c:v>
          </c:tx>
          <c:marker>
            <c:symbol val="diamond"/>
            <c:size val="5"/>
          </c:marker>
          <c:xVal>
            <c:numRef>
              <c:f>MEXtabs!$Q$58:$Q$61</c:f>
              <c:numCache>
                <c:formatCode>0.00</c:formatCode>
                <c:ptCount val="4"/>
                <c:pt idx="0">
                  <c:v>2.4331518775712206</c:v>
                </c:pt>
                <c:pt idx="1">
                  <c:v>2.8808623211292477</c:v>
                </c:pt>
                <c:pt idx="2">
                  <c:v>3.5006101210159413</c:v>
                </c:pt>
                <c:pt idx="3">
                  <c:v>3.9334817438945446</c:v>
                </c:pt>
              </c:numCache>
            </c:numRef>
          </c:xVal>
          <c:yVal>
            <c:numRef>
              <c:f>MEXtabs!$T$58:$T$61</c:f>
              <c:numCache>
                <c:formatCode>0.00</c:formatCode>
                <c:ptCount val="4"/>
                <c:pt idx="0">
                  <c:v>43.547872255342405</c:v>
                </c:pt>
                <c:pt idx="1">
                  <c:v>43.417032551541674</c:v>
                </c:pt>
                <c:pt idx="2">
                  <c:v>43.332123291107912</c:v>
                </c:pt>
                <c:pt idx="3">
                  <c:v>43.249584769166603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3F3-4584-9491-7969B9E73248}"/>
            </c:ext>
          </c:extLst>
        </c:ser>
        <c:ser>
          <c:idx val="13"/>
          <c:order val="9"/>
          <c:tx>
            <c:v>300 kVp</c:v>
          </c:tx>
          <c:marker>
            <c:symbol val="diamond"/>
            <c:size val="5"/>
          </c:marker>
          <c:xVal>
            <c:numRef>
              <c:f>MEXtabs!$Q$62:$Q$64</c:f>
              <c:numCache>
                <c:formatCode>0.00</c:formatCode>
                <c:ptCount val="3"/>
                <c:pt idx="0">
                  <c:v>3.0951576375640011</c:v>
                </c:pt>
                <c:pt idx="1">
                  <c:v>3.7047905897248823</c:v>
                </c:pt>
                <c:pt idx="2">
                  <c:v>4.1453765509423093</c:v>
                </c:pt>
              </c:numCache>
            </c:numRef>
          </c:xVal>
          <c:yVal>
            <c:numRef>
              <c:f>MEXtabs!$T$62:$T$64</c:f>
              <c:numCache>
                <c:formatCode>0.00</c:formatCode>
                <c:ptCount val="3"/>
                <c:pt idx="0">
                  <c:v>43.359289173851359</c:v>
                </c:pt>
                <c:pt idx="1">
                  <c:v>43.270125968459105</c:v>
                </c:pt>
                <c:pt idx="2">
                  <c:v>43.133978014768623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3F3-4584-9491-7969B9E73248}"/>
            </c:ext>
          </c:extLst>
        </c:ser>
        <c:ser>
          <c:idx val="14"/>
          <c:order val="10"/>
          <c:tx>
            <c:v>320 kVp</c:v>
          </c:tx>
          <c:marker>
            <c:symbol val="diamond"/>
            <c:size val="5"/>
          </c:marker>
          <c:xVal>
            <c:numRef>
              <c:f>MEXtabs!$Q$65:$Q$66</c:f>
              <c:numCache>
                <c:formatCode>0.00</c:formatCode>
                <c:ptCount val="2"/>
                <c:pt idx="0">
                  <c:v>3.8972650748324895</c:v>
                </c:pt>
                <c:pt idx="1">
                  <c:v>4.335531420085327</c:v>
                </c:pt>
              </c:numCache>
            </c:numRef>
          </c:xVal>
          <c:yVal>
            <c:numRef>
              <c:f>MEXtabs!$T$65:$T$66</c:f>
              <c:numCache>
                <c:formatCode>0.00</c:formatCode>
                <c:ptCount val="2"/>
                <c:pt idx="0">
                  <c:v>43.131780217598909</c:v>
                </c:pt>
                <c:pt idx="1">
                  <c:v>43.048524810446899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3F3-4584-9491-7969B9E73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687512"/>
        <c:axId val="1"/>
      </c:scatterChart>
      <c:valAx>
        <c:axId val="354687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HVL (mm Cu)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100" b="1" i="1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</a:t>
                </a:r>
                <a:r>
                  <a:rPr lang="en-AU" sz="1100" b="1" i="0" u="none" strike="noStrike" baseline="-25000">
                    <a:solidFill>
                      <a:srgbClr val="000000"/>
                    </a:solidFill>
                    <a:latin typeface="Calibri"/>
                    <a:cs typeface="Calibri"/>
                  </a:rPr>
                  <a:t>K</a:t>
                </a:r>
                <a:r>
                  <a:rPr lang="en-AU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(mGy/nC)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687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8401356437296892"/>
          <c:y val="5.3824362606232294E-2"/>
          <c:w val="0.313213874366846"/>
          <c:h val="0.39093484419263458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421820</xdr:colOff>
      <xdr:row>10</xdr:row>
      <xdr:rowOff>102052</xdr:rowOff>
    </xdr:from>
    <xdr:to>
      <xdr:col>33</xdr:col>
      <xdr:colOff>140152</xdr:colOff>
      <xdr:row>40</xdr:row>
      <xdr:rowOff>44902</xdr:rowOff>
    </xdr:to>
    <xdr:graphicFrame macro="">
      <xdr:nvGraphicFramePr>
        <xdr:cNvPr id="13025124" name="Chart 1">
          <a:extLst>
            <a:ext uri="{FF2B5EF4-FFF2-40B4-BE49-F238E27FC236}">
              <a16:creationId xmlns:a16="http://schemas.microsoft.com/office/drawing/2014/main" id="{00000000-0008-0000-0800-000064BFC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332015</xdr:colOff>
          <xdr:row>43</xdr:row>
          <xdr:rowOff>134711</xdr:rowOff>
        </xdr:from>
        <xdr:to>
          <xdr:col>30</xdr:col>
          <xdr:colOff>476250</xdr:colOff>
          <xdr:row>46</xdr:row>
          <xdr:rowOff>19050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18</xdr:row>
      <xdr:rowOff>123825</xdr:rowOff>
    </xdr:from>
    <xdr:to>
      <xdr:col>9</xdr:col>
      <xdr:colOff>333375</xdr:colOff>
      <xdr:row>38</xdr:row>
      <xdr:rowOff>104775</xdr:rowOff>
    </xdr:to>
    <xdr:graphicFrame macro="">
      <xdr:nvGraphicFramePr>
        <xdr:cNvPr id="9600946" name="Chart 1">
          <a:extLst>
            <a:ext uri="{FF2B5EF4-FFF2-40B4-BE49-F238E27FC236}">
              <a16:creationId xmlns:a16="http://schemas.microsoft.com/office/drawing/2014/main" id="{00000000-0008-0000-0A00-0000B27F9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42</xdr:row>
      <xdr:rowOff>76200</xdr:rowOff>
    </xdr:from>
    <xdr:to>
      <xdr:col>5</xdr:col>
      <xdr:colOff>161925</xdr:colOff>
      <xdr:row>48</xdr:row>
      <xdr:rowOff>76200</xdr:rowOff>
    </xdr:to>
    <xdr:pic>
      <xdr:nvPicPr>
        <xdr:cNvPr id="14846664" name="Picture 4" descr="725038">
          <a:extLst>
            <a:ext uri="{FF2B5EF4-FFF2-40B4-BE49-F238E27FC236}">
              <a16:creationId xmlns:a16="http://schemas.microsoft.com/office/drawing/2014/main" id="{00000000-0008-0000-0B00-0000C88AE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8372475"/>
          <a:ext cx="647700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76200</xdr:colOff>
      <xdr:row>42</xdr:row>
      <xdr:rowOff>76200</xdr:rowOff>
    </xdr:from>
    <xdr:to>
      <xdr:col>16</xdr:col>
      <xdr:colOff>28575</xdr:colOff>
      <xdr:row>46</xdr:row>
      <xdr:rowOff>47625</xdr:rowOff>
    </xdr:to>
    <xdr:pic>
      <xdr:nvPicPr>
        <xdr:cNvPr id="14846665" name="Picture 5" descr="CIPM_MRA_Logo-big">
          <a:extLst>
            <a:ext uri="{FF2B5EF4-FFF2-40B4-BE49-F238E27FC236}">
              <a16:creationId xmlns:a16="http://schemas.microsoft.com/office/drawing/2014/main" id="{00000000-0008-0000-0B00-0000C98AE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8372475"/>
          <a:ext cx="1428750" cy="676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123825</xdr:colOff>
      <xdr:row>0</xdr:row>
      <xdr:rowOff>66675</xdr:rowOff>
    </xdr:from>
    <xdr:to>
      <xdr:col>19</xdr:col>
      <xdr:colOff>57150</xdr:colOff>
      <xdr:row>5</xdr:row>
      <xdr:rowOff>0</xdr:rowOff>
    </xdr:to>
    <xdr:pic>
      <xdr:nvPicPr>
        <xdr:cNvPr id="14846666" name="Picture 6" descr="ARPNSA_strip_blue_16cm">
          <a:extLst>
            <a:ext uri="{FF2B5EF4-FFF2-40B4-BE49-F238E27FC236}">
              <a16:creationId xmlns:a16="http://schemas.microsoft.com/office/drawing/2014/main" id="{00000000-0008-0000-0B00-0000CA8AE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66675"/>
          <a:ext cx="554355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161925</xdr:colOff>
      <xdr:row>97</xdr:row>
      <xdr:rowOff>38100</xdr:rowOff>
    </xdr:from>
    <xdr:to>
      <xdr:col>19</xdr:col>
      <xdr:colOff>95250</xdr:colOff>
      <xdr:row>101</xdr:row>
      <xdr:rowOff>123825</xdr:rowOff>
    </xdr:to>
    <xdr:pic>
      <xdr:nvPicPr>
        <xdr:cNvPr id="14846667" name="Picture 7" descr="ARPNSA_strip_blue_16cm">
          <a:extLst>
            <a:ext uri="{FF2B5EF4-FFF2-40B4-BE49-F238E27FC236}">
              <a16:creationId xmlns:a16="http://schemas.microsoft.com/office/drawing/2014/main" id="{00000000-0008-0000-0B00-0000CB8AE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0688300"/>
          <a:ext cx="554355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</xdr:colOff>
      <xdr:row>218</xdr:row>
      <xdr:rowOff>0</xdr:rowOff>
    </xdr:from>
    <xdr:to>
      <xdr:col>19</xdr:col>
      <xdr:colOff>238125</xdr:colOff>
      <xdr:row>235</xdr:row>
      <xdr:rowOff>123825</xdr:rowOff>
    </xdr:to>
    <xdr:graphicFrame macro="">
      <xdr:nvGraphicFramePr>
        <xdr:cNvPr id="14846668" name="Chart 1">
          <a:extLst>
            <a:ext uri="{FF2B5EF4-FFF2-40B4-BE49-F238E27FC236}">
              <a16:creationId xmlns:a16="http://schemas.microsoft.com/office/drawing/2014/main" id="{00000000-0008-0000-0B00-0000CC8AE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209550</xdr:colOff>
      <xdr:row>141</xdr:row>
      <xdr:rowOff>47625</xdr:rowOff>
    </xdr:from>
    <xdr:to>
      <xdr:col>19</xdr:col>
      <xdr:colOff>142875</xdr:colOff>
      <xdr:row>141</xdr:row>
      <xdr:rowOff>809625</xdr:rowOff>
    </xdr:to>
    <xdr:pic>
      <xdr:nvPicPr>
        <xdr:cNvPr id="14846669" name="Picture 7" descr="ARPNSA_strip_blue_16cm">
          <a:extLst>
            <a:ext uri="{FF2B5EF4-FFF2-40B4-BE49-F238E27FC236}">
              <a16:creationId xmlns:a16="http://schemas.microsoft.com/office/drawing/2014/main" id="{00000000-0008-0000-0B00-0000CD8AE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31061025"/>
          <a:ext cx="55435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</xdr:colOff>
      <xdr:row>242</xdr:row>
      <xdr:rowOff>114300</xdr:rowOff>
    </xdr:from>
    <xdr:to>
      <xdr:col>19</xdr:col>
      <xdr:colOff>257175</xdr:colOff>
      <xdr:row>263</xdr:row>
      <xdr:rowOff>76200</xdr:rowOff>
    </xdr:to>
    <xdr:graphicFrame macro="">
      <xdr:nvGraphicFramePr>
        <xdr:cNvPr id="14846670" name="Chart 1">
          <a:extLst>
            <a:ext uri="{FF2B5EF4-FFF2-40B4-BE49-F238E27FC236}">
              <a16:creationId xmlns:a16="http://schemas.microsoft.com/office/drawing/2014/main" id="{00000000-0008-0000-0B00-0000CE8AE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38100</xdr:colOff>
      <xdr:row>269</xdr:row>
      <xdr:rowOff>123825</xdr:rowOff>
    </xdr:from>
    <xdr:to>
      <xdr:col>19</xdr:col>
      <xdr:colOff>266700</xdr:colOff>
      <xdr:row>290</xdr:row>
      <xdr:rowOff>85725</xdr:rowOff>
    </xdr:to>
    <xdr:graphicFrame macro="">
      <xdr:nvGraphicFramePr>
        <xdr:cNvPr id="14846671" name="Chart 1">
          <a:extLst>
            <a:ext uri="{FF2B5EF4-FFF2-40B4-BE49-F238E27FC236}">
              <a16:creationId xmlns:a16="http://schemas.microsoft.com/office/drawing/2014/main" id="{00000000-0008-0000-0B00-0000CF8AE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W691"/>
  <sheetViews>
    <sheetView zoomScale="75" workbookViewId="0">
      <selection activeCell="C27" sqref="C27"/>
    </sheetView>
  </sheetViews>
  <sheetFormatPr defaultRowHeight="15" x14ac:dyDescent="0.2"/>
  <cols>
    <col min="1" max="2" width="8.85546875" style="5" customWidth="1"/>
    <col min="3" max="3" width="12.7109375" style="6" customWidth="1"/>
    <col min="4" max="4" width="13.28515625" style="22" customWidth="1"/>
    <col min="5" max="5" width="11.7109375" style="7" customWidth="1"/>
    <col min="6" max="8" width="8.85546875" style="5" customWidth="1"/>
    <col min="9" max="17" width="9.140625" style="5" customWidth="1"/>
    <col min="18" max="23" width="9.140625" style="23" customWidth="1"/>
  </cols>
  <sheetData>
    <row r="1" spans="1:23" s="8" customFormat="1" x14ac:dyDescent="0.2">
      <c r="A1" s="5"/>
      <c r="B1" s="5"/>
      <c r="C1" s="6"/>
      <c r="D1" s="5"/>
      <c r="E1" s="7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s="8" customFormat="1" ht="23.25" x14ac:dyDescent="0.35">
      <c r="A2" s="5"/>
      <c r="B2" s="9" t="s">
        <v>267</v>
      </c>
      <c r="C2" s="6"/>
      <c r="D2" s="5"/>
      <c r="E2" s="7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s="8" customFormat="1" x14ac:dyDescent="0.2">
      <c r="A3" s="5"/>
      <c r="B3" s="5"/>
      <c r="C3" s="6"/>
      <c r="D3" s="5"/>
      <c r="E3" s="7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s="8" customFormat="1" x14ac:dyDescent="0.2">
      <c r="A4" s="5"/>
      <c r="B4" s="10" t="s">
        <v>3</v>
      </c>
      <c r="C4" s="6"/>
      <c r="D4" s="5" t="s">
        <v>372</v>
      </c>
      <c r="E4" s="7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s="8" customFormat="1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s="8" customFormat="1" x14ac:dyDescent="0.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s="8" customFormat="1" x14ac:dyDescent="0.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s="8" customFormat="1" x14ac:dyDescent="0.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s="8" customFormat="1" x14ac:dyDescent="0.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s="8" customFormat="1" x14ac:dyDescent="0.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s="8" customFormat="1" x14ac:dyDescent="0.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s="8" customFormat="1" x14ac:dyDescent="0.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s="8" customFormat="1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s="8" customFormat="1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s="8" customFormat="1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s="8" customFormat="1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s="8" customFormat="1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s="8" customFormat="1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s="8" customFormat="1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s="8" customFormat="1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s="8" customFormat="1" ht="15.75" x14ac:dyDescent="0.25">
      <c r="A21" s="5"/>
      <c r="B21" s="11"/>
      <c r="C21" s="10"/>
      <c r="D21" s="5"/>
      <c r="E21" s="7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s="8" customFormat="1" x14ac:dyDescent="0.2">
      <c r="A22" s="5"/>
      <c r="B22" s="5"/>
      <c r="C22" s="10"/>
      <c r="D22" s="5"/>
      <c r="E22" s="7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s="8" customFormat="1" x14ac:dyDescent="0.2">
      <c r="A23" s="5"/>
      <c r="B23" s="5"/>
      <c r="C23" s="10"/>
      <c r="D23" s="5"/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s="8" customFormat="1" ht="15.75" x14ac:dyDescent="0.25">
      <c r="A24" s="5"/>
      <c r="B24" s="11" t="s">
        <v>4</v>
      </c>
      <c r="C24" s="6"/>
      <c r="D24" s="5"/>
      <c r="E24" s="7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s="8" customFormat="1" ht="15.75" x14ac:dyDescent="0.25">
      <c r="A25" s="5"/>
      <c r="B25" s="11"/>
      <c r="C25" s="12" t="s">
        <v>5</v>
      </c>
      <c r="D25" s="13" t="s">
        <v>6</v>
      </c>
      <c r="E25" s="14" t="s">
        <v>7</v>
      </c>
      <c r="F25" s="15"/>
      <c r="G25" s="16" t="s">
        <v>8</v>
      </c>
      <c r="H25" s="16"/>
      <c r="I25" s="16"/>
      <c r="J25" s="16"/>
      <c r="K25" s="16"/>
      <c r="L25" s="16"/>
      <c r="M25" s="16"/>
      <c r="N25" s="16"/>
      <c r="O25" s="17"/>
      <c r="P25" s="5"/>
      <c r="Q25" s="5"/>
      <c r="R25" s="5"/>
      <c r="S25" s="5"/>
      <c r="T25" s="5"/>
      <c r="U25" s="5"/>
      <c r="V25" s="5"/>
      <c r="W25" s="5"/>
    </row>
    <row r="26" spans="1:23" s="21" customFormat="1" ht="15.75" x14ac:dyDescent="0.25">
      <c r="A26" s="11"/>
      <c r="B26" s="11"/>
      <c r="C26" s="18">
        <v>44420</v>
      </c>
      <c r="D26" s="19" t="s">
        <v>9</v>
      </c>
      <c r="E26" s="20" t="s">
        <v>213</v>
      </c>
      <c r="F26" s="11"/>
      <c r="G26" s="11" t="s">
        <v>388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</row>
    <row r="27" spans="1:23" s="8" customFormat="1" x14ac:dyDescent="0.2">
      <c r="A27" s="5"/>
      <c r="B27" s="5"/>
      <c r="C27" s="6"/>
      <c r="D27" s="22"/>
      <c r="E27" s="7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s="8" customFormat="1" x14ac:dyDescent="0.2">
      <c r="A28" s="5"/>
      <c r="B28" s="5"/>
      <c r="C28" s="6"/>
      <c r="D28" s="22"/>
      <c r="E28" s="7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s="8" customFormat="1" ht="15.75" x14ac:dyDescent="0.25">
      <c r="A29" s="5"/>
      <c r="B29" s="5"/>
      <c r="C29" s="18"/>
      <c r="D29" s="19"/>
      <c r="E29" s="20"/>
      <c r="F29" s="11"/>
      <c r="G29" s="11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s="8" customFormat="1" x14ac:dyDescent="0.2">
      <c r="A30" s="5"/>
      <c r="B30" s="5"/>
      <c r="C30" s="6"/>
      <c r="D30" s="22"/>
      <c r="E30" s="7"/>
      <c r="F30" s="5"/>
      <c r="G30" s="7"/>
      <c r="H30" s="7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s="8" customFormat="1" x14ac:dyDescent="0.2">
      <c r="A31" s="5"/>
      <c r="B31" s="5"/>
      <c r="C31" s="6"/>
      <c r="D31" s="22"/>
      <c r="E31" s="7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s="8" customFormat="1" x14ac:dyDescent="0.2">
      <c r="A32" s="5"/>
      <c r="B32" s="5"/>
      <c r="C32" s="6"/>
      <c r="D32" s="22"/>
      <c r="E32" s="7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4" spans="1:23" x14ac:dyDescent="0.2">
      <c r="F34" s="23"/>
    </row>
    <row r="35" spans="1:23" x14ac:dyDescent="0.2">
      <c r="F35" s="23"/>
    </row>
    <row r="36" spans="1:23" x14ac:dyDescent="0.2">
      <c r="F36" s="23"/>
    </row>
    <row r="37" spans="1:23" s="4" customFormat="1" ht="15.75" x14ac:dyDescent="0.25">
      <c r="A37" s="11"/>
      <c r="B37" s="11"/>
      <c r="C37" s="18"/>
      <c r="D37" s="19"/>
      <c r="E37" s="20"/>
      <c r="F37" s="11"/>
      <c r="G37" s="11"/>
      <c r="H37" s="5"/>
      <c r="I37" s="5"/>
      <c r="J37" s="5"/>
      <c r="K37" s="11"/>
      <c r="L37" s="11"/>
      <c r="M37" s="11"/>
      <c r="N37" s="11"/>
      <c r="O37" s="11"/>
      <c r="P37" s="11"/>
      <c r="Q37" s="11"/>
      <c r="R37" s="25"/>
      <c r="S37" s="25"/>
      <c r="T37" s="25"/>
      <c r="U37" s="25"/>
      <c r="V37" s="25"/>
      <c r="W37" s="25"/>
    </row>
    <row r="38" spans="1:23" x14ac:dyDescent="0.2">
      <c r="F38" s="24"/>
    </row>
    <row r="39" spans="1:23" ht="15.75" x14ac:dyDescent="0.25">
      <c r="C39" s="18"/>
      <c r="D39" s="19"/>
      <c r="E39" s="20"/>
      <c r="F39" s="25"/>
      <c r="G39" s="11"/>
    </row>
    <row r="40" spans="1:23" x14ac:dyDescent="0.2">
      <c r="F40" s="23"/>
    </row>
    <row r="41" spans="1:23" x14ac:dyDescent="0.2">
      <c r="F41" s="23"/>
    </row>
    <row r="42" spans="1:23" ht="15.75" x14ac:dyDescent="0.25">
      <c r="C42" s="18"/>
      <c r="D42" s="19"/>
      <c r="E42" s="20"/>
      <c r="F42" s="25"/>
      <c r="G42" s="11"/>
    </row>
    <row r="43" spans="1:23" x14ac:dyDescent="0.2">
      <c r="F43" s="23"/>
    </row>
    <row r="44" spans="1:23" x14ac:dyDescent="0.2">
      <c r="F44" s="23"/>
    </row>
    <row r="45" spans="1:23" x14ac:dyDescent="0.2">
      <c r="F45" s="23"/>
    </row>
    <row r="46" spans="1:23" x14ac:dyDescent="0.2">
      <c r="F46" s="23"/>
    </row>
    <row r="47" spans="1:23" x14ac:dyDescent="0.2">
      <c r="F47" s="23"/>
    </row>
    <row r="48" spans="1:23" x14ac:dyDescent="0.2">
      <c r="F48" s="23"/>
    </row>
    <row r="49" spans="3:13" x14ac:dyDescent="0.2">
      <c r="F49" s="23"/>
    </row>
    <row r="50" spans="3:13" x14ac:dyDescent="0.2">
      <c r="F50" s="23"/>
    </row>
    <row r="51" spans="3:13" x14ac:dyDescent="0.2">
      <c r="F51" s="23"/>
    </row>
    <row r="52" spans="3:13" x14ac:dyDescent="0.2">
      <c r="F52" s="23"/>
    </row>
    <row r="53" spans="3:13" ht="15.75" x14ac:dyDescent="0.25">
      <c r="F53" s="24"/>
      <c r="I53" s="11"/>
      <c r="J53" s="11"/>
      <c r="K53" s="11"/>
      <c r="L53" s="11"/>
      <c r="M53" s="11"/>
    </row>
    <row r="54" spans="3:13" x14ac:dyDescent="0.2">
      <c r="F54" s="24"/>
    </row>
    <row r="55" spans="3:13" x14ac:dyDescent="0.2">
      <c r="F55" s="23"/>
    </row>
    <row r="56" spans="3:13" x14ac:dyDescent="0.2">
      <c r="F56" s="23"/>
    </row>
    <row r="57" spans="3:13" ht="15.75" x14ac:dyDescent="0.25">
      <c r="C57" s="18"/>
      <c r="D57" s="19"/>
      <c r="E57" s="20"/>
      <c r="F57" s="25"/>
      <c r="G57" s="11"/>
    </row>
    <row r="58" spans="3:13" x14ac:dyDescent="0.2">
      <c r="F58" s="23"/>
    </row>
    <row r="59" spans="3:13" x14ac:dyDescent="0.2">
      <c r="F59" s="23"/>
    </row>
    <row r="60" spans="3:13" x14ac:dyDescent="0.2">
      <c r="F60" s="23"/>
    </row>
    <row r="61" spans="3:13" x14ac:dyDescent="0.2">
      <c r="F61" s="23"/>
    </row>
    <row r="62" spans="3:13" x14ac:dyDescent="0.2">
      <c r="F62" s="23"/>
    </row>
    <row r="63" spans="3:13" ht="15.75" x14ac:dyDescent="0.25">
      <c r="C63" s="18"/>
      <c r="D63" s="19"/>
      <c r="E63" s="20"/>
      <c r="F63" s="25"/>
      <c r="G63" s="11"/>
    </row>
    <row r="64" spans="3:13" x14ac:dyDescent="0.2">
      <c r="F64" s="23"/>
    </row>
    <row r="65" spans="1:23" x14ac:dyDescent="0.2">
      <c r="F65" s="23"/>
    </row>
    <row r="66" spans="1:23" x14ac:dyDescent="0.2">
      <c r="F66" s="23"/>
    </row>
    <row r="67" spans="1:23" x14ac:dyDescent="0.2">
      <c r="F67" s="23"/>
    </row>
    <row r="68" spans="1:23" x14ac:dyDescent="0.2">
      <c r="F68" s="23"/>
    </row>
    <row r="69" spans="1:23" ht="15.75" x14ac:dyDescent="0.25">
      <c r="C69" s="18"/>
      <c r="D69" s="19"/>
      <c r="E69" s="20"/>
      <c r="F69" s="25"/>
      <c r="G69" s="11"/>
    </row>
    <row r="70" spans="1:23" x14ac:dyDescent="0.2">
      <c r="F70" s="23"/>
    </row>
    <row r="71" spans="1:23" x14ac:dyDescent="0.2">
      <c r="F71" s="23"/>
    </row>
    <row r="72" spans="1:23" ht="15.75" x14ac:dyDescent="0.25">
      <c r="C72" s="18"/>
      <c r="D72" s="19"/>
      <c r="E72" s="20"/>
      <c r="F72" s="25"/>
      <c r="G72" s="11"/>
    </row>
    <row r="73" spans="1:23" x14ac:dyDescent="0.2">
      <c r="F73" s="23"/>
    </row>
    <row r="74" spans="1:23" ht="15.75" x14ac:dyDescent="0.25">
      <c r="C74" s="18"/>
      <c r="D74" s="19"/>
      <c r="E74" s="20"/>
      <c r="F74" s="23"/>
      <c r="G74" s="11"/>
    </row>
    <row r="75" spans="1:23" x14ac:dyDescent="0.2">
      <c r="F75" s="23"/>
    </row>
    <row r="76" spans="1:23" x14ac:dyDescent="0.2">
      <c r="F76" s="23"/>
    </row>
    <row r="77" spans="1:23" s="4" customFormat="1" ht="15.75" x14ac:dyDescent="0.25">
      <c r="A77" s="11"/>
      <c r="B77" s="11"/>
      <c r="C77" s="6"/>
      <c r="D77" s="22"/>
      <c r="E77" s="7"/>
      <c r="F77" s="24"/>
      <c r="G77" s="5"/>
      <c r="H77" s="5"/>
      <c r="I77" s="5"/>
      <c r="J77" s="5"/>
      <c r="K77" s="5"/>
      <c r="L77" s="5"/>
      <c r="M77" s="5"/>
      <c r="N77" s="5"/>
      <c r="O77" s="11"/>
      <c r="P77" s="11"/>
      <c r="Q77" s="11"/>
      <c r="R77" s="25"/>
      <c r="S77" s="25"/>
      <c r="T77" s="25"/>
      <c r="U77" s="25"/>
      <c r="V77" s="25"/>
      <c r="W77" s="25"/>
    </row>
    <row r="78" spans="1:23" x14ac:dyDescent="0.2">
      <c r="F78" s="23"/>
    </row>
    <row r="79" spans="1:23" x14ac:dyDescent="0.2">
      <c r="F79" s="23"/>
    </row>
    <row r="80" spans="1:23" x14ac:dyDescent="0.2">
      <c r="F80" s="23"/>
    </row>
    <row r="81" spans="2:7" x14ac:dyDescent="0.2">
      <c r="F81" s="23"/>
    </row>
    <row r="82" spans="2:7" x14ac:dyDescent="0.2">
      <c r="F82" s="23"/>
    </row>
    <row r="83" spans="2:7" x14ac:dyDescent="0.2">
      <c r="F83" s="23"/>
    </row>
    <row r="84" spans="2:7" x14ac:dyDescent="0.2">
      <c r="F84" s="23"/>
    </row>
    <row r="85" spans="2:7" x14ac:dyDescent="0.2">
      <c r="F85" s="23"/>
    </row>
    <row r="86" spans="2:7" x14ac:dyDescent="0.2">
      <c r="F86" s="23"/>
    </row>
    <row r="87" spans="2:7" x14ac:dyDescent="0.2">
      <c r="F87" s="23"/>
    </row>
    <row r="88" spans="2:7" ht="15.75" x14ac:dyDescent="0.25">
      <c r="C88" s="18"/>
      <c r="D88" s="19"/>
      <c r="E88" s="20"/>
      <c r="F88" s="23"/>
      <c r="G88" s="11"/>
    </row>
    <row r="89" spans="2:7" ht="15.75" x14ac:dyDescent="0.25">
      <c r="C89" s="18"/>
      <c r="D89" s="19"/>
      <c r="E89" s="20"/>
      <c r="F89" s="25"/>
      <c r="G89" s="11"/>
    </row>
    <row r="90" spans="2:7" x14ac:dyDescent="0.2">
      <c r="F90" s="24"/>
    </row>
    <row r="91" spans="2:7" x14ac:dyDescent="0.2">
      <c r="F91" s="24"/>
    </row>
    <row r="92" spans="2:7" x14ac:dyDescent="0.2">
      <c r="F92" s="23"/>
    </row>
    <row r="93" spans="2:7" x14ac:dyDescent="0.2">
      <c r="F93" s="23"/>
    </row>
    <row r="94" spans="2:7" ht="15.75" x14ac:dyDescent="0.25">
      <c r="B94" s="11"/>
      <c r="C94" s="18"/>
      <c r="D94" s="19"/>
      <c r="E94" s="20"/>
      <c r="F94" s="25"/>
      <c r="G94" s="11"/>
    </row>
    <row r="95" spans="2:7" x14ac:dyDescent="0.2">
      <c r="F95" s="23"/>
    </row>
    <row r="96" spans="2:7" x14ac:dyDescent="0.2">
      <c r="F96" s="23"/>
    </row>
    <row r="97" spans="3:7" x14ac:dyDescent="0.2">
      <c r="F97" s="23"/>
    </row>
    <row r="98" spans="3:7" ht="15.75" x14ac:dyDescent="0.25">
      <c r="C98" s="18"/>
      <c r="D98" s="19"/>
      <c r="E98" s="20"/>
      <c r="F98" s="25"/>
      <c r="G98" s="11"/>
    </row>
    <row r="99" spans="3:7" x14ac:dyDescent="0.2">
      <c r="F99" s="23"/>
    </row>
    <row r="100" spans="3:7" x14ac:dyDescent="0.2">
      <c r="F100" s="23"/>
    </row>
    <row r="101" spans="3:7" x14ac:dyDescent="0.2">
      <c r="F101" s="23"/>
    </row>
    <row r="102" spans="3:7" x14ac:dyDescent="0.2">
      <c r="F102" s="23"/>
    </row>
    <row r="103" spans="3:7" x14ac:dyDescent="0.2">
      <c r="F103" s="23"/>
    </row>
    <row r="104" spans="3:7" x14ac:dyDescent="0.2">
      <c r="F104" s="23"/>
    </row>
    <row r="105" spans="3:7" x14ac:dyDescent="0.2">
      <c r="F105" s="23"/>
    </row>
    <row r="106" spans="3:7" ht="15.75" x14ac:dyDescent="0.25">
      <c r="C106" s="18"/>
      <c r="D106" s="19"/>
      <c r="E106" s="20"/>
      <c r="F106" s="23"/>
      <c r="G106" s="11"/>
    </row>
    <row r="107" spans="3:7" x14ac:dyDescent="0.2">
      <c r="F107" s="23"/>
    </row>
    <row r="108" spans="3:7" x14ac:dyDescent="0.2">
      <c r="F108" s="23"/>
    </row>
    <row r="109" spans="3:7" x14ac:dyDescent="0.2">
      <c r="F109" s="23"/>
    </row>
    <row r="110" spans="3:7" x14ac:dyDescent="0.2">
      <c r="F110" s="23"/>
    </row>
    <row r="111" spans="3:7" x14ac:dyDescent="0.2">
      <c r="F111" s="23"/>
    </row>
    <row r="112" spans="3:7" x14ac:dyDescent="0.2">
      <c r="F112" s="23"/>
    </row>
    <row r="113" spans="3:7" x14ac:dyDescent="0.2">
      <c r="F113" s="23"/>
    </row>
    <row r="114" spans="3:7" x14ac:dyDescent="0.2">
      <c r="F114" s="23"/>
    </row>
    <row r="115" spans="3:7" x14ac:dyDescent="0.2">
      <c r="F115" s="23"/>
    </row>
    <row r="116" spans="3:7" ht="15.75" x14ac:dyDescent="0.25">
      <c r="C116" s="18"/>
      <c r="D116" s="19"/>
      <c r="E116" s="20"/>
      <c r="F116" s="23"/>
      <c r="G116" s="11"/>
    </row>
    <row r="117" spans="3:7" x14ac:dyDescent="0.2">
      <c r="F117" s="23"/>
    </row>
    <row r="118" spans="3:7" x14ac:dyDescent="0.2">
      <c r="F118" s="23"/>
    </row>
    <row r="119" spans="3:7" x14ac:dyDescent="0.2">
      <c r="F119" s="23"/>
    </row>
    <row r="120" spans="3:7" x14ac:dyDescent="0.2">
      <c r="F120" s="23"/>
    </row>
    <row r="121" spans="3:7" ht="15.75" x14ac:dyDescent="0.25">
      <c r="C121" s="18"/>
      <c r="D121" s="19"/>
      <c r="E121" s="20"/>
      <c r="F121" s="25"/>
      <c r="G121" s="11"/>
    </row>
    <row r="122" spans="3:7" x14ac:dyDescent="0.2">
      <c r="F122" s="23"/>
    </row>
    <row r="123" spans="3:7" ht="15.75" x14ac:dyDescent="0.25">
      <c r="C123" s="18"/>
      <c r="D123" s="19"/>
      <c r="E123" s="20"/>
      <c r="F123" s="25"/>
      <c r="G123" s="11"/>
    </row>
    <row r="124" spans="3:7" x14ac:dyDescent="0.2">
      <c r="F124" s="23"/>
    </row>
    <row r="125" spans="3:7" x14ac:dyDescent="0.2">
      <c r="F125" s="23"/>
    </row>
    <row r="126" spans="3:7" ht="15.75" x14ac:dyDescent="0.25">
      <c r="C126" s="18"/>
      <c r="D126" s="19"/>
      <c r="E126" s="20"/>
      <c r="F126" s="25"/>
      <c r="G126" s="11"/>
    </row>
    <row r="127" spans="3:7" x14ac:dyDescent="0.2">
      <c r="F127" s="23"/>
    </row>
    <row r="128" spans="3:7" x14ac:dyDescent="0.2">
      <c r="F128" s="23"/>
    </row>
    <row r="129" spans="3:9" ht="15.75" x14ac:dyDescent="0.25">
      <c r="C129" s="18"/>
      <c r="D129" s="19"/>
      <c r="E129" s="20"/>
      <c r="F129" s="25"/>
      <c r="G129" s="11"/>
    </row>
    <row r="130" spans="3:9" x14ac:dyDescent="0.2">
      <c r="F130" s="23"/>
    </row>
    <row r="131" spans="3:9" x14ac:dyDescent="0.2">
      <c r="F131" s="23"/>
    </row>
    <row r="132" spans="3:9" x14ac:dyDescent="0.2">
      <c r="F132" s="23"/>
    </row>
    <row r="133" spans="3:9" ht="15.75" x14ac:dyDescent="0.25">
      <c r="C133" s="18"/>
      <c r="D133" s="19"/>
      <c r="E133" s="20"/>
      <c r="F133" s="25"/>
      <c r="G133" s="11"/>
      <c r="H133" s="11"/>
      <c r="I133" s="11"/>
    </row>
    <row r="134" spans="3:9" x14ac:dyDescent="0.2">
      <c r="F134" s="23"/>
    </row>
    <row r="135" spans="3:9" x14ac:dyDescent="0.2">
      <c r="F135" s="23"/>
    </row>
    <row r="136" spans="3:9" x14ac:dyDescent="0.2">
      <c r="F136" s="23"/>
    </row>
    <row r="137" spans="3:9" x14ac:dyDescent="0.2">
      <c r="F137" s="23"/>
    </row>
    <row r="138" spans="3:9" x14ac:dyDescent="0.2">
      <c r="F138" s="23"/>
    </row>
    <row r="139" spans="3:9" x14ac:dyDescent="0.2">
      <c r="F139" s="23"/>
    </row>
    <row r="140" spans="3:9" x14ac:dyDescent="0.2">
      <c r="F140" s="23"/>
    </row>
    <row r="141" spans="3:9" x14ac:dyDescent="0.2">
      <c r="F141" s="23"/>
    </row>
    <row r="142" spans="3:9" x14ac:dyDescent="0.2">
      <c r="F142" s="23"/>
    </row>
    <row r="143" spans="3:9" x14ac:dyDescent="0.2">
      <c r="F143" s="23"/>
    </row>
    <row r="144" spans="3:9" ht="15.75" x14ac:dyDescent="0.25">
      <c r="C144" s="18"/>
      <c r="D144" s="19"/>
      <c r="E144" s="20"/>
      <c r="F144" s="23"/>
      <c r="G144" s="11"/>
    </row>
    <row r="145" spans="3:7" x14ac:dyDescent="0.2">
      <c r="F145" s="23"/>
    </row>
    <row r="146" spans="3:7" x14ac:dyDescent="0.2">
      <c r="F146" s="23"/>
    </row>
    <row r="147" spans="3:7" x14ac:dyDescent="0.2">
      <c r="F147" s="23"/>
    </row>
    <row r="148" spans="3:7" ht="15.75" x14ac:dyDescent="0.25">
      <c r="C148" s="18"/>
      <c r="D148" s="19"/>
      <c r="E148" s="20"/>
      <c r="F148" s="25"/>
      <c r="G148" s="11"/>
    </row>
    <row r="149" spans="3:7" x14ac:dyDescent="0.2">
      <c r="F149" s="23"/>
    </row>
    <row r="150" spans="3:7" x14ac:dyDescent="0.2">
      <c r="F150" s="23"/>
    </row>
    <row r="151" spans="3:7" ht="15.75" x14ac:dyDescent="0.25">
      <c r="C151" s="18"/>
      <c r="D151" s="19"/>
      <c r="E151" s="20"/>
      <c r="F151" s="25"/>
      <c r="G151" s="11"/>
    </row>
    <row r="152" spans="3:7" x14ac:dyDescent="0.2">
      <c r="F152" s="23"/>
    </row>
    <row r="153" spans="3:7" x14ac:dyDescent="0.2">
      <c r="F153" s="23"/>
    </row>
    <row r="154" spans="3:7" x14ac:dyDescent="0.2">
      <c r="F154" s="23"/>
    </row>
    <row r="155" spans="3:7" x14ac:dyDescent="0.2">
      <c r="F155" s="23"/>
    </row>
    <row r="156" spans="3:7" x14ac:dyDescent="0.2">
      <c r="F156" s="23"/>
    </row>
    <row r="157" spans="3:7" x14ac:dyDescent="0.2">
      <c r="F157" s="23"/>
    </row>
    <row r="158" spans="3:7" x14ac:dyDescent="0.2">
      <c r="F158" s="23"/>
    </row>
    <row r="159" spans="3:7" x14ac:dyDescent="0.2">
      <c r="F159" s="23"/>
    </row>
    <row r="160" spans="3:7" x14ac:dyDescent="0.2">
      <c r="F160" s="23"/>
    </row>
    <row r="161" spans="6:6" x14ac:dyDescent="0.2">
      <c r="F161" s="23"/>
    </row>
    <row r="162" spans="6:6" x14ac:dyDescent="0.2">
      <c r="F162" s="23"/>
    </row>
    <row r="163" spans="6:6" x14ac:dyDescent="0.2">
      <c r="F163" s="23"/>
    </row>
    <row r="164" spans="6:6" x14ac:dyDescent="0.2">
      <c r="F164" s="23"/>
    </row>
    <row r="165" spans="6:6" x14ac:dyDescent="0.2">
      <c r="F165" s="23"/>
    </row>
    <row r="166" spans="6:6" x14ac:dyDescent="0.2">
      <c r="F166" s="23"/>
    </row>
    <row r="167" spans="6:6" x14ac:dyDescent="0.2">
      <c r="F167" s="23"/>
    </row>
    <row r="168" spans="6:6" x14ac:dyDescent="0.2">
      <c r="F168" s="23"/>
    </row>
    <row r="169" spans="6:6" x14ac:dyDescent="0.2">
      <c r="F169" s="23"/>
    </row>
    <row r="170" spans="6:6" x14ac:dyDescent="0.2">
      <c r="F170" s="23"/>
    </row>
    <row r="171" spans="6:6" x14ac:dyDescent="0.2">
      <c r="F171" s="23"/>
    </row>
    <row r="172" spans="6:6" x14ac:dyDescent="0.2">
      <c r="F172" s="23"/>
    </row>
    <row r="173" spans="6:6" x14ac:dyDescent="0.2">
      <c r="F173" s="23"/>
    </row>
    <row r="174" spans="6:6" x14ac:dyDescent="0.2">
      <c r="F174" s="23"/>
    </row>
    <row r="175" spans="6:6" x14ac:dyDescent="0.2">
      <c r="F175" s="23"/>
    </row>
    <row r="176" spans="6:6" x14ac:dyDescent="0.2">
      <c r="F176" s="23"/>
    </row>
    <row r="177" spans="6:6" x14ac:dyDescent="0.2">
      <c r="F177" s="23"/>
    </row>
    <row r="178" spans="6:6" x14ac:dyDescent="0.2">
      <c r="F178" s="23"/>
    </row>
    <row r="179" spans="6:6" x14ac:dyDescent="0.2">
      <c r="F179" s="23"/>
    </row>
    <row r="180" spans="6:6" x14ac:dyDescent="0.2">
      <c r="F180" s="23"/>
    </row>
    <row r="181" spans="6:6" x14ac:dyDescent="0.2">
      <c r="F181" s="23"/>
    </row>
    <row r="182" spans="6:6" x14ac:dyDescent="0.2">
      <c r="F182" s="23"/>
    </row>
    <row r="183" spans="6:6" x14ac:dyDescent="0.2">
      <c r="F183" s="23"/>
    </row>
    <row r="184" spans="6:6" x14ac:dyDescent="0.2">
      <c r="F184" s="23"/>
    </row>
    <row r="185" spans="6:6" x14ac:dyDescent="0.2">
      <c r="F185" s="23"/>
    </row>
    <row r="186" spans="6:6" x14ac:dyDescent="0.2">
      <c r="F186" s="23"/>
    </row>
    <row r="187" spans="6:6" x14ac:dyDescent="0.2">
      <c r="F187" s="23"/>
    </row>
    <row r="188" spans="6:6" x14ac:dyDescent="0.2">
      <c r="F188" s="23"/>
    </row>
    <row r="189" spans="6:6" x14ac:dyDescent="0.2">
      <c r="F189" s="23"/>
    </row>
    <row r="190" spans="6:6" x14ac:dyDescent="0.2">
      <c r="F190" s="23"/>
    </row>
    <row r="191" spans="6:6" x14ac:dyDescent="0.2">
      <c r="F191" s="23"/>
    </row>
    <row r="192" spans="6:6" x14ac:dyDescent="0.2">
      <c r="F192" s="23"/>
    </row>
    <row r="193" spans="6:6" x14ac:dyDescent="0.2">
      <c r="F193" s="23"/>
    </row>
    <row r="194" spans="6:6" x14ac:dyDescent="0.2">
      <c r="F194" s="23"/>
    </row>
    <row r="195" spans="6:6" x14ac:dyDescent="0.2">
      <c r="F195" s="23"/>
    </row>
    <row r="196" spans="6:6" x14ac:dyDescent="0.2">
      <c r="F196" s="23"/>
    </row>
    <row r="197" spans="6:6" x14ac:dyDescent="0.2">
      <c r="F197" s="23"/>
    </row>
    <row r="198" spans="6:6" x14ac:dyDescent="0.2">
      <c r="F198" s="23"/>
    </row>
    <row r="199" spans="6:6" x14ac:dyDescent="0.2">
      <c r="F199" s="23"/>
    </row>
    <row r="200" spans="6:6" x14ac:dyDescent="0.2">
      <c r="F200" s="23"/>
    </row>
    <row r="201" spans="6:6" x14ac:dyDescent="0.2">
      <c r="F201" s="23"/>
    </row>
    <row r="202" spans="6:6" x14ac:dyDescent="0.2">
      <c r="F202" s="23"/>
    </row>
    <row r="203" spans="6:6" x14ac:dyDescent="0.2">
      <c r="F203" s="23"/>
    </row>
    <row r="204" spans="6:6" x14ac:dyDescent="0.2">
      <c r="F204" s="23"/>
    </row>
    <row r="205" spans="6:6" x14ac:dyDescent="0.2">
      <c r="F205" s="23"/>
    </row>
    <row r="206" spans="6:6" x14ac:dyDescent="0.2">
      <c r="F206" s="23"/>
    </row>
    <row r="207" spans="6:6" x14ac:dyDescent="0.2">
      <c r="F207" s="23"/>
    </row>
    <row r="208" spans="6:6" x14ac:dyDescent="0.2">
      <c r="F208" s="23"/>
    </row>
    <row r="209" spans="6:6" x14ac:dyDescent="0.2">
      <c r="F209" s="23"/>
    </row>
    <row r="210" spans="6:6" x14ac:dyDescent="0.2">
      <c r="F210" s="23"/>
    </row>
    <row r="211" spans="6:6" x14ac:dyDescent="0.2">
      <c r="F211" s="23"/>
    </row>
    <row r="212" spans="6:6" x14ac:dyDescent="0.2">
      <c r="F212" s="23"/>
    </row>
    <row r="213" spans="6:6" x14ac:dyDescent="0.2">
      <c r="F213" s="23"/>
    </row>
    <row r="214" spans="6:6" x14ac:dyDescent="0.2">
      <c r="F214" s="23"/>
    </row>
    <row r="215" spans="6:6" x14ac:dyDescent="0.2">
      <c r="F215" s="23"/>
    </row>
    <row r="216" spans="6:6" x14ac:dyDescent="0.2">
      <c r="F216" s="23"/>
    </row>
    <row r="217" spans="6:6" x14ac:dyDescent="0.2">
      <c r="F217" s="23"/>
    </row>
    <row r="218" spans="6:6" x14ac:dyDescent="0.2">
      <c r="F218" s="23"/>
    </row>
    <row r="219" spans="6:6" x14ac:dyDescent="0.2">
      <c r="F219" s="23"/>
    </row>
    <row r="220" spans="6:6" x14ac:dyDescent="0.2">
      <c r="F220" s="23"/>
    </row>
    <row r="221" spans="6:6" x14ac:dyDescent="0.2">
      <c r="F221" s="23"/>
    </row>
    <row r="222" spans="6:6" x14ac:dyDescent="0.2">
      <c r="F222" s="23"/>
    </row>
    <row r="223" spans="6:6" x14ac:dyDescent="0.2">
      <c r="F223" s="23"/>
    </row>
    <row r="224" spans="6:6" x14ac:dyDescent="0.2">
      <c r="F224" s="23"/>
    </row>
    <row r="225" spans="6:6" x14ac:dyDescent="0.2">
      <c r="F225" s="23"/>
    </row>
    <row r="226" spans="6:6" x14ac:dyDescent="0.2">
      <c r="F226" s="23"/>
    </row>
    <row r="227" spans="6:6" x14ac:dyDescent="0.2">
      <c r="F227" s="23"/>
    </row>
    <row r="228" spans="6:6" x14ac:dyDescent="0.2">
      <c r="F228" s="23"/>
    </row>
    <row r="229" spans="6:6" x14ac:dyDescent="0.2">
      <c r="F229" s="23"/>
    </row>
    <row r="230" spans="6:6" x14ac:dyDescent="0.2">
      <c r="F230" s="23"/>
    </row>
    <row r="231" spans="6:6" x14ac:dyDescent="0.2">
      <c r="F231" s="23"/>
    </row>
    <row r="232" spans="6:6" x14ac:dyDescent="0.2">
      <c r="F232" s="23"/>
    </row>
    <row r="233" spans="6:6" x14ac:dyDescent="0.2">
      <c r="F233" s="23"/>
    </row>
    <row r="234" spans="6:6" x14ac:dyDescent="0.2">
      <c r="F234" s="23"/>
    </row>
    <row r="235" spans="6:6" x14ac:dyDescent="0.2">
      <c r="F235" s="23"/>
    </row>
    <row r="236" spans="6:6" x14ac:dyDescent="0.2">
      <c r="F236" s="23"/>
    </row>
    <row r="237" spans="6:6" x14ac:dyDescent="0.2">
      <c r="F237" s="23"/>
    </row>
    <row r="238" spans="6:6" x14ac:dyDescent="0.2">
      <c r="F238" s="23"/>
    </row>
    <row r="239" spans="6:6" x14ac:dyDescent="0.2">
      <c r="F239" s="23"/>
    </row>
    <row r="240" spans="6:6" x14ac:dyDescent="0.2">
      <c r="F240" s="23"/>
    </row>
    <row r="241" spans="6:6" x14ac:dyDescent="0.2">
      <c r="F241" s="23"/>
    </row>
    <row r="242" spans="6:6" x14ac:dyDescent="0.2">
      <c r="F242" s="23"/>
    </row>
    <row r="243" spans="6:6" x14ac:dyDescent="0.2">
      <c r="F243" s="23"/>
    </row>
    <row r="244" spans="6:6" x14ac:dyDescent="0.2">
      <c r="F244" s="23"/>
    </row>
    <row r="245" spans="6:6" x14ac:dyDescent="0.2">
      <c r="F245" s="23"/>
    </row>
    <row r="246" spans="6:6" x14ac:dyDescent="0.2">
      <c r="F246" s="23"/>
    </row>
    <row r="247" spans="6:6" x14ac:dyDescent="0.2">
      <c r="F247" s="23"/>
    </row>
    <row r="248" spans="6:6" x14ac:dyDescent="0.2">
      <c r="F248" s="23"/>
    </row>
    <row r="249" spans="6:6" x14ac:dyDescent="0.2">
      <c r="F249" s="23"/>
    </row>
    <row r="250" spans="6:6" x14ac:dyDescent="0.2">
      <c r="F250" s="23"/>
    </row>
    <row r="251" spans="6:6" x14ac:dyDescent="0.2">
      <c r="F251" s="23"/>
    </row>
    <row r="252" spans="6:6" x14ac:dyDescent="0.2">
      <c r="F252" s="23"/>
    </row>
    <row r="253" spans="6:6" x14ac:dyDescent="0.2">
      <c r="F253" s="23"/>
    </row>
    <row r="254" spans="6:6" x14ac:dyDescent="0.2">
      <c r="F254" s="23"/>
    </row>
    <row r="255" spans="6:6" x14ac:dyDescent="0.2">
      <c r="F255" s="23"/>
    </row>
    <row r="256" spans="6:6" x14ac:dyDescent="0.2">
      <c r="F256" s="23"/>
    </row>
    <row r="257" spans="6:6" x14ac:dyDescent="0.2">
      <c r="F257" s="23"/>
    </row>
    <row r="258" spans="6:6" x14ac:dyDescent="0.2">
      <c r="F258" s="23"/>
    </row>
    <row r="259" spans="6:6" x14ac:dyDescent="0.2">
      <c r="F259" s="23"/>
    </row>
    <row r="260" spans="6:6" x14ac:dyDescent="0.2">
      <c r="F260" s="23"/>
    </row>
    <row r="261" spans="6:6" x14ac:dyDescent="0.2">
      <c r="F261" s="23"/>
    </row>
    <row r="262" spans="6:6" x14ac:dyDescent="0.2">
      <c r="F262" s="23"/>
    </row>
    <row r="263" spans="6:6" x14ac:dyDescent="0.2">
      <c r="F263" s="23"/>
    </row>
    <row r="264" spans="6:6" x14ac:dyDescent="0.2">
      <c r="F264" s="23"/>
    </row>
    <row r="265" spans="6:6" x14ac:dyDescent="0.2">
      <c r="F265" s="23"/>
    </row>
    <row r="266" spans="6:6" x14ac:dyDescent="0.2">
      <c r="F266" s="23"/>
    </row>
    <row r="267" spans="6:6" x14ac:dyDescent="0.2">
      <c r="F267" s="23"/>
    </row>
    <row r="268" spans="6:6" x14ac:dyDescent="0.2">
      <c r="F268" s="23"/>
    </row>
    <row r="269" spans="6:6" x14ac:dyDescent="0.2">
      <c r="F269" s="23"/>
    </row>
    <row r="270" spans="6:6" x14ac:dyDescent="0.2">
      <c r="F270" s="23"/>
    </row>
    <row r="271" spans="6:6" x14ac:dyDescent="0.2">
      <c r="F271" s="23"/>
    </row>
    <row r="272" spans="6:6" x14ac:dyDescent="0.2">
      <c r="F272" s="23"/>
    </row>
    <row r="273" spans="6:6" x14ac:dyDescent="0.2">
      <c r="F273" s="23"/>
    </row>
    <row r="274" spans="6:6" x14ac:dyDescent="0.2">
      <c r="F274" s="23"/>
    </row>
    <row r="275" spans="6:6" x14ac:dyDescent="0.2">
      <c r="F275" s="23"/>
    </row>
    <row r="276" spans="6:6" x14ac:dyDescent="0.2">
      <c r="F276" s="23"/>
    </row>
    <row r="277" spans="6:6" x14ac:dyDescent="0.2">
      <c r="F277" s="23"/>
    </row>
    <row r="278" spans="6:6" x14ac:dyDescent="0.2">
      <c r="F278" s="23"/>
    </row>
    <row r="279" spans="6:6" x14ac:dyDescent="0.2">
      <c r="F279" s="23"/>
    </row>
    <row r="280" spans="6:6" x14ac:dyDescent="0.2">
      <c r="F280" s="23"/>
    </row>
    <row r="281" spans="6:6" x14ac:dyDescent="0.2">
      <c r="F281" s="23"/>
    </row>
    <row r="282" spans="6:6" x14ac:dyDescent="0.2">
      <c r="F282" s="23"/>
    </row>
    <row r="283" spans="6:6" x14ac:dyDescent="0.2">
      <c r="F283" s="23"/>
    </row>
    <row r="284" spans="6:6" x14ac:dyDescent="0.2">
      <c r="F284" s="23"/>
    </row>
    <row r="285" spans="6:6" x14ac:dyDescent="0.2">
      <c r="F285" s="23"/>
    </row>
    <row r="286" spans="6:6" x14ac:dyDescent="0.2">
      <c r="F286" s="23"/>
    </row>
    <row r="287" spans="6:6" x14ac:dyDescent="0.2">
      <c r="F287" s="23"/>
    </row>
    <row r="288" spans="6:6" x14ac:dyDescent="0.2">
      <c r="F288" s="23"/>
    </row>
    <row r="289" spans="6:6" x14ac:dyDescent="0.2">
      <c r="F289" s="23"/>
    </row>
    <row r="290" spans="6:6" x14ac:dyDescent="0.2">
      <c r="F290" s="23"/>
    </row>
    <row r="291" spans="6:6" x14ac:dyDescent="0.2">
      <c r="F291" s="23"/>
    </row>
    <row r="292" spans="6:6" x14ac:dyDescent="0.2">
      <c r="F292" s="23"/>
    </row>
    <row r="293" spans="6:6" x14ac:dyDescent="0.2">
      <c r="F293" s="23"/>
    </row>
    <row r="294" spans="6:6" x14ac:dyDescent="0.2">
      <c r="F294" s="23"/>
    </row>
    <row r="295" spans="6:6" x14ac:dyDescent="0.2">
      <c r="F295" s="23"/>
    </row>
    <row r="296" spans="6:6" x14ac:dyDescent="0.2">
      <c r="F296" s="23"/>
    </row>
    <row r="297" spans="6:6" x14ac:dyDescent="0.2">
      <c r="F297" s="23"/>
    </row>
    <row r="298" spans="6:6" x14ac:dyDescent="0.2">
      <c r="F298" s="23"/>
    </row>
    <row r="299" spans="6:6" x14ac:dyDescent="0.2">
      <c r="F299" s="23"/>
    </row>
    <row r="300" spans="6:6" x14ac:dyDescent="0.2">
      <c r="F300" s="23"/>
    </row>
    <row r="301" spans="6:6" x14ac:dyDescent="0.2">
      <c r="F301" s="23"/>
    </row>
    <row r="302" spans="6:6" x14ac:dyDescent="0.2">
      <c r="F302" s="23"/>
    </row>
    <row r="303" spans="6:6" x14ac:dyDescent="0.2">
      <c r="F303" s="23"/>
    </row>
    <row r="304" spans="6:6" x14ac:dyDescent="0.2">
      <c r="F304" s="23"/>
    </row>
    <row r="305" spans="6:6" x14ac:dyDescent="0.2">
      <c r="F305" s="23"/>
    </row>
    <row r="306" spans="6:6" x14ac:dyDescent="0.2">
      <c r="F306" s="23"/>
    </row>
    <row r="307" spans="6:6" x14ac:dyDescent="0.2">
      <c r="F307" s="23"/>
    </row>
    <row r="308" spans="6:6" x14ac:dyDescent="0.2">
      <c r="F308" s="23"/>
    </row>
    <row r="309" spans="6:6" x14ac:dyDescent="0.2">
      <c r="F309" s="23"/>
    </row>
    <row r="310" spans="6:6" x14ac:dyDescent="0.2">
      <c r="F310" s="23"/>
    </row>
    <row r="311" spans="6:6" x14ac:dyDescent="0.2">
      <c r="F311" s="23"/>
    </row>
    <row r="312" spans="6:6" x14ac:dyDescent="0.2">
      <c r="F312" s="23"/>
    </row>
    <row r="313" spans="6:6" x14ac:dyDescent="0.2">
      <c r="F313" s="23"/>
    </row>
    <row r="314" spans="6:6" x14ac:dyDescent="0.2">
      <c r="F314" s="23"/>
    </row>
    <row r="315" spans="6:6" x14ac:dyDescent="0.2">
      <c r="F315" s="23"/>
    </row>
    <row r="316" spans="6:6" x14ac:dyDescent="0.2">
      <c r="F316" s="23"/>
    </row>
    <row r="317" spans="6:6" x14ac:dyDescent="0.2">
      <c r="F317" s="23"/>
    </row>
    <row r="318" spans="6:6" x14ac:dyDescent="0.2">
      <c r="F318" s="23"/>
    </row>
    <row r="319" spans="6:6" x14ac:dyDescent="0.2">
      <c r="F319" s="23"/>
    </row>
    <row r="320" spans="6:6" x14ac:dyDescent="0.2">
      <c r="F320" s="23"/>
    </row>
    <row r="321" spans="6:6" x14ac:dyDescent="0.2">
      <c r="F321" s="23"/>
    </row>
    <row r="322" spans="6:6" x14ac:dyDescent="0.2">
      <c r="F322" s="23"/>
    </row>
    <row r="323" spans="6:6" x14ac:dyDescent="0.2">
      <c r="F323" s="23"/>
    </row>
    <row r="324" spans="6:6" x14ac:dyDescent="0.2">
      <c r="F324" s="23"/>
    </row>
    <row r="325" spans="6:6" x14ac:dyDescent="0.2">
      <c r="F325" s="23"/>
    </row>
    <row r="326" spans="6:6" x14ac:dyDescent="0.2">
      <c r="F326" s="23"/>
    </row>
    <row r="327" spans="6:6" x14ac:dyDescent="0.2">
      <c r="F327" s="23"/>
    </row>
    <row r="328" spans="6:6" x14ac:dyDescent="0.2">
      <c r="F328" s="23"/>
    </row>
    <row r="329" spans="6:6" x14ac:dyDescent="0.2">
      <c r="F329" s="23"/>
    </row>
    <row r="330" spans="6:6" x14ac:dyDescent="0.2">
      <c r="F330" s="23"/>
    </row>
    <row r="331" spans="6:6" x14ac:dyDescent="0.2">
      <c r="F331" s="23"/>
    </row>
    <row r="332" spans="6:6" x14ac:dyDescent="0.2">
      <c r="F332" s="23"/>
    </row>
    <row r="333" spans="6:6" x14ac:dyDescent="0.2">
      <c r="F333" s="23"/>
    </row>
    <row r="334" spans="6:6" x14ac:dyDescent="0.2">
      <c r="F334" s="23"/>
    </row>
    <row r="335" spans="6:6" x14ac:dyDescent="0.2">
      <c r="F335" s="23"/>
    </row>
    <row r="336" spans="6:6" x14ac:dyDescent="0.2">
      <c r="F336" s="23"/>
    </row>
    <row r="337" spans="6:6" x14ac:dyDescent="0.2">
      <c r="F337" s="23"/>
    </row>
    <row r="338" spans="6:6" x14ac:dyDescent="0.2">
      <c r="F338" s="23"/>
    </row>
    <row r="339" spans="6:6" x14ac:dyDescent="0.2">
      <c r="F339" s="23"/>
    </row>
    <row r="340" spans="6:6" x14ac:dyDescent="0.2">
      <c r="F340" s="23"/>
    </row>
    <row r="341" spans="6:6" x14ac:dyDescent="0.2">
      <c r="F341" s="23"/>
    </row>
    <row r="342" spans="6:6" x14ac:dyDescent="0.2">
      <c r="F342" s="23"/>
    </row>
    <row r="343" spans="6:6" x14ac:dyDescent="0.2">
      <c r="F343" s="23"/>
    </row>
    <row r="344" spans="6:6" x14ac:dyDescent="0.2">
      <c r="F344" s="23"/>
    </row>
    <row r="345" spans="6:6" x14ac:dyDescent="0.2">
      <c r="F345" s="23"/>
    </row>
    <row r="346" spans="6:6" x14ac:dyDescent="0.2">
      <c r="F346" s="23"/>
    </row>
    <row r="347" spans="6:6" x14ac:dyDescent="0.2">
      <c r="F347" s="23"/>
    </row>
    <row r="348" spans="6:6" x14ac:dyDescent="0.2">
      <c r="F348" s="23"/>
    </row>
    <row r="349" spans="6:6" x14ac:dyDescent="0.2">
      <c r="F349" s="23"/>
    </row>
    <row r="350" spans="6:6" x14ac:dyDescent="0.2">
      <c r="F350" s="23"/>
    </row>
    <row r="351" spans="6:6" x14ac:dyDescent="0.2">
      <c r="F351" s="23"/>
    </row>
    <row r="352" spans="6:6" x14ac:dyDescent="0.2">
      <c r="F352" s="23"/>
    </row>
    <row r="353" spans="6:6" x14ac:dyDescent="0.2">
      <c r="F353" s="23"/>
    </row>
    <row r="354" spans="6:6" x14ac:dyDescent="0.2">
      <c r="F354" s="23"/>
    </row>
    <row r="355" spans="6:6" x14ac:dyDescent="0.2">
      <c r="F355" s="23"/>
    </row>
    <row r="356" spans="6:6" x14ac:dyDescent="0.2">
      <c r="F356" s="23"/>
    </row>
    <row r="357" spans="6:6" x14ac:dyDescent="0.2">
      <c r="F357" s="23"/>
    </row>
    <row r="358" spans="6:6" x14ac:dyDescent="0.2">
      <c r="F358" s="23"/>
    </row>
    <row r="359" spans="6:6" x14ac:dyDescent="0.2">
      <c r="F359" s="23"/>
    </row>
    <row r="360" spans="6:6" x14ac:dyDescent="0.2">
      <c r="F360" s="23"/>
    </row>
    <row r="361" spans="6:6" x14ac:dyDescent="0.2">
      <c r="F361" s="23"/>
    </row>
    <row r="362" spans="6:6" x14ac:dyDescent="0.2">
      <c r="F362" s="23"/>
    </row>
    <row r="363" spans="6:6" x14ac:dyDescent="0.2">
      <c r="F363" s="23"/>
    </row>
    <row r="364" spans="6:6" x14ac:dyDescent="0.2">
      <c r="F364" s="23"/>
    </row>
    <row r="365" spans="6:6" x14ac:dyDescent="0.2">
      <c r="F365" s="23"/>
    </row>
    <row r="366" spans="6:6" x14ac:dyDescent="0.2">
      <c r="F366" s="23"/>
    </row>
    <row r="367" spans="6:6" x14ac:dyDescent="0.2">
      <c r="F367" s="23"/>
    </row>
    <row r="368" spans="6:6" x14ac:dyDescent="0.2">
      <c r="F368" s="23"/>
    </row>
    <row r="369" spans="6:6" x14ac:dyDescent="0.2">
      <c r="F369" s="23"/>
    </row>
    <row r="370" spans="6:6" x14ac:dyDescent="0.2">
      <c r="F370" s="23"/>
    </row>
    <row r="371" spans="6:6" x14ac:dyDescent="0.2">
      <c r="F371" s="23"/>
    </row>
    <row r="372" spans="6:6" x14ac:dyDescent="0.2">
      <c r="F372" s="23"/>
    </row>
    <row r="373" spans="6:6" x14ac:dyDescent="0.2">
      <c r="F373" s="23"/>
    </row>
    <row r="374" spans="6:6" x14ac:dyDescent="0.2">
      <c r="F374" s="23"/>
    </row>
    <row r="375" spans="6:6" x14ac:dyDescent="0.2">
      <c r="F375" s="23"/>
    </row>
    <row r="376" spans="6:6" x14ac:dyDescent="0.2">
      <c r="F376" s="23"/>
    </row>
    <row r="377" spans="6:6" x14ac:dyDescent="0.2">
      <c r="F377" s="23"/>
    </row>
    <row r="378" spans="6:6" x14ac:dyDescent="0.2">
      <c r="F378" s="23"/>
    </row>
    <row r="379" spans="6:6" x14ac:dyDescent="0.2">
      <c r="F379" s="23"/>
    </row>
    <row r="380" spans="6:6" x14ac:dyDescent="0.2">
      <c r="F380" s="23"/>
    </row>
    <row r="381" spans="6:6" x14ac:dyDescent="0.2">
      <c r="F381" s="23"/>
    </row>
    <row r="382" spans="6:6" x14ac:dyDescent="0.2">
      <c r="F382" s="23"/>
    </row>
    <row r="383" spans="6:6" x14ac:dyDescent="0.2">
      <c r="F383" s="23"/>
    </row>
    <row r="384" spans="6:6" x14ac:dyDescent="0.2">
      <c r="F384" s="23"/>
    </row>
    <row r="385" spans="6:6" x14ac:dyDescent="0.2">
      <c r="F385" s="23"/>
    </row>
    <row r="386" spans="6:6" x14ac:dyDescent="0.2">
      <c r="F386" s="23"/>
    </row>
    <row r="387" spans="6:6" x14ac:dyDescent="0.2">
      <c r="F387" s="23"/>
    </row>
    <row r="388" spans="6:6" x14ac:dyDescent="0.2">
      <c r="F388" s="23"/>
    </row>
    <row r="389" spans="6:6" x14ac:dyDescent="0.2">
      <c r="F389" s="23"/>
    </row>
    <row r="390" spans="6:6" x14ac:dyDescent="0.2">
      <c r="F390" s="23"/>
    </row>
    <row r="391" spans="6:6" x14ac:dyDescent="0.2">
      <c r="F391" s="23"/>
    </row>
    <row r="392" spans="6:6" x14ac:dyDescent="0.2">
      <c r="F392" s="23"/>
    </row>
    <row r="393" spans="6:6" x14ac:dyDescent="0.2">
      <c r="F393" s="23"/>
    </row>
    <row r="394" spans="6:6" x14ac:dyDescent="0.2">
      <c r="F394" s="23"/>
    </row>
    <row r="395" spans="6:6" x14ac:dyDescent="0.2">
      <c r="F395" s="23"/>
    </row>
    <row r="396" spans="6:6" x14ac:dyDescent="0.2">
      <c r="F396" s="23"/>
    </row>
    <row r="397" spans="6:6" x14ac:dyDescent="0.2">
      <c r="F397" s="23"/>
    </row>
    <row r="398" spans="6:6" x14ac:dyDescent="0.2">
      <c r="F398" s="23"/>
    </row>
    <row r="399" spans="6:6" x14ac:dyDescent="0.2">
      <c r="F399" s="23"/>
    </row>
    <row r="400" spans="6:6" x14ac:dyDescent="0.2">
      <c r="F400" s="23"/>
    </row>
    <row r="401" spans="6:6" x14ac:dyDescent="0.2">
      <c r="F401" s="23"/>
    </row>
    <row r="402" spans="6:6" x14ac:dyDescent="0.2">
      <c r="F402" s="23"/>
    </row>
    <row r="403" spans="6:6" x14ac:dyDescent="0.2">
      <c r="F403" s="23"/>
    </row>
    <row r="404" spans="6:6" x14ac:dyDescent="0.2">
      <c r="F404" s="23"/>
    </row>
    <row r="405" spans="6:6" x14ac:dyDescent="0.2">
      <c r="F405" s="23"/>
    </row>
    <row r="406" spans="6:6" x14ac:dyDescent="0.2">
      <c r="F406" s="23"/>
    </row>
    <row r="407" spans="6:6" x14ac:dyDescent="0.2">
      <c r="F407" s="23"/>
    </row>
    <row r="408" spans="6:6" x14ac:dyDescent="0.2">
      <c r="F408" s="23"/>
    </row>
    <row r="409" spans="6:6" x14ac:dyDescent="0.2">
      <c r="F409" s="23"/>
    </row>
    <row r="410" spans="6:6" x14ac:dyDescent="0.2">
      <c r="F410" s="23"/>
    </row>
    <row r="411" spans="6:6" x14ac:dyDescent="0.2">
      <c r="F411" s="23"/>
    </row>
    <row r="412" spans="6:6" x14ac:dyDescent="0.2">
      <c r="F412" s="23"/>
    </row>
    <row r="413" spans="6:6" x14ac:dyDescent="0.2">
      <c r="F413" s="23"/>
    </row>
    <row r="414" spans="6:6" x14ac:dyDescent="0.2">
      <c r="F414" s="23"/>
    </row>
    <row r="415" spans="6:6" x14ac:dyDescent="0.2">
      <c r="F415" s="23"/>
    </row>
    <row r="416" spans="6:6" x14ac:dyDescent="0.2">
      <c r="F416" s="23"/>
    </row>
    <row r="417" spans="6:6" x14ac:dyDescent="0.2">
      <c r="F417" s="23"/>
    </row>
    <row r="418" spans="6:6" x14ac:dyDescent="0.2">
      <c r="F418" s="23"/>
    </row>
    <row r="419" spans="6:6" x14ac:dyDescent="0.2">
      <c r="F419" s="23"/>
    </row>
    <row r="420" spans="6:6" x14ac:dyDescent="0.2">
      <c r="F420" s="23"/>
    </row>
    <row r="421" spans="6:6" x14ac:dyDescent="0.2">
      <c r="F421" s="23"/>
    </row>
    <row r="422" spans="6:6" x14ac:dyDescent="0.2">
      <c r="F422" s="23"/>
    </row>
    <row r="423" spans="6:6" x14ac:dyDescent="0.2">
      <c r="F423" s="23"/>
    </row>
    <row r="424" spans="6:6" x14ac:dyDescent="0.2">
      <c r="F424" s="23"/>
    </row>
    <row r="425" spans="6:6" x14ac:dyDescent="0.2">
      <c r="F425" s="23"/>
    </row>
    <row r="426" spans="6:6" x14ac:dyDescent="0.2">
      <c r="F426" s="23"/>
    </row>
    <row r="427" spans="6:6" x14ac:dyDescent="0.2">
      <c r="F427" s="23"/>
    </row>
    <row r="428" spans="6:6" x14ac:dyDescent="0.2">
      <c r="F428" s="23"/>
    </row>
    <row r="429" spans="6:6" x14ac:dyDescent="0.2">
      <c r="F429" s="23"/>
    </row>
    <row r="430" spans="6:6" x14ac:dyDescent="0.2">
      <c r="F430" s="23"/>
    </row>
    <row r="431" spans="6:6" x14ac:dyDescent="0.2">
      <c r="F431" s="23"/>
    </row>
    <row r="432" spans="6:6" x14ac:dyDescent="0.2">
      <c r="F432" s="23"/>
    </row>
    <row r="433" spans="6:6" x14ac:dyDescent="0.2">
      <c r="F433" s="23"/>
    </row>
    <row r="434" spans="6:6" x14ac:dyDescent="0.2">
      <c r="F434" s="23"/>
    </row>
    <row r="435" spans="6:6" x14ac:dyDescent="0.2">
      <c r="F435" s="23"/>
    </row>
    <row r="436" spans="6:6" x14ac:dyDescent="0.2">
      <c r="F436" s="23"/>
    </row>
    <row r="437" spans="6:6" x14ac:dyDescent="0.2">
      <c r="F437" s="23"/>
    </row>
    <row r="438" spans="6:6" x14ac:dyDescent="0.2">
      <c r="F438" s="23"/>
    </row>
    <row r="439" spans="6:6" x14ac:dyDescent="0.2">
      <c r="F439" s="23"/>
    </row>
    <row r="440" spans="6:6" x14ac:dyDescent="0.2">
      <c r="F440" s="23"/>
    </row>
    <row r="441" spans="6:6" x14ac:dyDescent="0.2">
      <c r="F441" s="23"/>
    </row>
    <row r="442" spans="6:6" x14ac:dyDescent="0.2">
      <c r="F442" s="23"/>
    </row>
    <row r="443" spans="6:6" x14ac:dyDescent="0.2">
      <c r="F443" s="23"/>
    </row>
    <row r="444" spans="6:6" x14ac:dyDescent="0.2">
      <c r="F444" s="23"/>
    </row>
    <row r="445" spans="6:6" x14ac:dyDescent="0.2">
      <c r="F445" s="23"/>
    </row>
    <row r="446" spans="6:6" x14ac:dyDescent="0.2">
      <c r="F446" s="23"/>
    </row>
    <row r="447" spans="6:6" x14ac:dyDescent="0.2">
      <c r="F447" s="23"/>
    </row>
    <row r="448" spans="6:6" x14ac:dyDescent="0.2">
      <c r="F448" s="23"/>
    </row>
    <row r="449" spans="6:6" x14ac:dyDescent="0.2">
      <c r="F449" s="23"/>
    </row>
    <row r="450" spans="6:6" x14ac:dyDescent="0.2">
      <c r="F450" s="23"/>
    </row>
    <row r="451" spans="6:6" x14ac:dyDescent="0.2">
      <c r="F451" s="23"/>
    </row>
    <row r="452" spans="6:6" x14ac:dyDescent="0.2">
      <c r="F452" s="23"/>
    </row>
    <row r="453" spans="6:6" x14ac:dyDescent="0.2">
      <c r="F453" s="23"/>
    </row>
    <row r="454" spans="6:6" x14ac:dyDescent="0.2">
      <c r="F454" s="23"/>
    </row>
    <row r="455" spans="6:6" x14ac:dyDescent="0.2">
      <c r="F455" s="23"/>
    </row>
    <row r="456" spans="6:6" x14ac:dyDescent="0.2">
      <c r="F456" s="23"/>
    </row>
    <row r="457" spans="6:6" x14ac:dyDescent="0.2">
      <c r="F457" s="23"/>
    </row>
    <row r="458" spans="6:6" x14ac:dyDescent="0.2">
      <c r="F458" s="23"/>
    </row>
    <row r="459" spans="6:6" x14ac:dyDescent="0.2">
      <c r="F459" s="23"/>
    </row>
    <row r="460" spans="6:6" x14ac:dyDescent="0.2">
      <c r="F460" s="23"/>
    </row>
    <row r="461" spans="6:6" x14ac:dyDescent="0.2">
      <c r="F461" s="23"/>
    </row>
    <row r="462" spans="6:6" x14ac:dyDescent="0.2">
      <c r="F462" s="23"/>
    </row>
    <row r="463" spans="6:6" x14ac:dyDescent="0.2">
      <c r="F463" s="23"/>
    </row>
    <row r="464" spans="6:6" x14ac:dyDescent="0.2">
      <c r="F464" s="23"/>
    </row>
    <row r="465" spans="6:6" x14ac:dyDescent="0.2">
      <c r="F465" s="23"/>
    </row>
    <row r="466" spans="6:6" x14ac:dyDescent="0.2">
      <c r="F466" s="23"/>
    </row>
    <row r="467" spans="6:6" x14ac:dyDescent="0.2">
      <c r="F467" s="23"/>
    </row>
    <row r="468" spans="6:6" x14ac:dyDescent="0.2">
      <c r="F468" s="23"/>
    </row>
    <row r="469" spans="6:6" x14ac:dyDescent="0.2">
      <c r="F469" s="23"/>
    </row>
    <row r="470" spans="6:6" x14ac:dyDescent="0.2">
      <c r="F470" s="23"/>
    </row>
    <row r="471" spans="6:6" x14ac:dyDescent="0.2">
      <c r="F471" s="23"/>
    </row>
    <row r="472" spans="6:6" x14ac:dyDescent="0.2">
      <c r="F472" s="23"/>
    </row>
    <row r="473" spans="6:6" x14ac:dyDescent="0.2">
      <c r="F473" s="23"/>
    </row>
    <row r="474" spans="6:6" x14ac:dyDescent="0.2">
      <c r="F474" s="23"/>
    </row>
    <row r="475" spans="6:6" x14ac:dyDescent="0.2">
      <c r="F475" s="23"/>
    </row>
    <row r="476" spans="6:6" x14ac:dyDescent="0.2">
      <c r="F476" s="23"/>
    </row>
    <row r="477" spans="6:6" x14ac:dyDescent="0.2">
      <c r="F477" s="23"/>
    </row>
    <row r="478" spans="6:6" x14ac:dyDescent="0.2">
      <c r="F478" s="23"/>
    </row>
    <row r="479" spans="6:6" x14ac:dyDescent="0.2">
      <c r="F479" s="23"/>
    </row>
    <row r="480" spans="6:6" x14ac:dyDescent="0.2">
      <c r="F480" s="23"/>
    </row>
    <row r="481" spans="6:6" x14ac:dyDescent="0.2">
      <c r="F481" s="23"/>
    </row>
    <row r="482" spans="6:6" x14ac:dyDescent="0.2">
      <c r="F482" s="23"/>
    </row>
    <row r="483" spans="6:6" x14ac:dyDescent="0.2">
      <c r="F483" s="23"/>
    </row>
    <row r="484" spans="6:6" x14ac:dyDescent="0.2">
      <c r="F484" s="23"/>
    </row>
    <row r="485" spans="6:6" x14ac:dyDescent="0.2">
      <c r="F485" s="23"/>
    </row>
    <row r="486" spans="6:6" x14ac:dyDescent="0.2">
      <c r="F486" s="23"/>
    </row>
    <row r="487" spans="6:6" x14ac:dyDescent="0.2">
      <c r="F487" s="23"/>
    </row>
    <row r="488" spans="6:6" x14ac:dyDescent="0.2">
      <c r="F488" s="23"/>
    </row>
    <row r="489" spans="6:6" x14ac:dyDescent="0.2">
      <c r="F489" s="23"/>
    </row>
    <row r="490" spans="6:6" x14ac:dyDescent="0.2">
      <c r="F490" s="23"/>
    </row>
    <row r="491" spans="6:6" x14ac:dyDescent="0.2">
      <c r="F491" s="23"/>
    </row>
    <row r="492" spans="6:6" x14ac:dyDescent="0.2">
      <c r="F492" s="23"/>
    </row>
    <row r="493" spans="6:6" x14ac:dyDescent="0.2">
      <c r="F493" s="23"/>
    </row>
    <row r="494" spans="6:6" x14ac:dyDescent="0.2">
      <c r="F494" s="23"/>
    </row>
    <row r="495" spans="6:6" x14ac:dyDescent="0.2">
      <c r="F495" s="23"/>
    </row>
    <row r="496" spans="6:6" x14ac:dyDescent="0.2">
      <c r="F496" s="23"/>
    </row>
    <row r="497" spans="6:6" x14ac:dyDescent="0.2">
      <c r="F497" s="23"/>
    </row>
    <row r="498" spans="6:6" x14ac:dyDescent="0.2">
      <c r="F498" s="23"/>
    </row>
    <row r="499" spans="6:6" x14ac:dyDescent="0.2">
      <c r="F499" s="23"/>
    </row>
    <row r="500" spans="6:6" x14ac:dyDescent="0.2">
      <c r="F500" s="23"/>
    </row>
    <row r="501" spans="6:6" x14ac:dyDescent="0.2">
      <c r="F501" s="23"/>
    </row>
    <row r="502" spans="6:6" x14ac:dyDescent="0.2">
      <c r="F502" s="23"/>
    </row>
    <row r="503" spans="6:6" x14ac:dyDescent="0.2">
      <c r="F503" s="23"/>
    </row>
    <row r="504" spans="6:6" x14ac:dyDescent="0.2">
      <c r="F504" s="23"/>
    </row>
    <row r="505" spans="6:6" x14ac:dyDescent="0.2">
      <c r="F505" s="23"/>
    </row>
    <row r="506" spans="6:6" x14ac:dyDescent="0.2">
      <c r="F506" s="23"/>
    </row>
    <row r="507" spans="6:6" x14ac:dyDescent="0.2">
      <c r="F507" s="23"/>
    </row>
    <row r="508" spans="6:6" x14ac:dyDescent="0.2">
      <c r="F508" s="23"/>
    </row>
    <row r="509" spans="6:6" x14ac:dyDescent="0.2">
      <c r="F509" s="23"/>
    </row>
    <row r="510" spans="6:6" x14ac:dyDescent="0.2">
      <c r="F510" s="23"/>
    </row>
    <row r="511" spans="6:6" x14ac:dyDescent="0.2">
      <c r="F511" s="23"/>
    </row>
    <row r="512" spans="6:6" x14ac:dyDescent="0.2">
      <c r="F512" s="23"/>
    </row>
    <row r="513" spans="6:6" x14ac:dyDescent="0.2">
      <c r="F513" s="23"/>
    </row>
    <row r="514" spans="6:6" x14ac:dyDescent="0.2">
      <c r="F514" s="23"/>
    </row>
    <row r="515" spans="6:6" x14ac:dyDescent="0.2">
      <c r="F515" s="23"/>
    </row>
    <row r="516" spans="6:6" x14ac:dyDescent="0.2">
      <c r="F516" s="23"/>
    </row>
    <row r="517" spans="6:6" x14ac:dyDescent="0.2">
      <c r="F517" s="23"/>
    </row>
    <row r="518" spans="6:6" x14ac:dyDescent="0.2">
      <c r="F518" s="23"/>
    </row>
    <row r="519" spans="6:6" x14ac:dyDescent="0.2">
      <c r="F519" s="23"/>
    </row>
    <row r="520" spans="6:6" x14ac:dyDescent="0.2">
      <c r="F520" s="23"/>
    </row>
    <row r="521" spans="6:6" x14ac:dyDescent="0.2">
      <c r="F521" s="23"/>
    </row>
    <row r="522" spans="6:6" x14ac:dyDescent="0.2">
      <c r="F522" s="23"/>
    </row>
    <row r="523" spans="6:6" x14ac:dyDescent="0.2">
      <c r="F523" s="23"/>
    </row>
    <row r="524" spans="6:6" x14ac:dyDescent="0.2">
      <c r="F524" s="23"/>
    </row>
    <row r="525" spans="6:6" x14ac:dyDescent="0.2">
      <c r="F525" s="23"/>
    </row>
    <row r="526" spans="6:6" x14ac:dyDescent="0.2">
      <c r="F526" s="23"/>
    </row>
    <row r="527" spans="6:6" x14ac:dyDescent="0.2">
      <c r="F527" s="23"/>
    </row>
    <row r="528" spans="6:6" x14ac:dyDescent="0.2">
      <c r="F528" s="23"/>
    </row>
    <row r="529" spans="6:6" x14ac:dyDescent="0.2">
      <c r="F529" s="23"/>
    </row>
    <row r="530" spans="6:6" x14ac:dyDescent="0.2">
      <c r="F530" s="23"/>
    </row>
    <row r="531" spans="6:6" x14ac:dyDescent="0.2">
      <c r="F531" s="23"/>
    </row>
    <row r="532" spans="6:6" x14ac:dyDescent="0.2">
      <c r="F532" s="23"/>
    </row>
    <row r="533" spans="6:6" x14ac:dyDescent="0.2">
      <c r="F533" s="23"/>
    </row>
    <row r="534" spans="6:6" x14ac:dyDescent="0.2">
      <c r="F534" s="23"/>
    </row>
    <row r="535" spans="6:6" x14ac:dyDescent="0.2">
      <c r="F535" s="23"/>
    </row>
    <row r="536" spans="6:6" x14ac:dyDescent="0.2">
      <c r="F536" s="23"/>
    </row>
    <row r="537" spans="6:6" x14ac:dyDescent="0.2">
      <c r="F537" s="23"/>
    </row>
    <row r="538" spans="6:6" x14ac:dyDescent="0.2">
      <c r="F538" s="23"/>
    </row>
    <row r="539" spans="6:6" x14ac:dyDescent="0.2">
      <c r="F539" s="23"/>
    </row>
    <row r="540" spans="6:6" x14ac:dyDescent="0.2">
      <c r="F540" s="23"/>
    </row>
    <row r="541" spans="6:6" x14ac:dyDescent="0.2">
      <c r="F541" s="23"/>
    </row>
    <row r="542" spans="6:6" x14ac:dyDescent="0.2">
      <c r="F542" s="23"/>
    </row>
    <row r="543" spans="6:6" x14ac:dyDescent="0.2">
      <c r="F543" s="23"/>
    </row>
    <row r="544" spans="6:6" x14ac:dyDescent="0.2">
      <c r="F544" s="23"/>
    </row>
    <row r="545" spans="6:6" x14ac:dyDescent="0.2">
      <c r="F545" s="23"/>
    </row>
    <row r="546" spans="6:6" x14ac:dyDescent="0.2">
      <c r="F546" s="23"/>
    </row>
    <row r="547" spans="6:6" x14ac:dyDescent="0.2">
      <c r="F547" s="23"/>
    </row>
    <row r="548" spans="6:6" x14ac:dyDescent="0.2">
      <c r="F548" s="23"/>
    </row>
    <row r="549" spans="6:6" x14ac:dyDescent="0.2">
      <c r="F549" s="23"/>
    </row>
    <row r="550" spans="6:6" x14ac:dyDescent="0.2">
      <c r="F550" s="23"/>
    </row>
    <row r="551" spans="6:6" x14ac:dyDescent="0.2">
      <c r="F551" s="23"/>
    </row>
    <row r="552" spans="6:6" x14ac:dyDescent="0.2">
      <c r="F552" s="23"/>
    </row>
    <row r="553" spans="6:6" x14ac:dyDescent="0.2">
      <c r="F553" s="23"/>
    </row>
    <row r="554" spans="6:6" x14ac:dyDescent="0.2">
      <c r="F554" s="23"/>
    </row>
    <row r="555" spans="6:6" x14ac:dyDescent="0.2">
      <c r="F555" s="23"/>
    </row>
    <row r="556" spans="6:6" x14ac:dyDescent="0.2">
      <c r="F556" s="23"/>
    </row>
    <row r="557" spans="6:6" x14ac:dyDescent="0.2">
      <c r="F557" s="23"/>
    </row>
    <row r="558" spans="6:6" x14ac:dyDescent="0.2">
      <c r="F558" s="23"/>
    </row>
    <row r="559" spans="6:6" x14ac:dyDescent="0.2">
      <c r="F559" s="23"/>
    </row>
    <row r="560" spans="6:6" x14ac:dyDescent="0.2">
      <c r="F560" s="23"/>
    </row>
    <row r="561" spans="6:6" x14ac:dyDescent="0.2">
      <c r="F561" s="23"/>
    </row>
    <row r="562" spans="6:6" x14ac:dyDescent="0.2">
      <c r="F562" s="23"/>
    </row>
    <row r="563" spans="6:6" x14ac:dyDescent="0.2">
      <c r="F563" s="23"/>
    </row>
    <row r="564" spans="6:6" x14ac:dyDescent="0.2">
      <c r="F564" s="23"/>
    </row>
    <row r="565" spans="6:6" x14ac:dyDescent="0.2">
      <c r="F565" s="23"/>
    </row>
    <row r="566" spans="6:6" x14ac:dyDescent="0.2">
      <c r="F566" s="23"/>
    </row>
    <row r="567" spans="6:6" x14ac:dyDescent="0.2">
      <c r="F567" s="23"/>
    </row>
    <row r="568" spans="6:6" x14ac:dyDescent="0.2">
      <c r="F568" s="23"/>
    </row>
    <row r="569" spans="6:6" x14ac:dyDescent="0.2">
      <c r="F569" s="23"/>
    </row>
    <row r="570" spans="6:6" x14ac:dyDescent="0.2">
      <c r="F570" s="23"/>
    </row>
    <row r="571" spans="6:6" x14ac:dyDescent="0.2">
      <c r="F571" s="23"/>
    </row>
    <row r="572" spans="6:6" x14ac:dyDescent="0.2">
      <c r="F572" s="23"/>
    </row>
    <row r="573" spans="6:6" x14ac:dyDescent="0.2">
      <c r="F573" s="23"/>
    </row>
    <row r="574" spans="6:6" x14ac:dyDescent="0.2">
      <c r="F574" s="23"/>
    </row>
    <row r="575" spans="6:6" x14ac:dyDescent="0.2">
      <c r="F575" s="23"/>
    </row>
    <row r="576" spans="6:6" x14ac:dyDescent="0.2">
      <c r="F576" s="23"/>
    </row>
    <row r="577" spans="6:6" x14ac:dyDescent="0.2">
      <c r="F577" s="23"/>
    </row>
    <row r="578" spans="6:6" x14ac:dyDescent="0.2">
      <c r="F578" s="23"/>
    </row>
    <row r="579" spans="6:6" x14ac:dyDescent="0.2">
      <c r="F579" s="23"/>
    </row>
    <row r="580" spans="6:6" x14ac:dyDescent="0.2">
      <c r="F580" s="23"/>
    </row>
    <row r="581" spans="6:6" x14ac:dyDescent="0.2">
      <c r="F581" s="23"/>
    </row>
    <row r="582" spans="6:6" x14ac:dyDescent="0.2">
      <c r="F582" s="23"/>
    </row>
    <row r="583" spans="6:6" x14ac:dyDescent="0.2">
      <c r="F583" s="23"/>
    </row>
    <row r="584" spans="6:6" x14ac:dyDescent="0.2">
      <c r="F584" s="23"/>
    </row>
    <row r="585" spans="6:6" x14ac:dyDescent="0.2">
      <c r="F585" s="23"/>
    </row>
    <row r="586" spans="6:6" x14ac:dyDescent="0.2">
      <c r="F586" s="23"/>
    </row>
    <row r="587" spans="6:6" x14ac:dyDescent="0.2">
      <c r="F587" s="23"/>
    </row>
    <row r="588" spans="6:6" x14ac:dyDescent="0.2">
      <c r="F588" s="23"/>
    </row>
    <row r="589" spans="6:6" x14ac:dyDescent="0.2">
      <c r="F589" s="23"/>
    </row>
    <row r="590" spans="6:6" x14ac:dyDescent="0.2">
      <c r="F590" s="23"/>
    </row>
    <row r="591" spans="6:6" x14ac:dyDescent="0.2">
      <c r="F591" s="23"/>
    </row>
    <row r="592" spans="6:6" x14ac:dyDescent="0.2">
      <c r="F592" s="23"/>
    </row>
    <row r="593" spans="6:6" x14ac:dyDescent="0.2">
      <c r="F593" s="23"/>
    </row>
    <row r="594" spans="6:6" x14ac:dyDescent="0.2">
      <c r="F594" s="23"/>
    </row>
    <row r="595" spans="6:6" x14ac:dyDescent="0.2">
      <c r="F595" s="23"/>
    </row>
    <row r="596" spans="6:6" x14ac:dyDescent="0.2">
      <c r="F596" s="23"/>
    </row>
    <row r="597" spans="6:6" x14ac:dyDescent="0.2">
      <c r="F597" s="23"/>
    </row>
    <row r="598" spans="6:6" x14ac:dyDescent="0.2">
      <c r="F598" s="23"/>
    </row>
    <row r="599" spans="6:6" x14ac:dyDescent="0.2">
      <c r="F599" s="23"/>
    </row>
    <row r="600" spans="6:6" x14ac:dyDescent="0.2">
      <c r="F600" s="23"/>
    </row>
    <row r="601" spans="6:6" x14ac:dyDescent="0.2">
      <c r="F601" s="23"/>
    </row>
    <row r="602" spans="6:6" x14ac:dyDescent="0.2">
      <c r="F602" s="23"/>
    </row>
    <row r="603" spans="6:6" x14ac:dyDescent="0.2">
      <c r="F603" s="23"/>
    </row>
    <row r="604" spans="6:6" x14ac:dyDescent="0.2">
      <c r="F604" s="23"/>
    </row>
    <row r="605" spans="6:6" x14ac:dyDescent="0.2">
      <c r="F605" s="23"/>
    </row>
    <row r="606" spans="6:6" x14ac:dyDescent="0.2">
      <c r="F606" s="23"/>
    </row>
    <row r="607" spans="6:6" x14ac:dyDescent="0.2">
      <c r="F607" s="23"/>
    </row>
    <row r="608" spans="6:6" x14ac:dyDescent="0.2">
      <c r="F608" s="23"/>
    </row>
    <row r="609" spans="6:6" x14ac:dyDescent="0.2">
      <c r="F609" s="23"/>
    </row>
    <row r="610" spans="6:6" x14ac:dyDescent="0.2">
      <c r="F610" s="23"/>
    </row>
    <row r="611" spans="6:6" x14ac:dyDescent="0.2">
      <c r="F611" s="23"/>
    </row>
    <row r="612" spans="6:6" x14ac:dyDescent="0.2">
      <c r="F612" s="23"/>
    </row>
    <row r="613" spans="6:6" x14ac:dyDescent="0.2">
      <c r="F613" s="23"/>
    </row>
    <row r="614" spans="6:6" x14ac:dyDescent="0.2">
      <c r="F614" s="23"/>
    </row>
    <row r="615" spans="6:6" x14ac:dyDescent="0.2">
      <c r="F615" s="23"/>
    </row>
    <row r="616" spans="6:6" x14ac:dyDescent="0.2">
      <c r="F616" s="23"/>
    </row>
    <row r="617" spans="6:6" x14ac:dyDescent="0.2">
      <c r="F617" s="23"/>
    </row>
    <row r="618" spans="6:6" x14ac:dyDescent="0.2">
      <c r="F618" s="23"/>
    </row>
    <row r="619" spans="6:6" x14ac:dyDescent="0.2">
      <c r="F619" s="23"/>
    </row>
    <row r="620" spans="6:6" x14ac:dyDescent="0.2">
      <c r="F620" s="23"/>
    </row>
    <row r="621" spans="6:6" x14ac:dyDescent="0.2">
      <c r="F621" s="23"/>
    </row>
    <row r="622" spans="6:6" x14ac:dyDescent="0.2">
      <c r="F622" s="23"/>
    </row>
    <row r="623" spans="6:6" x14ac:dyDescent="0.2">
      <c r="F623" s="23"/>
    </row>
    <row r="624" spans="6:6" x14ac:dyDescent="0.2">
      <c r="F624" s="23"/>
    </row>
    <row r="625" spans="6:6" x14ac:dyDescent="0.2">
      <c r="F625" s="23"/>
    </row>
    <row r="626" spans="6:6" x14ac:dyDescent="0.2">
      <c r="F626" s="23"/>
    </row>
    <row r="627" spans="6:6" x14ac:dyDescent="0.2">
      <c r="F627" s="23"/>
    </row>
    <row r="628" spans="6:6" x14ac:dyDescent="0.2">
      <c r="F628" s="23"/>
    </row>
    <row r="629" spans="6:6" x14ac:dyDescent="0.2">
      <c r="F629" s="23"/>
    </row>
    <row r="630" spans="6:6" x14ac:dyDescent="0.2">
      <c r="F630" s="23"/>
    </row>
    <row r="631" spans="6:6" x14ac:dyDescent="0.2">
      <c r="F631" s="23"/>
    </row>
    <row r="632" spans="6:6" x14ac:dyDescent="0.2">
      <c r="F632" s="23"/>
    </row>
    <row r="633" spans="6:6" x14ac:dyDescent="0.2">
      <c r="F633" s="23"/>
    </row>
    <row r="634" spans="6:6" x14ac:dyDescent="0.2">
      <c r="F634" s="23"/>
    </row>
    <row r="635" spans="6:6" x14ac:dyDescent="0.2">
      <c r="F635" s="23"/>
    </row>
    <row r="636" spans="6:6" x14ac:dyDescent="0.2">
      <c r="F636" s="23"/>
    </row>
    <row r="637" spans="6:6" x14ac:dyDescent="0.2">
      <c r="F637" s="23"/>
    </row>
    <row r="638" spans="6:6" x14ac:dyDescent="0.2">
      <c r="F638" s="23"/>
    </row>
    <row r="639" spans="6:6" x14ac:dyDescent="0.2">
      <c r="F639" s="23"/>
    </row>
    <row r="640" spans="6:6" x14ac:dyDescent="0.2">
      <c r="F640" s="23"/>
    </row>
    <row r="641" spans="6:6" x14ac:dyDescent="0.2">
      <c r="F641" s="23"/>
    </row>
    <row r="642" spans="6:6" x14ac:dyDescent="0.2">
      <c r="F642" s="23"/>
    </row>
    <row r="643" spans="6:6" x14ac:dyDescent="0.2">
      <c r="F643" s="23"/>
    </row>
    <row r="644" spans="6:6" x14ac:dyDescent="0.2">
      <c r="F644" s="23"/>
    </row>
    <row r="645" spans="6:6" x14ac:dyDescent="0.2">
      <c r="F645" s="23"/>
    </row>
    <row r="646" spans="6:6" x14ac:dyDescent="0.2">
      <c r="F646" s="23"/>
    </row>
    <row r="647" spans="6:6" x14ac:dyDescent="0.2">
      <c r="F647" s="23"/>
    </row>
    <row r="648" spans="6:6" x14ac:dyDescent="0.2">
      <c r="F648" s="23"/>
    </row>
    <row r="649" spans="6:6" x14ac:dyDescent="0.2">
      <c r="F649" s="23"/>
    </row>
    <row r="650" spans="6:6" x14ac:dyDescent="0.2">
      <c r="F650" s="23"/>
    </row>
    <row r="651" spans="6:6" x14ac:dyDescent="0.2">
      <c r="F651" s="23"/>
    </row>
    <row r="652" spans="6:6" x14ac:dyDescent="0.2">
      <c r="F652" s="23"/>
    </row>
    <row r="653" spans="6:6" x14ac:dyDescent="0.2">
      <c r="F653" s="23"/>
    </row>
    <row r="654" spans="6:6" x14ac:dyDescent="0.2">
      <c r="F654" s="23"/>
    </row>
    <row r="655" spans="6:6" x14ac:dyDescent="0.2">
      <c r="F655" s="23"/>
    </row>
    <row r="656" spans="6:6" x14ac:dyDescent="0.2">
      <c r="F656" s="23"/>
    </row>
    <row r="657" spans="6:6" x14ac:dyDescent="0.2">
      <c r="F657" s="23"/>
    </row>
    <row r="658" spans="6:6" x14ac:dyDescent="0.2">
      <c r="F658" s="23"/>
    </row>
    <row r="659" spans="6:6" x14ac:dyDescent="0.2">
      <c r="F659" s="23"/>
    </row>
    <row r="660" spans="6:6" x14ac:dyDescent="0.2">
      <c r="F660" s="23"/>
    </row>
    <row r="661" spans="6:6" x14ac:dyDescent="0.2">
      <c r="F661" s="23"/>
    </row>
    <row r="662" spans="6:6" x14ac:dyDescent="0.2">
      <c r="F662" s="23"/>
    </row>
    <row r="663" spans="6:6" x14ac:dyDescent="0.2">
      <c r="F663" s="23"/>
    </row>
    <row r="664" spans="6:6" x14ac:dyDescent="0.2">
      <c r="F664" s="23"/>
    </row>
    <row r="665" spans="6:6" x14ac:dyDescent="0.2">
      <c r="F665" s="23"/>
    </row>
    <row r="666" spans="6:6" x14ac:dyDescent="0.2">
      <c r="F666" s="23"/>
    </row>
    <row r="667" spans="6:6" x14ac:dyDescent="0.2">
      <c r="F667" s="23"/>
    </row>
    <row r="668" spans="6:6" x14ac:dyDescent="0.2">
      <c r="F668" s="23"/>
    </row>
    <row r="669" spans="6:6" x14ac:dyDescent="0.2">
      <c r="F669" s="23"/>
    </row>
    <row r="670" spans="6:6" x14ac:dyDescent="0.2">
      <c r="F670" s="23"/>
    </row>
    <row r="671" spans="6:6" x14ac:dyDescent="0.2">
      <c r="F671" s="23"/>
    </row>
    <row r="672" spans="6:6" x14ac:dyDescent="0.2">
      <c r="F672" s="23"/>
    </row>
    <row r="673" spans="6:6" x14ac:dyDescent="0.2">
      <c r="F673" s="23"/>
    </row>
    <row r="674" spans="6:6" x14ac:dyDescent="0.2">
      <c r="F674" s="23"/>
    </row>
    <row r="675" spans="6:6" x14ac:dyDescent="0.2">
      <c r="F675" s="23"/>
    </row>
    <row r="676" spans="6:6" x14ac:dyDescent="0.2">
      <c r="F676" s="23"/>
    </row>
    <row r="677" spans="6:6" x14ac:dyDescent="0.2">
      <c r="F677" s="23"/>
    </row>
    <row r="678" spans="6:6" x14ac:dyDescent="0.2">
      <c r="F678" s="23"/>
    </row>
    <row r="679" spans="6:6" x14ac:dyDescent="0.2">
      <c r="F679" s="23"/>
    </row>
    <row r="680" spans="6:6" x14ac:dyDescent="0.2">
      <c r="F680" s="23"/>
    </row>
    <row r="681" spans="6:6" x14ac:dyDescent="0.2">
      <c r="F681" s="23"/>
    </row>
    <row r="682" spans="6:6" x14ac:dyDescent="0.2">
      <c r="F682" s="23"/>
    </row>
    <row r="683" spans="6:6" x14ac:dyDescent="0.2">
      <c r="F683" s="23"/>
    </row>
    <row r="684" spans="6:6" x14ac:dyDescent="0.2">
      <c r="F684" s="23"/>
    </row>
    <row r="685" spans="6:6" x14ac:dyDescent="0.2">
      <c r="F685" s="23"/>
    </row>
    <row r="686" spans="6:6" x14ac:dyDescent="0.2">
      <c r="F686" s="23"/>
    </row>
    <row r="687" spans="6:6" x14ac:dyDescent="0.2">
      <c r="F687" s="23"/>
    </row>
    <row r="688" spans="6:6" x14ac:dyDescent="0.2">
      <c r="F688" s="23"/>
    </row>
    <row r="689" spans="6:6" x14ac:dyDescent="0.2">
      <c r="F689" s="23"/>
    </row>
    <row r="690" spans="6:6" x14ac:dyDescent="0.2">
      <c r="F690" s="23"/>
    </row>
    <row r="691" spans="6:6" x14ac:dyDescent="0.2">
      <c r="F691" s="23"/>
    </row>
  </sheetData>
  <sheetProtection selectLockedCells="1"/>
  <phoneticPr fontId="2" type="noConversion"/>
  <pageMargins left="0.25" right="0.25" top="0.75" bottom="0.75" header="0.3" footer="0.3"/>
  <pageSetup paperSize="9" scale="41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145"/>
  <sheetViews>
    <sheetView zoomScale="86" zoomScaleNormal="86" workbookViewId="0">
      <selection activeCell="A14" sqref="A14:A16"/>
    </sheetView>
  </sheetViews>
  <sheetFormatPr defaultRowHeight="15" x14ac:dyDescent="0.25"/>
  <cols>
    <col min="1" max="1" width="31.85546875" customWidth="1"/>
    <col min="2" max="2" width="43.140625" style="62" customWidth="1"/>
    <col min="3" max="3" width="14.5703125" customWidth="1"/>
    <col min="9" max="9" width="10.140625" bestFit="1" customWidth="1"/>
    <col min="12" max="12" width="9.85546875" customWidth="1"/>
    <col min="14" max="14" width="27.5703125" style="69" customWidth="1"/>
    <col min="15" max="15" width="9.140625" style="69" customWidth="1"/>
    <col min="16" max="16" width="12.140625" style="69" customWidth="1"/>
    <col min="17" max="27" width="9.140625" style="69" customWidth="1"/>
    <col min="28" max="28" width="28.28515625" style="69" customWidth="1"/>
    <col min="29" max="29" width="9.140625" style="69" customWidth="1"/>
    <col min="30" max="30" width="23.85546875" style="69" customWidth="1"/>
    <col min="31" max="31" width="11.85546875" style="69" customWidth="1"/>
    <col min="32" max="46" width="9.140625" style="69" customWidth="1"/>
    <col min="47" max="47" width="14.5703125" style="69" customWidth="1"/>
    <col min="48" max="58" width="9.140625" style="69" customWidth="1"/>
  </cols>
  <sheetData>
    <row r="1" spans="1:58" ht="16.5" thickBot="1" x14ac:dyDescent="0.3">
      <c r="A1" s="61" t="s">
        <v>321</v>
      </c>
      <c r="N1" s="109" t="s">
        <v>188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</row>
    <row r="2" spans="1:58" ht="15.75" thickBot="1" x14ac:dyDescent="0.3">
      <c r="B2" s="159" t="s">
        <v>258</v>
      </c>
      <c r="N2" s="69" t="s">
        <v>108</v>
      </c>
      <c r="P2" s="221" t="str">
        <f ca="1">OFFSET($Q$19,$O$3-1,-1)</f>
        <v>IBA FC65-G</v>
      </c>
      <c r="Q2" s="222" t="str">
        <f ca="1">OFFSET($Q$19,$O$3-1,0)</f>
        <v>Chamber description – IBA FC65-G</v>
      </c>
      <c r="R2" s="222"/>
      <c r="S2" s="222"/>
      <c r="T2" s="222"/>
      <c r="U2" s="222"/>
      <c r="V2" s="222"/>
      <c r="W2" s="222"/>
      <c r="X2" s="222"/>
      <c r="Y2" s="223"/>
      <c r="AS2"/>
      <c r="AT2"/>
      <c r="AU2"/>
      <c r="AV2"/>
      <c r="AW2"/>
      <c r="AX2"/>
      <c r="AY2"/>
      <c r="AZ2"/>
      <c r="BA2"/>
      <c r="BB2"/>
      <c r="BC2"/>
      <c r="BD2"/>
      <c r="BE2"/>
      <c r="BF2"/>
    </row>
    <row r="3" spans="1:58" ht="15" customHeight="1" x14ac:dyDescent="0.25">
      <c r="A3" s="93" t="s">
        <v>109</v>
      </c>
      <c r="B3" s="158"/>
      <c r="C3" s="95"/>
      <c r="D3" s="95"/>
      <c r="E3" s="95"/>
      <c r="F3" s="95"/>
      <c r="G3" s="95"/>
      <c r="H3" s="95"/>
      <c r="I3" s="95"/>
      <c r="J3" s="95"/>
      <c r="K3" s="95"/>
      <c r="L3" s="96"/>
      <c r="N3" s="69" t="s">
        <v>110</v>
      </c>
      <c r="O3" s="98">
        <f>MATCH(B29,$P$19:$P$213,0)</f>
        <v>15</v>
      </c>
      <c r="P3" s="224"/>
      <c r="Q3" s="216" t="str">
        <f ca="1">OFFSET($Q$19,$O$3,0)</f>
        <v>Farmer-type with graphite walls of nominal thickness 0.073 g/cm</v>
      </c>
      <c r="R3" s="216"/>
      <c r="S3" s="216"/>
      <c r="T3" s="216"/>
      <c r="U3" s="216"/>
      <c r="V3" s="216"/>
      <c r="W3" s="216"/>
      <c r="X3" s="216"/>
      <c r="Y3" s="225"/>
      <c r="Z3" s="261" t="s">
        <v>357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</row>
    <row r="4" spans="1:58" x14ac:dyDescent="0.25">
      <c r="A4" s="32" t="s">
        <v>261</v>
      </c>
      <c r="B4" s="205" t="s">
        <v>26</v>
      </c>
      <c r="C4" s="31"/>
      <c r="D4" s="34" t="s">
        <v>315</v>
      </c>
      <c r="E4" s="31"/>
      <c r="F4" s="31"/>
      <c r="G4" s="31"/>
      <c r="H4" s="31"/>
      <c r="I4" s="31"/>
      <c r="J4" s="31"/>
      <c r="K4" s="31"/>
      <c r="L4" s="39"/>
      <c r="N4" s="105" t="s">
        <v>191</v>
      </c>
      <c r="P4" s="224"/>
      <c r="Q4" s="216" t="str">
        <f ca="1">OFFSET($Q$19,$O$3+1,0)</f>
        <v>The nominal cavity volume is 0.65 cc (length 23.1 mm and radius 3.1 mm).</v>
      </c>
      <c r="R4" s="216"/>
      <c r="S4" s="216"/>
      <c r="T4" s="216"/>
      <c r="U4" s="216"/>
      <c r="V4" s="216"/>
      <c r="W4" s="216"/>
      <c r="X4" s="216"/>
      <c r="Y4" s="225"/>
      <c r="AS4"/>
      <c r="AT4"/>
      <c r="AU4"/>
      <c r="AV4"/>
      <c r="AW4"/>
      <c r="AX4"/>
      <c r="AY4"/>
      <c r="AZ4"/>
      <c r="BA4"/>
      <c r="BB4"/>
      <c r="BC4"/>
      <c r="BD4"/>
      <c r="BE4"/>
      <c r="BF4"/>
    </row>
    <row r="5" spans="1:58" x14ac:dyDescent="0.25">
      <c r="A5" s="33" t="s">
        <v>111</v>
      </c>
      <c r="B5" s="205" t="s">
        <v>385</v>
      </c>
      <c r="C5" s="31"/>
      <c r="D5" s="31" t="s">
        <v>112</v>
      </c>
      <c r="E5" s="31"/>
      <c r="F5" s="31"/>
      <c r="G5" s="31"/>
      <c r="H5" s="31"/>
      <c r="I5" s="31"/>
      <c r="J5" s="31"/>
      <c r="K5" s="31"/>
      <c r="L5" s="39"/>
      <c r="N5" s="126" t="s">
        <v>116</v>
      </c>
      <c r="P5" s="224"/>
      <c r="Q5" s="216" t="str">
        <f ca="1">OFFSET($Q$19,$O$3+2,0)</f>
        <v>The central electrode is aluminium.</v>
      </c>
      <c r="R5" s="216"/>
      <c r="S5" s="216"/>
      <c r="T5" s="216"/>
      <c r="U5" s="216"/>
      <c r="V5" s="216"/>
      <c r="W5" s="216"/>
      <c r="X5" s="216"/>
      <c r="Y5" s="225"/>
      <c r="AS5"/>
      <c r="AT5"/>
      <c r="AU5"/>
      <c r="AV5"/>
      <c r="AW5"/>
      <c r="AX5"/>
      <c r="AY5"/>
      <c r="AZ5"/>
      <c r="BA5"/>
      <c r="BB5"/>
      <c r="BC5"/>
      <c r="BD5"/>
      <c r="BE5"/>
      <c r="BF5"/>
    </row>
    <row r="6" spans="1:58" x14ac:dyDescent="0.25">
      <c r="A6" s="33" t="s">
        <v>1</v>
      </c>
      <c r="B6" s="205" t="s">
        <v>386</v>
      </c>
      <c r="C6" s="31"/>
      <c r="D6" s="31" t="s">
        <v>115</v>
      </c>
      <c r="E6" s="31"/>
      <c r="F6" s="31"/>
      <c r="G6" s="31"/>
      <c r="H6" s="31"/>
      <c r="I6" s="31"/>
      <c r="J6" s="31"/>
      <c r="K6" s="31"/>
      <c r="L6" s="39"/>
      <c r="N6" s="126">
        <v>2571</v>
      </c>
      <c r="P6" s="224"/>
      <c r="Q6" s="216" t="str">
        <f ca="1">OFFSET($Q$19,$O$3+3,0)</f>
        <v>The buildup cap is Delrin.</v>
      </c>
      <c r="R6" s="216"/>
      <c r="S6" s="216"/>
      <c r="T6" s="216" t="str">
        <f ca="1">OFFSET($Q$19,$O$3+3,3)</f>
        <v>Delrin</v>
      </c>
      <c r="U6" s="216"/>
      <c r="V6" s="216"/>
      <c r="W6" s="216"/>
      <c r="X6" s="216"/>
      <c r="Y6" s="225"/>
      <c r="AS6"/>
      <c r="AT6"/>
      <c r="AU6"/>
      <c r="AV6"/>
      <c r="AW6"/>
      <c r="AX6"/>
      <c r="AY6"/>
      <c r="AZ6"/>
      <c r="BA6"/>
      <c r="BB6"/>
      <c r="BC6"/>
      <c r="BD6"/>
      <c r="BE6"/>
      <c r="BF6"/>
    </row>
    <row r="7" spans="1:58" x14ac:dyDescent="0.25">
      <c r="A7" s="33"/>
      <c r="B7" s="205" t="s">
        <v>382</v>
      </c>
      <c r="C7" s="31"/>
      <c r="D7" s="31" t="s">
        <v>117</v>
      </c>
      <c r="E7" s="31"/>
      <c r="F7" s="34" t="s">
        <v>260</v>
      </c>
      <c r="G7" s="31"/>
      <c r="H7" s="31"/>
      <c r="I7" s="31"/>
      <c r="J7" s="31"/>
      <c r="K7" s="31"/>
      <c r="L7" s="39"/>
      <c r="N7" s="126" t="s">
        <v>119</v>
      </c>
      <c r="P7" s="226"/>
      <c r="Q7" s="217" t="str">
        <f ca="1">OFFSET($Q$19,$O$3+4,0)</f>
        <v>The chamber is waterproof.</v>
      </c>
      <c r="R7" s="217"/>
      <c r="S7" s="217"/>
      <c r="T7" s="217"/>
      <c r="U7" s="217"/>
      <c r="V7" s="217"/>
      <c r="W7" s="217"/>
      <c r="X7" s="217"/>
      <c r="Y7" s="227"/>
      <c r="AS7"/>
      <c r="AT7"/>
      <c r="AU7"/>
      <c r="AV7"/>
      <c r="AW7"/>
      <c r="AX7"/>
      <c r="AY7"/>
      <c r="AZ7"/>
      <c r="BA7"/>
      <c r="BB7"/>
      <c r="BC7"/>
      <c r="BD7"/>
      <c r="BE7"/>
      <c r="BF7"/>
    </row>
    <row r="8" spans="1:58" x14ac:dyDescent="0.25">
      <c r="A8" s="33"/>
      <c r="B8" s="205" t="s">
        <v>383</v>
      </c>
      <c r="C8" s="31"/>
      <c r="D8" s="31" t="s">
        <v>118</v>
      </c>
      <c r="E8" s="31"/>
      <c r="F8" s="31"/>
      <c r="G8" s="31"/>
      <c r="H8" s="31"/>
      <c r="I8" s="31"/>
      <c r="J8" s="31"/>
      <c r="K8" s="31"/>
      <c r="L8" s="39"/>
      <c r="N8" s="127" t="s">
        <v>121</v>
      </c>
      <c r="P8" s="228" t="s">
        <v>224</v>
      </c>
      <c r="Q8" s="217" t="str">
        <f ca="1">OFFSET($Q$19,$O$3+5,0)</f>
        <v>The geometrical centre of the cavity</v>
      </c>
      <c r="R8" s="217"/>
      <c r="S8" s="217"/>
      <c r="T8" s="217"/>
      <c r="U8" s="217"/>
      <c r="V8" s="217"/>
      <c r="W8" s="217"/>
      <c r="X8" s="229" t="s">
        <v>255</v>
      </c>
      <c r="Y8" s="230" t="str">
        <f ca="1">OFFSET($Q$19,$O$3-1,8)</f>
        <v>FC65-G</v>
      </c>
      <c r="AS8"/>
      <c r="AT8"/>
      <c r="AU8"/>
      <c r="AV8"/>
      <c r="AW8"/>
      <c r="AX8"/>
      <c r="AY8"/>
      <c r="AZ8"/>
      <c r="BA8"/>
      <c r="BB8"/>
      <c r="BC8"/>
      <c r="BD8"/>
      <c r="BE8"/>
      <c r="BF8"/>
    </row>
    <row r="9" spans="1:58" x14ac:dyDescent="0.25">
      <c r="A9" s="36"/>
      <c r="B9" s="204"/>
      <c r="C9" s="37"/>
      <c r="D9" s="37" t="s">
        <v>120</v>
      </c>
      <c r="E9" s="37"/>
      <c r="F9" s="37"/>
      <c r="G9" s="37"/>
      <c r="H9" s="37"/>
      <c r="I9" s="37"/>
      <c r="J9" s="37"/>
      <c r="K9" s="37"/>
      <c r="L9" s="35"/>
      <c r="N9" s="127" t="s">
        <v>113</v>
      </c>
      <c r="P9" s="218" t="s">
        <v>199</v>
      </c>
      <c r="Q9" s="231" t="b">
        <f ca="1">IF(Q7="The chamber is not waterproof.", FALSE,TRUE)</f>
        <v>1</v>
      </c>
      <c r="R9" s="219"/>
      <c r="S9" s="219"/>
      <c r="T9" s="218" t="s">
        <v>200</v>
      </c>
      <c r="U9" s="218" t="s">
        <v>223</v>
      </c>
      <c r="V9" s="232" t="s">
        <v>206</v>
      </c>
      <c r="W9" s="219"/>
      <c r="X9" s="219"/>
      <c r="Y9" s="219"/>
      <c r="AS9"/>
      <c r="AT9"/>
      <c r="AU9"/>
      <c r="AV9"/>
      <c r="AW9"/>
      <c r="AX9"/>
      <c r="AY9"/>
      <c r="AZ9"/>
      <c r="BA9"/>
      <c r="BB9"/>
      <c r="BC9"/>
      <c r="BD9"/>
      <c r="BE9"/>
      <c r="BF9"/>
    </row>
    <row r="10" spans="1:58" x14ac:dyDescent="0.25">
      <c r="N10" s="127" t="s">
        <v>114</v>
      </c>
      <c r="P10" s="218" t="s">
        <v>203</v>
      </c>
      <c r="Q10" s="233" t="str">
        <f>IF(B33="CEP","Central Electrode Positive","Central Electrode Negative")</f>
        <v>Central Electrode Negative</v>
      </c>
      <c r="R10" s="219"/>
      <c r="S10" s="219"/>
      <c r="T10" s="220" t="str">
        <f>B33</f>
        <v>CEN</v>
      </c>
      <c r="U10" s="219">
        <f>B31</f>
        <v>-242</v>
      </c>
      <c r="V10" s="234" t="str">
        <f>U10&amp; " V"</f>
        <v>-242 V</v>
      </c>
      <c r="W10" s="219"/>
      <c r="X10" s="219"/>
      <c r="Y10" s="219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</row>
    <row r="11" spans="1:58" x14ac:dyDescent="0.25">
      <c r="N11" s="127" t="s">
        <v>275</v>
      </c>
      <c r="P11" s="219"/>
      <c r="Q11" s="218" t="s">
        <v>204</v>
      </c>
      <c r="R11" s="219"/>
      <c r="S11" s="219"/>
      <c r="T11" s="219" t="str">
        <f>IF(T10="CEP","CEN","CEP")</f>
        <v>CEP</v>
      </c>
      <c r="U11" s="218">
        <f>-U10</f>
        <v>242</v>
      </c>
      <c r="V11" s="234" t="str">
        <f>U11&amp; " V"</f>
        <v>242 V</v>
      </c>
      <c r="W11" s="219"/>
      <c r="X11" s="219"/>
      <c r="Y11" s="219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</row>
    <row r="12" spans="1:58" x14ac:dyDescent="0.25">
      <c r="A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N12" s="127" t="s">
        <v>276</v>
      </c>
      <c r="P12" s="219"/>
      <c r="Q12" s="218" t="s">
        <v>205</v>
      </c>
      <c r="R12" s="219"/>
      <c r="S12" s="219"/>
      <c r="T12" s="220" t="str">
        <f>T10</f>
        <v>CEN</v>
      </c>
      <c r="U12" s="219">
        <f>B32</f>
        <v>-60</v>
      </c>
      <c r="V12" s="234" t="str">
        <f>U12&amp; " V"</f>
        <v>-60 V</v>
      </c>
      <c r="W12" s="219"/>
      <c r="X12" s="219"/>
      <c r="Y12" s="219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</row>
    <row r="13" spans="1:58" x14ac:dyDescent="0.25">
      <c r="A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N13" s="127" t="s">
        <v>277</v>
      </c>
      <c r="P13" s="233" t="s">
        <v>128</v>
      </c>
      <c r="Q13" s="218" t="str">
        <f>IF(B33="CEP","Negative (Central Electrode Positive)","Positive (Central Electrode Negative)")</f>
        <v>Positive (Central Electrode Negative)</v>
      </c>
      <c r="R13" s="216"/>
      <c r="S13" s="216"/>
      <c r="T13" s="219"/>
      <c r="U13" s="219"/>
      <c r="V13" s="219"/>
      <c r="W13" s="219"/>
      <c r="X13" s="219"/>
      <c r="Y13" s="219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</row>
    <row r="14" spans="1:58" x14ac:dyDescent="0.25">
      <c r="A14" s="62" t="s">
        <v>389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N14" s="127" t="s">
        <v>214</v>
      </c>
      <c r="P14" s="218" t="s">
        <v>207</v>
      </c>
      <c r="Q14" s="219" t="str">
        <f ca="1">IF(Q9=FALSE,"The buildup cap was removed and the chamber placed in a 0.5 mm Perspex sleeve.","The buildup cap was removed and the chamber placed directly in the water phantom (no sleeve)")</f>
        <v>The buildup cap was removed and the chamber placed directly in the water phantom (no sleeve)</v>
      </c>
      <c r="R14" s="219"/>
      <c r="S14" s="219"/>
      <c r="T14" s="219"/>
      <c r="U14" s="219"/>
      <c r="V14" s="219"/>
      <c r="W14" s="219"/>
      <c r="X14" s="219"/>
      <c r="Y14" s="219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</row>
    <row r="15" spans="1:58" x14ac:dyDescent="0.25">
      <c r="A15" s="62" t="s">
        <v>387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N15" s="127" t="s">
        <v>215</v>
      </c>
      <c r="P15" s="218" t="s">
        <v>19</v>
      </c>
      <c r="Q15" s="219" t="str">
        <f>B29&amp;" serial number "&amp;B30</f>
        <v>IBA FC65-G serial number 457</v>
      </c>
      <c r="R15" s="219"/>
      <c r="S15" s="219"/>
      <c r="T15" s="219"/>
      <c r="U15" s="219"/>
      <c r="V15" s="219"/>
      <c r="W15" s="219"/>
      <c r="X15" s="219"/>
      <c r="Y15" s="219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</row>
    <row r="16" spans="1:58" x14ac:dyDescent="0.25">
      <c r="A16" s="62" t="s">
        <v>390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N16" s="127" t="s">
        <v>319</v>
      </c>
      <c r="P16" s="105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</row>
    <row r="17" spans="1:58" x14ac:dyDescent="0.25">
      <c r="A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N17" s="127" t="s">
        <v>316</v>
      </c>
      <c r="AO17" s="105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</row>
    <row r="18" spans="1:58" x14ac:dyDescent="0.25">
      <c r="A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N18" s="127" t="s">
        <v>313</v>
      </c>
      <c r="P18" s="109" t="s">
        <v>196</v>
      </c>
      <c r="AO18" s="105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</row>
    <row r="19" spans="1:58" ht="15" customHeight="1" x14ac:dyDescent="0.25">
      <c r="A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N19" s="127" t="s">
        <v>314</v>
      </c>
      <c r="P19" s="99" t="s">
        <v>116</v>
      </c>
      <c r="Q19" s="106" t="s">
        <v>124</v>
      </c>
      <c r="R19" s="86"/>
      <c r="S19" s="86"/>
      <c r="T19" s="86"/>
      <c r="U19" s="86"/>
      <c r="V19" s="86"/>
      <c r="W19" s="86"/>
      <c r="X19" s="86"/>
      <c r="Y19" s="235">
        <v>2571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</row>
    <row r="20" spans="1:58" x14ac:dyDescent="0.25">
      <c r="A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N20" s="214" t="s">
        <v>190</v>
      </c>
      <c r="P20" s="100"/>
      <c r="Q20" s="262" t="s">
        <v>358</v>
      </c>
      <c r="R20" s="101"/>
      <c r="S20" s="101"/>
      <c r="T20" s="101"/>
      <c r="U20" s="101"/>
      <c r="V20" s="101"/>
      <c r="W20" s="101"/>
      <c r="X20" s="101"/>
      <c r="Y20" s="236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</row>
    <row r="21" spans="1:58" x14ac:dyDescent="0.25">
      <c r="A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N21" s="214" t="s">
        <v>190</v>
      </c>
      <c r="P21" s="100"/>
      <c r="Q21" s="101" t="s">
        <v>125</v>
      </c>
      <c r="R21" s="101"/>
      <c r="S21" s="101"/>
      <c r="T21" s="101"/>
      <c r="U21" s="101"/>
      <c r="V21" s="101"/>
      <c r="W21" s="101"/>
      <c r="X21" s="101"/>
      <c r="Y21" s="236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</row>
    <row r="22" spans="1:58" x14ac:dyDescent="0.25">
      <c r="A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N22" s="214" t="s">
        <v>190</v>
      </c>
      <c r="P22" s="100"/>
      <c r="Q22" s="101" t="s">
        <v>127</v>
      </c>
      <c r="R22" s="101"/>
      <c r="S22" s="101"/>
      <c r="T22" s="101"/>
      <c r="U22" s="101"/>
      <c r="V22" s="101"/>
      <c r="W22" s="101"/>
      <c r="X22" s="101"/>
      <c r="Y22" s="236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</row>
    <row r="23" spans="1:58" ht="15" customHeight="1" x14ac:dyDescent="0.25">
      <c r="A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N23" s="214" t="s">
        <v>190</v>
      </c>
      <c r="P23" s="100"/>
      <c r="Q23" s="107" t="s">
        <v>324</v>
      </c>
      <c r="R23" s="101"/>
      <c r="S23" s="101"/>
      <c r="T23" s="107" t="s">
        <v>265</v>
      </c>
      <c r="U23" s="101"/>
      <c r="V23" s="101"/>
      <c r="W23" s="101"/>
      <c r="X23" s="101"/>
      <c r="Y23" s="236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</row>
    <row r="24" spans="1:58" x14ac:dyDescent="0.25">
      <c r="A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N24" s="214" t="s">
        <v>190</v>
      </c>
      <c r="P24" s="100"/>
      <c r="Q24" s="101" t="s">
        <v>129</v>
      </c>
      <c r="R24" s="101"/>
      <c r="S24" s="101"/>
      <c r="T24" s="101"/>
      <c r="U24" s="101"/>
      <c r="V24" s="101"/>
      <c r="W24" s="101"/>
      <c r="X24" s="101"/>
      <c r="Y24" s="236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</row>
    <row r="25" spans="1:58" ht="15" customHeight="1" x14ac:dyDescent="0.25">
      <c r="A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N25" s="214" t="s">
        <v>190</v>
      </c>
      <c r="P25" s="102"/>
      <c r="Q25" s="252" t="s">
        <v>328</v>
      </c>
      <c r="R25" s="103"/>
      <c r="S25" s="103"/>
      <c r="T25" s="103"/>
      <c r="U25" s="103"/>
      <c r="V25" s="103"/>
      <c r="W25" s="103"/>
      <c r="X25" s="103"/>
      <c r="Y25" s="237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</row>
    <row r="26" spans="1:58" x14ac:dyDescent="0.25">
      <c r="P26" s="151">
        <v>2571</v>
      </c>
      <c r="Q26" s="152" t="s">
        <v>247</v>
      </c>
      <c r="R26" s="153"/>
      <c r="S26" s="153"/>
      <c r="T26" s="153"/>
      <c r="U26" s="153"/>
      <c r="V26" s="153"/>
      <c r="W26" s="153"/>
      <c r="X26" s="153"/>
      <c r="Y26" s="238">
        <v>2571</v>
      </c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</row>
    <row r="27" spans="1:58" x14ac:dyDescent="0.25">
      <c r="P27" s="154"/>
      <c r="Q27" s="263" t="s">
        <v>358</v>
      </c>
      <c r="R27" s="155"/>
      <c r="S27" s="155"/>
      <c r="T27" s="155"/>
      <c r="U27" s="155"/>
      <c r="V27" s="155"/>
      <c r="W27" s="155"/>
      <c r="X27" s="155"/>
      <c r="Y27" s="239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</row>
    <row r="28" spans="1:58" x14ac:dyDescent="0.25">
      <c r="A28" s="141" t="s">
        <v>188</v>
      </c>
      <c r="B28" s="142" t="s">
        <v>252</v>
      </c>
      <c r="C28" s="143"/>
      <c r="D28" s="143"/>
      <c r="E28" s="143"/>
      <c r="F28" s="143"/>
      <c r="G28" s="143"/>
      <c r="H28" s="143"/>
      <c r="I28" s="143"/>
      <c r="J28" s="143"/>
      <c r="K28" s="143"/>
      <c r="L28" s="144"/>
      <c r="N28" s="105" t="s">
        <v>200</v>
      </c>
      <c r="P28" s="154"/>
      <c r="Q28" s="155" t="s">
        <v>125</v>
      </c>
      <c r="R28" s="155"/>
      <c r="S28" s="155"/>
      <c r="T28" s="155"/>
      <c r="U28" s="155"/>
      <c r="V28" s="155"/>
      <c r="W28" s="155"/>
      <c r="X28" s="155"/>
      <c r="Y28" s="239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</row>
    <row r="29" spans="1:58" ht="15" customHeight="1" x14ac:dyDescent="0.25">
      <c r="A29" s="97" t="s">
        <v>189</v>
      </c>
      <c r="B29" s="205" t="s">
        <v>121</v>
      </c>
      <c r="C29" s="40"/>
      <c r="D29" s="38" t="s">
        <v>197</v>
      </c>
      <c r="E29" s="40"/>
      <c r="F29" s="40"/>
      <c r="G29" s="40"/>
      <c r="H29" s="38"/>
      <c r="I29" s="40"/>
      <c r="J29" s="40"/>
      <c r="K29" s="40"/>
      <c r="L29" s="41"/>
      <c r="N29" s="108" t="s">
        <v>202</v>
      </c>
      <c r="P29" s="154"/>
      <c r="Q29" s="155" t="s">
        <v>127</v>
      </c>
      <c r="R29" s="155"/>
      <c r="S29" s="155"/>
      <c r="T29" s="155"/>
      <c r="U29" s="155"/>
      <c r="V29" s="155"/>
      <c r="W29" s="155"/>
      <c r="X29" s="155"/>
      <c r="Y29" s="23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</row>
    <row r="30" spans="1:58" x14ac:dyDescent="0.25">
      <c r="A30" s="32" t="s">
        <v>23</v>
      </c>
      <c r="B30" s="205" t="s">
        <v>378</v>
      </c>
      <c r="C30" s="31"/>
      <c r="D30" s="31" t="s">
        <v>126</v>
      </c>
      <c r="E30" s="31"/>
      <c r="F30" s="31"/>
      <c r="G30" s="31"/>
      <c r="H30" s="31"/>
      <c r="I30" s="31"/>
      <c r="J30" s="31"/>
      <c r="K30" s="31"/>
      <c r="L30" s="39"/>
      <c r="N30" s="108" t="s">
        <v>209</v>
      </c>
      <c r="P30" s="154"/>
      <c r="Q30" s="110" t="s">
        <v>324</v>
      </c>
      <c r="R30" s="155"/>
      <c r="S30" s="155"/>
      <c r="T30" s="110" t="s">
        <v>265</v>
      </c>
      <c r="U30" s="155"/>
      <c r="V30" s="155"/>
      <c r="W30" s="155"/>
      <c r="X30" s="155"/>
      <c r="Y30" s="239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</row>
    <row r="31" spans="1:58" ht="15" customHeight="1" x14ac:dyDescent="0.25">
      <c r="A31" s="32" t="s">
        <v>244</v>
      </c>
      <c r="B31" s="270">
        <v>-242</v>
      </c>
      <c r="C31" s="31"/>
      <c r="D31" s="34" t="s">
        <v>245</v>
      </c>
      <c r="E31" s="31"/>
      <c r="F31" s="31"/>
      <c r="G31" s="31"/>
      <c r="H31" s="31"/>
      <c r="I31" s="31"/>
      <c r="J31" s="31"/>
      <c r="K31" s="31"/>
      <c r="L31" s="39"/>
      <c r="P31" s="154"/>
      <c r="Q31" s="155" t="s">
        <v>129</v>
      </c>
      <c r="R31" s="155"/>
      <c r="S31" s="155"/>
      <c r="T31" s="155"/>
      <c r="U31" s="155"/>
      <c r="V31" s="155"/>
      <c r="W31" s="155"/>
      <c r="X31" s="155"/>
      <c r="Y31" s="239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</row>
    <row r="32" spans="1:58" x14ac:dyDescent="0.25">
      <c r="A32" s="32" t="s">
        <v>201</v>
      </c>
      <c r="B32" s="270">
        <v>-60</v>
      </c>
      <c r="C32" s="31"/>
      <c r="D32" s="34" t="s">
        <v>222</v>
      </c>
      <c r="E32" s="31"/>
      <c r="F32" s="31"/>
      <c r="G32" s="120" t="str">
        <f>IF(B31*B32&lt;0,"Error: polarity of reduced voltage doesn't match!","ok")</f>
        <v>ok</v>
      </c>
      <c r="H32" s="31"/>
      <c r="I32" s="31"/>
      <c r="J32" s="31"/>
      <c r="K32" s="31"/>
      <c r="L32" s="39"/>
      <c r="N32" s="117" t="s">
        <v>19</v>
      </c>
      <c r="P32" s="156"/>
      <c r="Q32" s="252" t="s">
        <v>328</v>
      </c>
      <c r="R32" s="157"/>
      <c r="S32" s="157"/>
      <c r="T32" s="157"/>
      <c r="U32" s="157"/>
      <c r="V32" s="157"/>
      <c r="W32" s="157"/>
      <c r="X32" s="157"/>
      <c r="Y32" s="240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</row>
    <row r="33" spans="1:58" x14ac:dyDescent="0.25">
      <c r="A33" s="32" t="s">
        <v>200</v>
      </c>
      <c r="B33" s="260" t="s">
        <v>209</v>
      </c>
      <c r="C33" s="31"/>
      <c r="D33" s="34" t="s">
        <v>221</v>
      </c>
      <c r="E33" s="31"/>
      <c r="F33" s="31"/>
      <c r="G33" s="120" t="str">
        <f>IF(B31="","ok",IF(B33="CEN",IF(B31&lt;0,"ok","Sign of measured voltage doesn't match polarity"),IF(B31&gt;0,"ok","Sign of measured voltage doesn't match polarity")))</f>
        <v>ok</v>
      </c>
      <c r="J33" s="31"/>
      <c r="K33" s="31"/>
      <c r="L33" s="39"/>
      <c r="N33" s="108" t="s">
        <v>210</v>
      </c>
      <c r="P33" s="118" t="s">
        <v>121</v>
      </c>
      <c r="Q33" s="107" t="s">
        <v>192</v>
      </c>
      <c r="R33" s="101"/>
      <c r="S33" s="101"/>
      <c r="T33" s="101"/>
      <c r="U33" s="101"/>
      <c r="V33" s="101"/>
      <c r="W33" s="101"/>
      <c r="X33" s="101"/>
      <c r="Y33" s="241" t="s">
        <v>249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</row>
    <row r="34" spans="1:58" x14ac:dyDescent="0.25">
      <c r="A34" s="36" t="s">
        <v>130</v>
      </c>
      <c r="B34" s="205" t="s">
        <v>380</v>
      </c>
      <c r="C34" s="37"/>
      <c r="D34" s="116" t="s">
        <v>259</v>
      </c>
      <c r="E34" s="37"/>
      <c r="F34" s="37"/>
      <c r="G34" s="37"/>
      <c r="H34" s="37"/>
      <c r="I34" s="37"/>
      <c r="J34" s="37"/>
      <c r="K34" s="37"/>
      <c r="L34" s="35"/>
      <c r="N34" s="108" t="s">
        <v>211</v>
      </c>
      <c r="P34" s="100"/>
      <c r="Q34" s="262" t="s">
        <v>359</v>
      </c>
      <c r="R34" s="101"/>
      <c r="S34" s="101"/>
      <c r="T34" s="101"/>
      <c r="U34" s="101"/>
      <c r="V34" s="101"/>
      <c r="W34" s="101"/>
      <c r="X34" s="101"/>
      <c r="Y34" s="236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</row>
    <row r="35" spans="1:58" ht="15" customHeight="1" x14ac:dyDescent="0.25">
      <c r="N35" s="108" t="s">
        <v>212</v>
      </c>
      <c r="P35" s="100"/>
      <c r="Q35" s="107" t="s">
        <v>227</v>
      </c>
      <c r="R35" s="101"/>
      <c r="S35" s="101"/>
      <c r="T35" s="101"/>
      <c r="U35" s="101"/>
      <c r="V35" s="101"/>
      <c r="W35" s="101"/>
      <c r="X35" s="101"/>
      <c r="Y35" s="236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</row>
    <row r="36" spans="1:58" x14ac:dyDescent="0.25">
      <c r="P36" s="100"/>
      <c r="Q36" s="101" t="s">
        <v>127</v>
      </c>
      <c r="R36" s="101"/>
      <c r="S36" s="101"/>
      <c r="T36" s="101"/>
      <c r="U36" s="101"/>
      <c r="V36" s="101"/>
      <c r="W36" s="101"/>
      <c r="X36" s="101"/>
      <c r="Y36" s="236"/>
    </row>
    <row r="37" spans="1:58" ht="15" customHeight="1" x14ac:dyDescent="0.25">
      <c r="A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N37" s="62"/>
      <c r="P37" s="100"/>
      <c r="Q37" s="107" t="s">
        <v>324</v>
      </c>
      <c r="R37" s="101"/>
      <c r="S37" s="101"/>
      <c r="T37" s="107" t="s">
        <v>265</v>
      </c>
      <c r="U37" s="101"/>
      <c r="V37" s="101"/>
      <c r="W37" s="101"/>
      <c r="X37" s="101"/>
      <c r="Y37" s="236"/>
    </row>
    <row r="38" spans="1:58" x14ac:dyDescent="0.25">
      <c r="A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N38" s="62"/>
      <c r="P38" s="100"/>
      <c r="Q38" s="107" t="s">
        <v>193</v>
      </c>
      <c r="R38" s="101"/>
      <c r="S38" s="101"/>
      <c r="T38" s="101"/>
      <c r="U38" s="101"/>
      <c r="V38" s="101"/>
      <c r="W38" s="101"/>
      <c r="X38" s="101"/>
      <c r="Y38" s="236"/>
    </row>
    <row r="39" spans="1:58" x14ac:dyDescent="0.25">
      <c r="A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N39" s="62"/>
      <c r="P39" s="102"/>
      <c r="Q39" s="252" t="s">
        <v>328</v>
      </c>
      <c r="R39" s="103"/>
      <c r="S39" s="103"/>
      <c r="T39" s="103"/>
      <c r="U39" s="103"/>
      <c r="V39" s="103"/>
      <c r="W39" s="103"/>
      <c r="X39" s="103"/>
      <c r="Y39" s="237"/>
    </row>
    <row r="40" spans="1:58" x14ac:dyDescent="0.25">
      <c r="A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N40" s="62"/>
      <c r="P40" s="99" t="s">
        <v>119</v>
      </c>
      <c r="Q40" s="106" t="s">
        <v>134</v>
      </c>
      <c r="R40" s="86"/>
      <c r="S40" s="86"/>
      <c r="T40" s="86"/>
      <c r="U40" s="86"/>
      <c r="V40" s="86"/>
      <c r="W40" s="86"/>
      <c r="X40" s="86"/>
      <c r="Y40" s="235">
        <v>30013</v>
      </c>
    </row>
    <row r="41" spans="1:58" ht="15" customHeight="1" x14ac:dyDescent="0.25">
      <c r="A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N41" s="62"/>
      <c r="P41" s="100"/>
      <c r="Q41" s="262" t="s">
        <v>360</v>
      </c>
      <c r="R41" s="101"/>
      <c r="S41" s="101"/>
      <c r="T41" s="101"/>
      <c r="U41" s="101"/>
      <c r="V41" s="101"/>
      <c r="W41" s="101"/>
      <c r="X41" s="101"/>
      <c r="Y41" s="236"/>
    </row>
    <row r="42" spans="1:58" x14ac:dyDescent="0.25">
      <c r="A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N42" s="62"/>
      <c r="P42" s="100"/>
      <c r="Q42" s="107" t="s">
        <v>228</v>
      </c>
      <c r="R42" s="101"/>
      <c r="S42" s="101"/>
      <c r="T42" s="101"/>
      <c r="U42" s="101"/>
      <c r="V42" s="101"/>
      <c r="W42" s="101"/>
      <c r="X42" s="101"/>
      <c r="Y42" s="236"/>
    </row>
    <row r="43" spans="1:58" ht="15" customHeight="1" x14ac:dyDescent="0.25">
      <c r="A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31"/>
      <c r="N43" s="62"/>
      <c r="P43" s="100"/>
      <c r="Q43" s="101" t="s">
        <v>127</v>
      </c>
      <c r="R43" s="101"/>
      <c r="S43" s="101"/>
      <c r="T43" s="101"/>
      <c r="U43" s="101"/>
      <c r="V43" s="101"/>
      <c r="W43" s="101"/>
      <c r="X43" s="101"/>
      <c r="Y43" s="236"/>
    </row>
    <row r="44" spans="1:58" x14ac:dyDescent="0.25">
      <c r="A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31"/>
      <c r="N44" s="62"/>
      <c r="P44" s="100"/>
      <c r="Q44" s="107" t="s">
        <v>325</v>
      </c>
      <c r="R44" s="101"/>
      <c r="S44" s="101"/>
      <c r="T44" s="107" t="s">
        <v>266</v>
      </c>
      <c r="U44" s="101"/>
      <c r="V44" s="101"/>
      <c r="W44" s="101"/>
      <c r="X44" s="101"/>
      <c r="Y44" s="236"/>
    </row>
    <row r="45" spans="1:58" x14ac:dyDescent="0.25">
      <c r="F45" s="31"/>
      <c r="G45" s="31"/>
      <c r="H45" s="31"/>
      <c r="I45" s="31"/>
      <c r="J45" s="31"/>
      <c r="K45" s="31"/>
      <c r="M45" s="31"/>
      <c r="N45" s="62"/>
      <c r="P45" s="100"/>
      <c r="Q45" s="107" t="s">
        <v>193</v>
      </c>
      <c r="R45" s="101"/>
      <c r="S45" s="101"/>
      <c r="T45" s="101"/>
      <c r="U45" s="101"/>
      <c r="V45" s="101"/>
      <c r="W45" s="101"/>
      <c r="X45" s="101"/>
      <c r="Y45" s="236"/>
    </row>
    <row r="46" spans="1:58" x14ac:dyDescent="0.25">
      <c r="A46" s="93" t="s">
        <v>106</v>
      </c>
      <c r="B46" s="94"/>
      <c r="C46" s="95"/>
      <c r="D46" s="95"/>
      <c r="E46" s="95"/>
      <c r="F46" s="95"/>
      <c r="G46" s="95"/>
      <c r="H46" s="95"/>
      <c r="I46" s="95"/>
      <c r="J46" s="95"/>
      <c r="K46" s="95"/>
      <c r="L46" s="96"/>
      <c r="P46" s="102"/>
      <c r="Q46" s="252" t="s">
        <v>328</v>
      </c>
      <c r="R46" s="103"/>
      <c r="S46" s="103"/>
      <c r="T46" s="103"/>
      <c r="U46" s="103"/>
      <c r="V46" s="103"/>
      <c r="W46" s="103"/>
      <c r="X46" s="103"/>
      <c r="Y46" s="237"/>
    </row>
    <row r="47" spans="1:58" ht="15" customHeight="1" x14ac:dyDescent="0.25">
      <c r="A47" s="33" t="s">
        <v>122</v>
      </c>
      <c r="B47" s="195" t="s">
        <v>379</v>
      </c>
      <c r="C47" s="31"/>
      <c r="D47" s="31" t="s">
        <v>123</v>
      </c>
      <c r="E47" s="31"/>
      <c r="F47" s="31"/>
      <c r="G47" s="31"/>
      <c r="H47" s="31"/>
      <c r="I47" s="31"/>
      <c r="J47" s="31"/>
      <c r="K47" s="31"/>
      <c r="L47" s="39"/>
      <c r="N47"/>
      <c r="P47" s="104" t="s">
        <v>113</v>
      </c>
      <c r="Q47" s="106" t="s">
        <v>194</v>
      </c>
      <c r="R47" s="86"/>
      <c r="S47" s="86"/>
      <c r="T47" s="86"/>
      <c r="U47" s="86"/>
      <c r="V47" s="86"/>
      <c r="W47" s="86"/>
      <c r="X47" s="86"/>
      <c r="Y47" s="235">
        <v>2561</v>
      </c>
    </row>
    <row r="48" spans="1:58" x14ac:dyDescent="0.25">
      <c r="A48" s="33" t="s">
        <v>132</v>
      </c>
      <c r="B48" s="259">
        <v>44384</v>
      </c>
      <c r="C48" s="31" t="str">
        <f>IF(B48&lt;C49,"ERROR","")</f>
        <v/>
      </c>
      <c r="D48" s="258" t="s">
        <v>373</v>
      </c>
      <c r="E48" s="31"/>
      <c r="F48" s="31"/>
      <c r="G48" s="31"/>
      <c r="H48" s="31"/>
      <c r="I48" s="31"/>
      <c r="J48" s="31"/>
      <c r="K48" s="31"/>
      <c r="L48" s="39"/>
      <c r="N48"/>
      <c r="P48" s="100"/>
      <c r="Q48" s="262" t="s">
        <v>361</v>
      </c>
      <c r="R48" s="101"/>
      <c r="S48" s="101"/>
      <c r="T48" s="101"/>
      <c r="U48" s="101"/>
      <c r="V48" s="101"/>
      <c r="W48" s="101"/>
      <c r="X48" s="101"/>
      <c r="Y48" s="236"/>
    </row>
    <row r="49" spans="1:25" ht="15" customHeight="1" x14ac:dyDescent="0.25">
      <c r="A49" s="33" t="s">
        <v>133</v>
      </c>
      <c r="B49" s="273">
        <f>MEX!S84</f>
        <v>44379</v>
      </c>
      <c r="C49" s="273">
        <f>MEX!S85</f>
        <v>44383</v>
      </c>
      <c r="D49" s="258" t="s">
        <v>375</v>
      </c>
      <c r="E49" s="31"/>
      <c r="F49" s="31"/>
      <c r="G49" s="31"/>
      <c r="H49" s="31"/>
      <c r="I49" s="31"/>
      <c r="J49" s="31"/>
      <c r="K49" s="31"/>
      <c r="L49" s="39"/>
      <c r="N49"/>
      <c r="P49" s="100"/>
      <c r="Q49" s="101" t="s">
        <v>263</v>
      </c>
      <c r="R49" s="101"/>
      <c r="S49" s="101"/>
      <c r="T49" s="101"/>
      <c r="U49" s="101"/>
      <c r="V49" s="101"/>
      <c r="W49" s="101"/>
      <c r="X49" s="101"/>
      <c r="Y49" s="236"/>
    </row>
    <row r="50" spans="1:25" x14ac:dyDescent="0.25">
      <c r="A50" s="33" t="s">
        <v>22</v>
      </c>
      <c r="B50" s="205" t="s">
        <v>381</v>
      </c>
      <c r="C50" s="31"/>
      <c r="D50" s="34" t="s">
        <v>239</v>
      </c>
      <c r="E50" s="31"/>
      <c r="F50" s="31"/>
      <c r="G50" s="31"/>
      <c r="H50" s="31"/>
      <c r="I50" s="31"/>
      <c r="J50" s="31"/>
      <c r="K50" s="31"/>
      <c r="L50" s="39"/>
      <c r="N50"/>
      <c r="P50" s="100"/>
      <c r="Q50" s="101" t="s">
        <v>264</v>
      </c>
      <c r="R50" s="101"/>
      <c r="S50" s="101"/>
      <c r="T50" s="101"/>
      <c r="U50" s="101"/>
      <c r="V50" s="101"/>
      <c r="W50" s="101"/>
      <c r="X50" s="101"/>
      <c r="Y50" s="236"/>
    </row>
    <row r="51" spans="1:25" x14ac:dyDescent="0.25">
      <c r="A51" s="33" t="s">
        <v>135</v>
      </c>
      <c r="B51" s="195" t="s">
        <v>299</v>
      </c>
      <c r="C51" s="31"/>
      <c r="D51" s="31" t="s">
        <v>136</v>
      </c>
      <c r="E51" s="31"/>
      <c r="F51" s="31"/>
      <c r="G51" s="31"/>
      <c r="H51" s="31"/>
      <c r="I51" s="31"/>
      <c r="J51" s="31"/>
      <c r="K51" s="31"/>
      <c r="L51" s="39"/>
      <c r="N51"/>
      <c r="P51" s="100"/>
      <c r="Q51" s="107" t="s">
        <v>324</v>
      </c>
      <c r="R51" s="101"/>
      <c r="S51" s="101"/>
      <c r="T51" s="107" t="s">
        <v>265</v>
      </c>
      <c r="U51" s="101"/>
      <c r="V51" s="101"/>
      <c r="W51" s="101"/>
      <c r="X51" s="101"/>
      <c r="Y51" s="236"/>
    </row>
    <row r="52" spans="1:25" x14ac:dyDescent="0.25">
      <c r="A52" s="33" t="s">
        <v>137</v>
      </c>
      <c r="B52" s="205" t="s">
        <v>299</v>
      </c>
      <c r="C52" s="31"/>
      <c r="D52" s="31" t="s">
        <v>136</v>
      </c>
      <c r="E52" s="31"/>
      <c r="F52" s="31"/>
      <c r="G52" s="31"/>
      <c r="H52" s="31"/>
      <c r="I52" s="31"/>
      <c r="K52" s="124" t="s">
        <v>246</v>
      </c>
      <c r="L52" s="108" t="b">
        <f>IF(B51=B52,TRUE,FALSE)</f>
        <v>1</v>
      </c>
      <c r="N52"/>
      <c r="P52" s="100"/>
      <c r="Q52" s="107" t="s">
        <v>129</v>
      </c>
      <c r="R52" s="101"/>
      <c r="S52" s="101"/>
      <c r="T52" s="101"/>
      <c r="U52" s="101"/>
      <c r="V52" s="101"/>
      <c r="W52" s="101"/>
      <c r="X52" s="101"/>
      <c r="Y52" s="236"/>
    </row>
    <row r="53" spans="1:25" ht="15" customHeight="1" x14ac:dyDescent="0.25">
      <c r="A53" s="36" t="s">
        <v>138</v>
      </c>
      <c r="B53" s="205" t="s">
        <v>332</v>
      </c>
      <c r="C53" s="37"/>
      <c r="D53" s="37" t="s">
        <v>330</v>
      </c>
      <c r="E53" s="37"/>
      <c r="F53" s="37"/>
      <c r="G53" s="37"/>
      <c r="H53" s="37"/>
      <c r="I53" s="37"/>
      <c r="J53" s="37"/>
      <c r="K53" s="37"/>
      <c r="L53" s="35"/>
      <c r="N53"/>
      <c r="P53" s="102"/>
      <c r="Q53" s="252" t="s">
        <v>328</v>
      </c>
      <c r="R53" s="103"/>
      <c r="S53" s="103"/>
      <c r="T53" s="103"/>
      <c r="U53" s="103"/>
      <c r="V53" s="103"/>
      <c r="W53" s="103"/>
      <c r="X53" s="103"/>
      <c r="Y53" s="237"/>
    </row>
    <row r="54" spans="1:25" x14ac:dyDescent="0.25">
      <c r="N54"/>
      <c r="P54" s="104" t="s">
        <v>114</v>
      </c>
      <c r="Q54" s="106" t="s">
        <v>195</v>
      </c>
      <c r="R54" s="86"/>
      <c r="S54" s="86"/>
      <c r="T54" s="86"/>
      <c r="U54" s="86"/>
      <c r="V54" s="86"/>
      <c r="W54" s="86"/>
      <c r="X54" s="86"/>
      <c r="Y54" s="242" t="s">
        <v>254</v>
      </c>
    </row>
    <row r="55" spans="1:25" ht="15" customHeight="1" x14ac:dyDescent="0.2">
      <c r="B55"/>
      <c r="N55"/>
      <c r="P55" s="100"/>
      <c r="Q55" s="262" t="s">
        <v>361</v>
      </c>
      <c r="R55" s="101"/>
      <c r="S55" s="101"/>
      <c r="T55" s="101"/>
      <c r="U55" s="101"/>
      <c r="V55" s="101"/>
      <c r="W55" s="101"/>
      <c r="X55" s="101"/>
      <c r="Y55" s="236"/>
    </row>
    <row r="56" spans="1:25" ht="12.75" x14ac:dyDescent="0.2">
      <c r="B56"/>
      <c r="N56"/>
      <c r="P56" s="100"/>
      <c r="Q56" s="107" t="s">
        <v>263</v>
      </c>
      <c r="R56" s="101"/>
      <c r="S56" s="101"/>
      <c r="T56" s="101"/>
      <c r="U56" s="101"/>
      <c r="V56" s="101"/>
      <c r="W56" s="101"/>
      <c r="X56" s="101"/>
      <c r="Y56" s="236"/>
    </row>
    <row r="57" spans="1:25" ht="12.75" x14ac:dyDescent="0.2">
      <c r="B57"/>
      <c r="N57"/>
      <c r="P57" s="100"/>
      <c r="Q57" s="107" t="s">
        <v>264</v>
      </c>
      <c r="R57" s="101"/>
      <c r="S57" s="101"/>
      <c r="T57" s="101"/>
      <c r="U57" s="101"/>
      <c r="V57" s="101"/>
      <c r="W57" s="101"/>
      <c r="X57" s="101"/>
      <c r="Y57" s="236"/>
    </row>
    <row r="58" spans="1:25" ht="12.75" x14ac:dyDescent="0.2">
      <c r="B58"/>
      <c r="N58"/>
      <c r="P58" s="100"/>
      <c r="Q58" s="107" t="s">
        <v>324</v>
      </c>
      <c r="R58" s="101"/>
      <c r="S58" s="101"/>
      <c r="T58" s="107" t="s">
        <v>265</v>
      </c>
      <c r="U58" s="101"/>
      <c r="V58" s="101"/>
      <c r="W58" s="101"/>
      <c r="X58" s="101"/>
      <c r="Y58" s="236"/>
    </row>
    <row r="59" spans="1:25" ht="12.75" x14ac:dyDescent="0.2">
      <c r="B59"/>
      <c r="N59"/>
      <c r="P59" s="100"/>
      <c r="Q59" s="107" t="s">
        <v>129</v>
      </c>
      <c r="R59" s="101"/>
      <c r="S59" s="101"/>
      <c r="T59" s="101"/>
      <c r="U59" s="101"/>
      <c r="V59" s="101"/>
      <c r="W59" s="101"/>
      <c r="X59" s="101"/>
      <c r="Y59" s="236"/>
    </row>
    <row r="60" spans="1:25" ht="12.75" x14ac:dyDescent="0.2">
      <c r="B60"/>
      <c r="N60"/>
      <c r="P60" s="102"/>
      <c r="Q60" s="252" t="s">
        <v>328</v>
      </c>
      <c r="R60" s="103"/>
      <c r="S60" s="103"/>
      <c r="T60" s="103"/>
      <c r="U60" s="103"/>
      <c r="V60" s="103"/>
      <c r="W60" s="103"/>
      <c r="X60" s="103"/>
      <c r="Y60" s="237"/>
    </row>
    <row r="61" spans="1:25" ht="15" customHeight="1" x14ac:dyDescent="0.2">
      <c r="B61"/>
      <c r="N61"/>
      <c r="P61" s="104" t="s">
        <v>275</v>
      </c>
      <c r="Q61" s="152" t="s">
        <v>278</v>
      </c>
      <c r="R61" s="86"/>
      <c r="S61" s="86"/>
      <c r="T61" s="86"/>
      <c r="U61" s="86"/>
      <c r="V61" s="86"/>
      <c r="W61" s="86"/>
      <c r="X61" s="86"/>
      <c r="Y61" s="235">
        <v>30012</v>
      </c>
    </row>
    <row r="62" spans="1:25" ht="12.75" x14ac:dyDescent="0.2">
      <c r="B62"/>
      <c r="N62"/>
      <c r="P62" s="100"/>
      <c r="Q62" s="263" t="s">
        <v>362</v>
      </c>
      <c r="R62" s="101"/>
      <c r="S62" s="101"/>
      <c r="T62" s="101"/>
      <c r="U62" s="101"/>
      <c r="V62" s="101"/>
      <c r="W62" s="101"/>
      <c r="X62" s="101"/>
      <c r="Y62" s="236"/>
    </row>
    <row r="63" spans="1:25" ht="12.75" x14ac:dyDescent="0.2">
      <c r="B63"/>
      <c r="N63"/>
      <c r="P63" s="100"/>
      <c r="Q63" s="110" t="s">
        <v>279</v>
      </c>
      <c r="R63" s="101"/>
      <c r="S63" s="101"/>
      <c r="T63" s="101"/>
      <c r="U63" s="101"/>
      <c r="V63" s="101"/>
      <c r="W63" s="101"/>
      <c r="X63" s="101"/>
      <c r="Y63" s="236"/>
    </row>
    <row r="64" spans="1:25" ht="12.75" x14ac:dyDescent="0.2">
      <c r="B64"/>
      <c r="N64"/>
      <c r="P64" s="100"/>
      <c r="Q64" s="110" t="s">
        <v>127</v>
      </c>
      <c r="R64" s="101"/>
      <c r="S64" s="101"/>
      <c r="T64" s="101"/>
      <c r="U64" s="101"/>
      <c r="V64" s="101"/>
      <c r="W64" s="101"/>
      <c r="X64" s="101"/>
      <c r="Y64" s="236"/>
    </row>
    <row r="65" spans="1:25" ht="12.75" customHeight="1" x14ac:dyDescent="0.2">
      <c r="B65"/>
      <c r="N65"/>
      <c r="P65" s="100"/>
      <c r="Q65" s="110" t="s">
        <v>325</v>
      </c>
      <c r="R65" s="101"/>
      <c r="S65" s="101"/>
      <c r="T65" s="101" t="s">
        <v>266</v>
      </c>
      <c r="U65" s="101"/>
      <c r="V65" s="101"/>
      <c r="W65" s="101"/>
      <c r="X65" s="101"/>
      <c r="Y65" s="236"/>
    </row>
    <row r="66" spans="1:25" ht="12.75" x14ac:dyDescent="0.2">
      <c r="B66"/>
      <c r="N66"/>
      <c r="P66" s="100"/>
      <c r="Q66" s="110" t="s">
        <v>129</v>
      </c>
      <c r="R66" s="101"/>
      <c r="S66" s="101"/>
      <c r="T66" s="101"/>
      <c r="U66" s="101"/>
      <c r="V66" s="101"/>
      <c r="W66" s="101"/>
      <c r="X66" s="101"/>
      <c r="Y66" s="236"/>
    </row>
    <row r="67" spans="1:25" ht="12.75" customHeight="1" x14ac:dyDescent="0.2">
      <c r="B67"/>
      <c r="N67"/>
      <c r="P67" s="102"/>
      <c r="Q67" s="252" t="s">
        <v>328</v>
      </c>
      <c r="R67" s="103"/>
      <c r="S67" s="103"/>
      <c r="T67" s="103"/>
      <c r="U67" s="103"/>
      <c r="V67" s="103"/>
      <c r="W67" s="103"/>
      <c r="X67" s="103"/>
      <c r="Y67" s="237"/>
    </row>
    <row r="68" spans="1:25" ht="12.75" x14ac:dyDescent="0.2">
      <c r="B68"/>
      <c r="N68"/>
      <c r="P68" s="104" t="s">
        <v>276</v>
      </c>
      <c r="Q68" s="152" t="s">
        <v>280</v>
      </c>
      <c r="R68" s="86"/>
      <c r="S68" s="86"/>
      <c r="T68" s="86"/>
      <c r="U68" s="86"/>
      <c r="V68" s="86"/>
      <c r="W68" s="86"/>
      <c r="X68" s="86"/>
      <c r="Y68" s="235" t="s">
        <v>250</v>
      </c>
    </row>
    <row r="69" spans="1:25" ht="12.75" x14ac:dyDescent="0.2">
      <c r="B69"/>
      <c r="P69" s="100"/>
      <c r="Q69" s="263" t="s">
        <v>363</v>
      </c>
      <c r="R69" s="101"/>
      <c r="S69" s="101"/>
      <c r="T69" s="101"/>
      <c r="U69" s="101"/>
      <c r="V69" s="101"/>
      <c r="W69" s="101"/>
      <c r="X69" s="101"/>
      <c r="Y69" s="236"/>
    </row>
    <row r="70" spans="1:25" ht="12.75" x14ac:dyDescent="0.2">
      <c r="B70"/>
      <c r="P70" s="100"/>
      <c r="Q70" s="110" t="s">
        <v>281</v>
      </c>
      <c r="R70" s="101"/>
      <c r="S70" s="101"/>
      <c r="T70" s="101"/>
      <c r="U70" s="101"/>
      <c r="V70" s="101"/>
      <c r="W70" s="101"/>
      <c r="X70" s="101"/>
      <c r="Y70" s="236"/>
    </row>
    <row r="71" spans="1:25" ht="12.75" customHeight="1" x14ac:dyDescent="0.2">
      <c r="B71"/>
      <c r="P71" s="100"/>
      <c r="Q71" s="110" t="s">
        <v>282</v>
      </c>
      <c r="R71" s="101"/>
      <c r="S71" s="101"/>
      <c r="T71" s="101"/>
      <c r="U71" s="101"/>
      <c r="V71" s="101"/>
      <c r="W71" s="101"/>
      <c r="X71" s="101"/>
      <c r="Y71" s="236"/>
    </row>
    <row r="72" spans="1:25" ht="12.75" x14ac:dyDescent="0.2">
      <c r="B72"/>
      <c r="P72" s="100"/>
      <c r="Q72" s="110" t="s">
        <v>326</v>
      </c>
      <c r="R72" s="101"/>
      <c r="S72" s="101"/>
      <c r="T72" s="101" t="s">
        <v>284</v>
      </c>
      <c r="U72" s="101"/>
      <c r="V72" s="101"/>
      <c r="W72" s="101"/>
      <c r="X72" s="101"/>
      <c r="Y72" s="236"/>
    </row>
    <row r="73" spans="1:25" ht="12.75" customHeight="1" x14ac:dyDescent="0.2">
      <c r="B73"/>
      <c r="P73" s="100"/>
      <c r="Q73" s="110" t="s">
        <v>193</v>
      </c>
      <c r="R73" s="101"/>
      <c r="S73" s="101"/>
      <c r="T73" s="101"/>
      <c r="U73" s="101"/>
      <c r="V73" s="101"/>
      <c r="W73" s="101"/>
      <c r="X73" s="101"/>
      <c r="Y73" s="236"/>
    </row>
    <row r="74" spans="1:25" ht="15" customHeight="1" x14ac:dyDescent="0.25">
      <c r="P74" s="102"/>
      <c r="Q74" s="252" t="s">
        <v>328</v>
      </c>
      <c r="R74" s="103"/>
      <c r="S74" s="103"/>
      <c r="T74" s="103"/>
      <c r="U74" s="103"/>
      <c r="V74" s="103"/>
      <c r="W74" s="103"/>
      <c r="X74" s="103"/>
      <c r="Y74" s="237"/>
    </row>
    <row r="75" spans="1:25" x14ac:dyDescent="0.25">
      <c r="P75" s="118" t="s">
        <v>277</v>
      </c>
      <c r="Q75" s="152" t="s">
        <v>285</v>
      </c>
      <c r="R75" s="101"/>
      <c r="S75" s="101"/>
      <c r="T75" s="101"/>
      <c r="U75" s="101"/>
      <c r="V75" s="101"/>
      <c r="W75" s="101"/>
      <c r="X75" s="101"/>
      <c r="Y75" s="241" t="s">
        <v>251</v>
      </c>
    </row>
    <row r="76" spans="1:25" x14ac:dyDescent="0.25">
      <c r="P76" s="100"/>
      <c r="Q76" s="262" t="s">
        <v>364</v>
      </c>
      <c r="R76" s="101"/>
      <c r="S76" s="101"/>
      <c r="T76" s="101"/>
      <c r="U76" s="101"/>
      <c r="V76" s="101"/>
      <c r="W76" s="101"/>
      <c r="X76" s="101"/>
      <c r="Y76" s="236"/>
    </row>
    <row r="77" spans="1:25" x14ac:dyDescent="0.25">
      <c r="P77" s="100"/>
      <c r="Q77" s="110" t="s">
        <v>286</v>
      </c>
      <c r="R77" s="101"/>
      <c r="S77" s="101"/>
      <c r="T77" s="101"/>
      <c r="U77" s="101"/>
      <c r="V77" s="101"/>
      <c r="W77" s="101"/>
      <c r="X77" s="101"/>
      <c r="Y77" s="236"/>
    </row>
    <row r="78" spans="1:25" ht="15" customHeight="1" x14ac:dyDescent="0.25">
      <c r="A78" s="140"/>
      <c r="P78" s="100"/>
      <c r="Q78" s="110" t="s">
        <v>282</v>
      </c>
      <c r="R78" s="101"/>
      <c r="S78" s="101"/>
      <c r="T78" s="101"/>
      <c r="U78" s="101"/>
      <c r="V78" s="101"/>
      <c r="W78" s="101"/>
      <c r="X78" s="101"/>
      <c r="Y78" s="236"/>
    </row>
    <row r="79" spans="1:25" ht="12.75" customHeight="1" x14ac:dyDescent="0.2">
      <c r="B79"/>
      <c r="P79" s="100"/>
      <c r="Q79" s="110" t="s">
        <v>287</v>
      </c>
      <c r="R79" s="101"/>
      <c r="S79" s="101"/>
      <c r="T79" s="101"/>
      <c r="U79" s="101"/>
      <c r="V79" s="101"/>
      <c r="W79" s="101"/>
      <c r="X79" s="101"/>
      <c r="Y79" s="236"/>
    </row>
    <row r="80" spans="1:25" ht="12.75" x14ac:dyDescent="0.2">
      <c r="B80"/>
      <c r="P80" s="100"/>
      <c r="Q80" s="110" t="s">
        <v>193</v>
      </c>
      <c r="R80" s="101"/>
      <c r="S80" s="101"/>
      <c r="T80" s="101"/>
      <c r="U80" s="101"/>
      <c r="V80" s="101"/>
      <c r="W80" s="101"/>
      <c r="X80" s="101"/>
      <c r="Y80" s="236"/>
    </row>
    <row r="81" spans="2:25" ht="12.75" x14ac:dyDescent="0.2">
      <c r="B81"/>
      <c r="P81" s="100"/>
      <c r="Q81" s="252" t="s">
        <v>328</v>
      </c>
      <c r="R81" s="101"/>
      <c r="S81" s="101"/>
      <c r="T81" s="101"/>
      <c r="U81" s="101"/>
      <c r="V81" s="101"/>
      <c r="W81" s="101"/>
      <c r="X81" s="101"/>
      <c r="Y81" s="236"/>
    </row>
    <row r="82" spans="2:25" ht="12.75" x14ac:dyDescent="0.2">
      <c r="B82"/>
      <c r="P82" s="104" t="s">
        <v>214</v>
      </c>
      <c r="Q82" s="106" t="s">
        <v>217</v>
      </c>
      <c r="R82" s="86"/>
      <c r="S82" s="86"/>
      <c r="T82" s="86"/>
      <c r="U82" s="86"/>
      <c r="V82" s="86"/>
      <c r="W82" s="86"/>
      <c r="X82" s="86"/>
      <c r="Y82" s="235">
        <v>23342</v>
      </c>
    </row>
    <row r="83" spans="2:25" ht="12.75" x14ac:dyDescent="0.2">
      <c r="B83"/>
      <c r="P83" s="100"/>
      <c r="Q83" s="107" t="s">
        <v>232</v>
      </c>
      <c r="R83" s="101"/>
      <c r="S83" s="101"/>
      <c r="T83" s="101"/>
      <c r="U83" s="101"/>
      <c r="V83" s="101"/>
      <c r="W83" s="101"/>
      <c r="X83" s="101"/>
      <c r="Y83" s="236"/>
    </row>
    <row r="84" spans="2:25" ht="12.75" x14ac:dyDescent="0.2">
      <c r="B84"/>
      <c r="P84" s="100"/>
      <c r="Q84" s="107" t="s">
        <v>231</v>
      </c>
      <c r="R84" s="101"/>
      <c r="S84" s="101"/>
      <c r="T84" s="101"/>
      <c r="U84" s="101"/>
      <c r="V84" s="101"/>
      <c r="W84" s="101"/>
      <c r="X84" s="101"/>
      <c r="Y84" s="236"/>
    </row>
    <row r="85" spans="2:25" ht="15" customHeight="1" x14ac:dyDescent="0.2">
      <c r="B85"/>
      <c r="P85" s="100"/>
      <c r="Q85" s="110" t="s">
        <v>226</v>
      </c>
      <c r="R85" s="101"/>
      <c r="S85" s="101"/>
      <c r="T85" s="101"/>
      <c r="U85" s="101"/>
      <c r="V85" s="101"/>
      <c r="W85" s="101"/>
      <c r="X85" s="101"/>
      <c r="Y85" s="236"/>
    </row>
    <row r="86" spans="2:25" ht="12.75" x14ac:dyDescent="0.2">
      <c r="B86"/>
      <c r="P86" s="100"/>
      <c r="Q86" s="110" t="s">
        <v>229</v>
      </c>
      <c r="R86" s="101"/>
      <c r="S86" s="101"/>
      <c r="T86" s="101"/>
      <c r="U86" s="101"/>
      <c r="V86" s="101"/>
      <c r="W86" s="101"/>
      <c r="X86" s="101"/>
      <c r="Y86" s="236"/>
    </row>
    <row r="87" spans="2:25" ht="12.75" x14ac:dyDescent="0.2">
      <c r="B87"/>
      <c r="P87" s="100"/>
      <c r="Q87" s="107" t="s">
        <v>129</v>
      </c>
      <c r="R87" s="101"/>
      <c r="S87" s="101"/>
      <c r="T87" s="101"/>
      <c r="U87" s="101"/>
      <c r="V87" s="101"/>
      <c r="W87" s="101"/>
      <c r="X87" s="101"/>
      <c r="Y87" s="236"/>
    </row>
    <row r="88" spans="2:25" ht="12.75" x14ac:dyDescent="0.2">
      <c r="B88"/>
      <c r="P88" s="102"/>
      <c r="Q88" s="119" t="s">
        <v>218</v>
      </c>
      <c r="R88" s="103"/>
      <c r="S88" s="103"/>
      <c r="T88" s="103"/>
      <c r="U88" s="103"/>
      <c r="V88" s="103"/>
      <c r="W88" s="103"/>
      <c r="X88" s="103"/>
      <c r="Y88" s="237"/>
    </row>
    <row r="89" spans="2:25" ht="15" customHeight="1" x14ac:dyDescent="0.2">
      <c r="B89"/>
      <c r="P89" s="104" t="s">
        <v>215</v>
      </c>
      <c r="Q89" s="106" t="s">
        <v>216</v>
      </c>
      <c r="R89" s="86"/>
      <c r="S89" s="86"/>
      <c r="T89" s="86"/>
      <c r="U89" s="86"/>
      <c r="V89" s="86"/>
      <c r="W89" s="86"/>
      <c r="X89" s="86"/>
      <c r="Y89" s="235">
        <v>23344</v>
      </c>
    </row>
    <row r="90" spans="2:25" ht="12.75" x14ac:dyDescent="0.2">
      <c r="B90"/>
      <c r="P90" s="100"/>
      <c r="Q90" s="107" t="s">
        <v>232</v>
      </c>
      <c r="R90" s="101"/>
      <c r="S90" s="101"/>
      <c r="T90" s="101"/>
      <c r="U90" s="101"/>
      <c r="V90" s="101"/>
      <c r="W90" s="101"/>
      <c r="X90" s="101"/>
      <c r="Y90" s="236"/>
    </row>
    <row r="91" spans="2:25" ht="15" customHeight="1" x14ac:dyDescent="0.2">
      <c r="B91"/>
      <c r="P91" s="100"/>
      <c r="Q91" s="107" t="s">
        <v>231</v>
      </c>
      <c r="R91" s="101"/>
      <c r="S91" s="101"/>
      <c r="T91" s="101"/>
      <c r="U91" s="101"/>
      <c r="V91" s="101"/>
      <c r="W91" s="101"/>
      <c r="X91" s="101"/>
      <c r="Y91" s="236"/>
    </row>
    <row r="92" spans="2:25" ht="12.75" x14ac:dyDescent="0.2">
      <c r="B92"/>
      <c r="P92" s="100"/>
      <c r="Q92" s="110" t="s">
        <v>225</v>
      </c>
      <c r="R92" s="101"/>
      <c r="S92" s="101"/>
      <c r="T92" s="101"/>
      <c r="U92" s="101"/>
      <c r="V92" s="101"/>
      <c r="W92" s="101"/>
      <c r="X92" s="101"/>
      <c r="Y92" s="236"/>
    </row>
    <row r="93" spans="2:25" ht="12.75" x14ac:dyDescent="0.2">
      <c r="B93"/>
      <c r="P93" s="100"/>
      <c r="Q93" s="110" t="s">
        <v>230</v>
      </c>
      <c r="R93" s="101"/>
      <c r="S93" s="101"/>
      <c r="T93" s="101"/>
      <c r="U93" s="101"/>
      <c r="V93" s="101"/>
      <c r="W93" s="101"/>
      <c r="X93" s="101"/>
      <c r="Y93" s="236"/>
    </row>
    <row r="94" spans="2:25" ht="12.75" x14ac:dyDescent="0.2">
      <c r="B94"/>
      <c r="P94" s="100"/>
      <c r="Q94" s="107" t="s">
        <v>129</v>
      </c>
      <c r="R94" s="101"/>
      <c r="S94" s="101"/>
      <c r="T94" s="101"/>
      <c r="U94" s="101"/>
      <c r="V94" s="101"/>
      <c r="W94" s="101"/>
      <c r="X94" s="101"/>
      <c r="Y94" s="236"/>
    </row>
    <row r="95" spans="2:25" ht="15" customHeight="1" x14ac:dyDescent="0.2">
      <c r="B95"/>
      <c r="P95" s="102"/>
      <c r="Q95" s="119" t="s">
        <v>218</v>
      </c>
      <c r="R95" s="103"/>
      <c r="S95" s="103"/>
      <c r="T95" s="103"/>
      <c r="U95" s="103"/>
      <c r="V95" s="103"/>
      <c r="W95" s="103"/>
      <c r="X95" s="103"/>
      <c r="Y95" s="237"/>
    </row>
    <row r="96" spans="2:25" ht="12.75" x14ac:dyDescent="0.2">
      <c r="B96"/>
      <c r="P96" s="167" t="s">
        <v>319</v>
      </c>
      <c r="Q96" s="152" t="s">
        <v>320</v>
      </c>
      <c r="R96" s="206"/>
      <c r="S96" s="206"/>
      <c r="T96" s="206"/>
      <c r="U96" s="206"/>
      <c r="V96" s="206"/>
      <c r="W96" s="206"/>
      <c r="X96" s="206"/>
      <c r="Y96" s="243" t="s">
        <v>317</v>
      </c>
    </row>
    <row r="97" spans="1:25" ht="12.75" customHeight="1" x14ac:dyDescent="0.2">
      <c r="B97"/>
      <c r="P97" s="207"/>
      <c r="Q97" s="110" t="s">
        <v>256</v>
      </c>
      <c r="R97" s="208"/>
      <c r="S97" s="208"/>
      <c r="T97" s="208"/>
      <c r="U97" s="208"/>
      <c r="V97" s="208"/>
      <c r="W97" s="208"/>
      <c r="X97" s="208"/>
      <c r="Y97" s="244"/>
    </row>
    <row r="98" spans="1:25" ht="12.75" x14ac:dyDescent="0.2">
      <c r="B98"/>
      <c r="P98" s="207"/>
      <c r="Q98" s="110" t="s">
        <v>268</v>
      </c>
      <c r="R98" s="208"/>
      <c r="S98" s="208"/>
      <c r="T98" s="208"/>
      <c r="U98" s="208"/>
      <c r="V98" s="208"/>
      <c r="W98" s="208"/>
      <c r="X98" s="208"/>
      <c r="Y98" s="244"/>
    </row>
    <row r="99" spans="1:25" ht="12.75" x14ac:dyDescent="0.2">
      <c r="B99"/>
      <c r="P99" s="207"/>
      <c r="Q99" s="110" t="s">
        <v>271</v>
      </c>
      <c r="R99" s="208"/>
      <c r="S99" s="208"/>
      <c r="T99" s="208"/>
      <c r="U99" s="208"/>
      <c r="V99" s="208"/>
      <c r="W99" s="208"/>
      <c r="X99" s="208"/>
      <c r="Y99" s="244"/>
    </row>
    <row r="100" spans="1:25" ht="12.75" x14ac:dyDescent="0.2">
      <c r="B100"/>
      <c r="P100" s="207"/>
      <c r="Q100" s="110" t="s">
        <v>300</v>
      </c>
      <c r="R100" s="208"/>
      <c r="S100" s="208"/>
      <c r="T100" s="208"/>
      <c r="U100" s="208"/>
      <c r="V100" s="208"/>
      <c r="W100" s="208"/>
      <c r="X100" s="208"/>
      <c r="Y100" s="244"/>
    </row>
    <row r="101" spans="1:25" ht="12.75" x14ac:dyDescent="0.2">
      <c r="B101"/>
      <c r="P101" s="207"/>
      <c r="Q101" s="110" t="s">
        <v>193</v>
      </c>
      <c r="R101" s="208"/>
      <c r="S101" s="208"/>
      <c r="T101" s="208"/>
      <c r="U101" s="208"/>
      <c r="V101" s="208"/>
      <c r="W101" s="208"/>
      <c r="X101" s="208"/>
      <c r="Y101" s="244"/>
    </row>
    <row r="102" spans="1:25" ht="12.75" x14ac:dyDescent="0.2">
      <c r="B102"/>
      <c r="P102" s="209"/>
      <c r="Q102" s="252" t="s">
        <v>329</v>
      </c>
      <c r="R102" s="210"/>
      <c r="S102" s="210"/>
      <c r="T102" s="210"/>
      <c r="U102" s="210"/>
      <c r="V102" s="210"/>
      <c r="W102" s="210"/>
      <c r="X102" s="210"/>
      <c r="Y102" s="245"/>
    </row>
    <row r="103" spans="1:25" ht="14.45" customHeight="1" x14ac:dyDescent="0.2">
      <c r="B103"/>
      <c r="P103" s="167" t="s">
        <v>316</v>
      </c>
      <c r="Q103" s="152" t="s">
        <v>269</v>
      </c>
      <c r="R103" s="206"/>
      <c r="S103" s="206"/>
      <c r="T103" s="206"/>
      <c r="U103" s="206"/>
      <c r="V103" s="206"/>
      <c r="W103" s="206"/>
      <c r="X103" s="206"/>
      <c r="Y103" s="243" t="s">
        <v>318</v>
      </c>
    </row>
    <row r="104" spans="1:25" ht="12.75" x14ac:dyDescent="0.2">
      <c r="B104"/>
      <c r="P104" s="207"/>
      <c r="Q104" s="110" t="s">
        <v>256</v>
      </c>
      <c r="R104" s="208"/>
      <c r="S104" s="208"/>
      <c r="T104" s="208"/>
      <c r="U104" s="208"/>
      <c r="V104" s="208"/>
      <c r="W104" s="208"/>
      <c r="X104" s="208"/>
      <c r="Y104" s="244"/>
    </row>
    <row r="105" spans="1:25" ht="12.75" x14ac:dyDescent="0.2">
      <c r="B105"/>
      <c r="P105" s="207"/>
      <c r="Q105" s="110" t="s">
        <v>274</v>
      </c>
      <c r="R105" s="208"/>
      <c r="S105" s="208"/>
      <c r="T105" s="208"/>
      <c r="U105" s="208"/>
      <c r="V105" s="208"/>
      <c r="W105" s="208"/>
      <c r="X105" s="208"/>
      <c r="Y105" s="244"/>
    </row>
    <row r="106" spans="1:25" ht="12.75" x14ac:dyDescent="0.2">
      <c r="B106"/>
      <c r="P106" s="207"/>
      <c r="Q106" s="110" t="s">
        <v>272</v>
      </c>
      <c r="R106" s="208"/>
      <c r="S106" s="208"/>
      <c r="T106" s="208"/>
      <c r="U106" s="208"/>
      <c r="V106" s="208"/>
      <c r="W106" s="208"/>
      <c r="X106" s="208"/>
      <c r="Y106" s="244"/>
    </row>
    <row r="107" spans="1:25" ht="12.75" x14ac:dyDescent="0.2">
      <c r="B107"/>
      <c r="P107" s="207"/>
      <c r="Q107" s="110" t="s">
        <v>273</v>
      </c>
      <c r="R107" s="208"/>
      <c r="S107" s="208"/>
      <c r="T107" s="208"/>
      <c r="U107" s="208"/>
      <c r="V107" s="208"/>
      <c r="W107" s="208"/>
      <c r="X107" s="208"/>
      <c r="Y107" s="244"/>
    </row>
    <row r="108" spans="1:25" ht="12.75" x14ac:dyDescent="0.2">
      <c r="B108"/>
      <c r="P108" s="207"/>
      <c r="Q108" s="110" t="s">
        <v>270</v>
      </c>
      <c r="R108" s="208"/>
      <c r="S108" s="208"/>
      <c r="T108" s="208"/>
      <c r="U108" s="208"/>
      <c r="V108" s="208"/>
      <c r="W108" s="208"/>
      <c r="X108" s="208"/>
      <c r="Y108" s="244"/>
    </row>
    <row r="109" spans="1:25" ht="14.45" customHeight="1" x14ac:dyDescent="0.25">
      <c r="A109" t="s">
        <v>331</v>
      </c>
      <c r="P109" s="209"/>
      <c r="Q109" s="119" t="s">
        <v>253</v>
      </c>
      <c r="R109" s="210"/>
      <c r="S109" s="210"/>
      <c r="T109" s="210"/>
      <c r="U109" s="210"/>
      <c r="V109" s="210"/>
      <c r="W109" s="210"/>
      <c r="X109" s="210"/>
      <c r="Y109" s="245"/>
    </row>
    <row r="110" spans="1:25" x14ac:dyDescent="0.25">
      <c r="A110" s="253" t="s">
        <v>332</v>
      </c>
      <c r="B110" s="255"/>
      <c r="P110" s="104" t="s">
        <v>313</v>
      </c>
      <c r="Q110" s="152" t="s">
        <v>303</v>
      </c>
      <c r="R110" s="86"/>
      <c r="S110" s="86"/>
      <c r="T110" s="86"/>
      <c r="U110" s="86"/>
      <c r="V110" s="86"/>
      <c r="W110" s="86"/>
      <c r="X110" s="86"/>
      <c r="Y110" s="235" t="s">
        <v>304</v>
      </c>
    </row>
    <row r="111" spans="1:25" x14ac:dyDescent="0.25">
      <c r="A111" s="253" t="s">
        <v>333</v>
      </c>
      <c r="B111" s="255"/>
      <c r="P111" s="100"/>
      <c r="Q111" s="110" t="s">
        <v>305</v>
      </c>
      <c r="R111" s="101"/>
      <c r="S111" s="101"/>
      <c r="T111" s="101"/>
      <c r="U111" s="101"/>
      <c r="V111" s="101"/>
      <c r="W111" s="101"/>
      <c r="X111" s="101"/>
      <c r="Y111" s="236"/>
    </row>
    <row r="112" spans="1:25" x14ac:dyDescent="0.25">
      <c r="A112" s="254" t="s">
        <v>262</v>
      </c>
      <c r="B112" s="256"/>
      <c r="P112" s="100"/>
      <c r="Q112" s="110" t="s">
        <v>306</v>
      </c>
      <c r="R112" s="101"/>
      <c r="S112" s="101"/>
      <c r="T112" s="101"/>
      <c r="U112" s="101"/>
      <c r="V112" s="101"/>
      <c r="W112" s="101"/>
      <c r="X112" s="101"/>
      <c r="Y112" s="236"/>
    </row>
    <row r="113" spans="16:51" x14ac:dyDescent="0.25">
      <c r="P113" s="100"/>
      <c r="Q113" s="110" t="s">
        <v>282</v>
      </c>
      <c r="R113" s="101"/>
      <c r="S113" s="101"/>
      <c r="T113" s="101"/>
      <c r="U113" s="101"/>
      <c r="V113" s="101"/>
      <c r="W113" s="101"/>
      <c r="X113" s="101"/>
      <c r="Y113" s="236"/>
    </row>
    <row r="114" spans="16:51" x14ac:dyDescent="0.25">
      <c r="P114" s="100"/>
      <c r="Q114" s="110" t="s">
        <v>283</v>
      </c>
      <c r="R114" s="101"/>
      <c r="S114" s="101"/>
      <c r="T114" s="101" t="s">
        <v>284</v>
      </c>
      <c r="U114" s="101"/>
      <c r="V114" s="101"/>
      <c r="W114" s="101"/>
      <c r="X114" s="101"/>
      <c r="Y114" s="236"/>
    </row>
    <row r="115" spans="16:51" ht="15" customHeight="1" x14ac:dyDescent="0.25">
      <c r="P115" s="100"/>
      <c r="Q115" s="110" t="s">
        <v>193</v>
      </c>
      <c r="R115" s="101"/>
      <c r="S115" s="101"/>
      <c r="T115" s="101"/>
      <c r="U115" s="101"/>
      <c r="V115" s="101"/>
      <c r="W115" s="101"/>
      <c r="X115" s="101"/>
      <c r="Y115" s="236"/>
      <c r="AP115" s="212"/>
      <c r="AQ115" s="101"/>
      <c r="AR115" s="101"/>
      <c r="AS115" s="101"/>
      <c r="AT115" s="101"/>
      <c r="AU115" s="101"/>
      <c r="AV115" s="101"/>
      <c r="AW115" s="101"/>
      <c r="AX115" s="101"/>
      <c r="AY115" s="101"/>
    </row>
    <row r="116" spans="16:51" x14ac:dyDescent="0.25">
      <c r="P116" s="102"/>
      <c r="Q116" s="252" t="s">
        <v>328</v>
      </c>
      <c r="R116" s="103"/>
      <c r="S116" s="103"/>
      <c r="T116" s="103"/>
      <c r="U116" s="103"/>
      <c r="V116" s="103"/>
      <c r="W116" s="103"/>
      <c r="X116" s="103"/>
      <c r="Y116" s="237"/>
      <c r="AP116" s="212"/>
      <c r="AQ116" s="101"/>
      <c r="AR116" s="101"/>
      <c r="AS116" s="101"/>
      <c r="AT116" s="101"/>
      <c r="AU116" s="101"/>
      <c r="AV116" s="101"/>
      <c r="AW116" s="101"/>
      <c r="AX116" s="101"/>
      <c r="AY116" s="101"/>
    </row>
    <row r="117" spans="16:51" x14ac:dyDescent="0.25">
      <c r="P117" s="104" t="s">
        <v>314</v>
      </c>
      <c r="Q117" s="152" t="s">
        <v>307</v>
      </c>
      <c r="R117" s="86"/>
      <c r="S117" s="86"/>
      <c r="T117" s="86"/>
      <c r="U117" s="86"/>
      <c r="V117" s="86"/>
      <c r="W117" s="86"/>
      <c r="X117" s="86"/>
      <c r="Y117" s="235" t="s">
        <v>302</v>
      </c>
      <c r="AP117" s="101"/>
      <c r="AQ117" s="101"/>
      <c r="AR117" s="101"/>
      <c r="AS117" s="101"/>
      <c r="AT117" s="101"/>
      <c r="AU117" s="101"/>
      <c r="AV117" s="101"/>
      <c r="AW117" s="101"/>
      <c r="AX117" s="101"/>
      <c r="AY117" s="101"/>
    </row>
    <row r="118" spans="16:51" x14ac:dyDescent="0.25">
      <c r="P118" s="100"/>
      <c r="Q118" s="110" t="s">
        <v>308</v>
      </c>
      <c r="R118" s="107"/>
      <c r="S118" s="107"/>
      <c r="T118" s="107"/>
      <c r="U118" s="107"/>
      <c r="V118" s="107"/>
      <c r="W118" s="107"/>
      <c r="X118" s="107"/>
      <c r="Y118" s="241"/>
      <c r="AO118" s="27"/>
      <c r="AP118" s="211"/>
      <c r="AQ118" s="101"/>
      <c r="AR118" s="101"/>
      <c r="AS118" s="101"/>
      <c r="AT118" s="101"/>
      <c r="AU118" s="101"/>
      <c r="AV118" s="101"/>
      <c r="AW118" s="101"/>
      <c r="AX118" s="101"/>
      <c r="AY118" s="101"/>
    </row>
    <row r="119" spans="16:51" ht="15" customHeight="1" x14ac:dyDescent="0.25">
      <c r="P119" s="100"/>
      <c r="Q119" s="110" t="s">
        <v>309</v>
      </c>
      <c r="R119" s="107"/>
      <c r="S119" s="107"/>
      <c r="T119" s="107"/>
      <c r="U119" s="107"/>
      <c r="V119" s="107"/>
      <c r="W119" s="107"/>
      <c r="X119" s="107"/>
      <c r="Y119" s="241"/>
      <c r="AP119" s="281"/>
      <c r="AQ119" s="281"/>
      <c r="AR119" s="281"/>
      <c r="AS119" s="281"/>
      <c r="AT119" s="281"/>
      <c r="AU119" s="281"/>
      <c r="AV119" s="281"/>
      <c r="AW119" s="281"/>
      <c r="AX119" s="281"/>
      <c r="AY119" s="281"/>
    </row>
    <row r="120" spans="16:51" ht="15" customHeight="1" x14ac:dyDescent="0.25">
      <c r="P120" s="100"/>
      <c r="Q120" s="110" t="s">
        <v>310</v>
      </c>
      <c r="R120" s="107"/>
      <c r="S120" s="107"/>
      <c r="T120" s="107"/>
      <c r="U120" s="107"/>
      <c r="V120" s="107"/>
      <c r="W120" s="107"/>
      <c r="X120" s="107"/>
      <c r="Y120" s="241"/>
      <c r="AP120" s="281"/>
      <c r="AQ120" s="281"/>
      <c r="AR120" s="281"/>
      <c r="AS120" s="281"/>
      <c r="AT120" s="281"/>
      <c r="AU120" s="281"/>
      <c r="AV120" s="281"/>
      <c r="AW120" s="281"/>
      <c r="AX120" s="281"/>
      <c r="AY120" s="281"/>
    </row>
    <row r="121" spans="16:51" x14ac:dyDescent="0.25">
      <c r="P121" s="100"/>
      <c r="Q121" s="110" t="s">
        <v>311</v>
      </c>
      <c r="R121" s="107"/>
      <c r="S121" s="107"/>
      <c r="T121" s="107"/>
      <c r="U121" s="107"/>
      <c r="V121" s="107"/>
      <c r="W121" s="107"/>
      <c r="X121" s="107"/>
      <c r="Y121" s="241"/>
      <c r="AP121" s="101"/>
      <c r="AQ121" s="101"/>
      <c r="AR121" s="101"/>
      <c r="AS121" s="101"/>
      <c r="AT121" s="101"/>
      <c r="AU121" s="101"/>
      <c r="AV121" s="101"/>
      <c r="AW121" s="101"/>
      <c r="AX121" s="101"/>
      <c r="AY121" s="101"/>
    </row>
    <row r="122" spans="16:51" x14ac:dyDescent="0.25">
      <c r="P122" s="100"/>
      <c r="Q122" s="110" t="s">
        <v>193</v>
      </c>
      <c r="R122" s="107"/>
      <c r="S122" s="107"/>
      <c r="T122" s="107"/>
      <c r="U122" s="107"/>
      <c r="V122" s="107"/>
      <c r="W122" s="107"/>
      <c r="X122" s="107"/>
      <c r="Y122" s="241"/>
      <c r="AP122" s="101"/>
      <c r="AQ122" s="101"/>
      <c r="AR122" s="101"/>
      <c r="AS122" s="101"/>
      <c r="AT122" s="101"/>
      <c r="AU122" s="101"/>
      <c r="AV122" s="101"/>
      <c r="AW122" s="101"/>
      <c r="AX122" s="101"/>
      <c r="AY122" s="101"/>
    </row>
    <row r="123" spans="16:51" x14ac:dyDescent="0.25">
      <c r="P123" s="102"/>
      <c r="Q123" s="119" t="s">
        <v>312</v>
      </c>
      <c r="R123" s="215"/>
      <c r="S123" s="215"/>
      <c r="T123" s="215"/>
      <c r="U123" s="215"/>
      <c r="V123" s="215"/>
      <c r="W123" s="215"/>
      <c r="X123" s="215"/>
      <c r="Y123" s="246"/>
      <c r="AP123" s="211"/>
      <c r="AQ123" s="101"/>
      <c r="AR123" s="101"/>
      <c r="AS123" s="101"/>
      <c r="AT123" s="101"/>
      <c r="AU123" s="101"/>
      <c r="AV123" s="101"/>
      <c r="AW123" s="101"/>
      <c r="AX123" s="101"/>
      <c r="AY123" s="101"/>
    </row>
    <row r="124" spans="16:51" ht="15" customHeight="1" x14ac:dyDescent="0.25">
      <c r="P124" s="265" t="s">
        <v>366</v>
      </c>
      <c r="Q124" s="266" t="s">
        <v>367</v>
      </c>
      <c r="R124" s="196"/>
      <c r="S124" s="196"/>
      <c r="T124" s="196"/>
      <c r="U124" s="196"/>
      <c r="V124" s="196"/>
      <c r="W124" s="196"/>
      <c r="X124" s="196"/>
      <c r="Y124" s="267" t="s">
        <v>368</v>
      </c>
      <c r="AP124" s="213"/>
      <c r="AQ124" s="101"/>
      <c r="AR124" s="101"/>
      <c r="AS124" s="101"/>
      <c r="AT124" s="101"/>
      <c r="AU124" s="101"/>
      <c r="AV124" s="101"/>
      <c r="AW124" s="101"/>
      <c r="AX124" s="101"/>
      <c r="AY124" s="101"/>
    </row>
    <row r="125" spans="16:51" ht="15" customHeight="1" x14ac:dyDescent="0.25">
      <c r="P125" s="197"/>
      <c r="Q125" s="268" t="s">
        <v>256</v>
      </c>
      <c r="R125" s="198"/>
      <c r="S125" s="198"/>
      <c r="T125" s="198"/>
      <c r="U125" s="198"/>
      <c r="V125" s="198"/>
      <c r="W125" s="198"/>
      <c r="X125" s="198"/>
      <c r="Y125" s="247"/>
      <c r="AP125" s="213"/>
      <c r="AQ125" s="101"/>
      <c r="AR125" s="101"/>
      <c r="AS125" s="101"/>
      <c r="AT125" s="101"/>
      <c r="AU125" s="101"/>
      <c r="AV125" s="101"/>
      <c r="AW125" s="101"/>
      <c r="AX125" s="101"/>
      <c r="AY125" s="101"/>
    </row>
    <row r="126" spans="16:51" ht="15" customHeight="1" x14ac:dyDescent="0.25">
      <c r="P126" s="197"/>
      <c r="Q126" s="268" t="s">
        <v>371</v>
      </c>
      <c r="R126" s="198"/>
      <c r="S126" s="198"/>
      <c r="T126" s="198"/>
      <c r="U126" s="198"/>
      <c r="V126" s="198"/>
      <c r="W126" s="198"/>
      <c r="X126" s="198"/>
      <c r="Y126" s="247"/>
      <c r="AP126" s="101"/>
      <c r="AQ126" s="101"/>
      <c r="AR126" s="101"/>
      <c r="AS126" s="101"/>
      <c r="AT126" s="101"/>
      <c r="AU126" s="101"/>
      <c r="AV126" s="101"/>
      <c r="AW126" s="101"/>
      <c r="AX126" s="101"/>
      <c r="AY126" s="101"/>
    </row>
    <row r="127" spans="16:51" ht="15" customHeight="1" x14ac:dyDescent="0.25">
      <c r="P127" s="197"/>
      <c r="Q127" s="268" t="s">
        <v>369</v>
      </c>
      <c r="R127" s="198"/>
      <c r="S127" s="198"/>
      <c r="T127" s="198"/>
      <c r="U127" s="198"/>
      <c r="V127" s="198"/>
      <c r="W127" s="198"/>
      <c r="X127" s="198"/>
      <c r="Y127" s="247"/>
      <c r="AP127" s="212"/>
      <c r="AQ127" s="101"/>
      <c r="AR127" s="101"/>
      <c r="AS127" s="101"/>
      <c r="AT127" s="101"/>
      <c r="AU127" s="101"/>
      <c r="AV127" s="101"/>
      <c r="AW127" s="101"/>
      <c r="AX127" s="101"/>
      <c r="AY127" s="101"/>
    </row>
    <row r="128" spans="16:51" ht="15" customHeight="1" x14ac:dyDescent="0.25">
      <c r="P128" s="197"/>
      <c r="Q128" s="268" t="s">
        <v>370</v>
      </c>
      <c r="R128" s="198"/>
      <c r="S128" s="198"/>
      <c r="T128" s="198"/>
      <c r="U128" s="198"/>
      <c r="V128" s="198"/>
      <c r="W128" s="198"/>
      <c r="X128" s="198"/>
      <c r="Y128" s="247"/>
      <c r="AP128" s="212"/>
      <c r="AQ128" s="101"/>
      <c r="AR128" s="101"/>
      <c r="AS128" s="101"/>
      <c r="AT128" s="101"/>
      <c r="AU128" s="101"/>
      <c r="AV128" s="101"/>
      <c r="AW128" s="101"/>
      <c r="AX128" s="101"/>
      <c r="AY128" s="101"/>
    </row>
    <row r="129" spans="16:25" ht="15" customHeight="1" x14ac:dyDescent="0.25">
      <c r="P129" s="197"/>
      <c r="Q129" s="198" t="s">
        <v>193</v>
      </c>
      <c r="R129" s="198"/>
      <c r="S129" s="198"/>
      <c r="T129" s="198"/>
      <c r="U129" s="198"/>
      <c r="V129" s="198"/>
      <c r="W129" s="198"/>
      <c r="X129" s="198"/>
      <c r="Y129" s="247"/>
    </row>
    <row r="130" spans="16:25" ht="15" customHeight="1" x14ac:dyDescent="0.25">
      <c r="P130" s="199"/>
      <c r="Q130" s="200" t="s">
        <v>329</v>
      </c>
      <c r="R130" s="200"/>
      <c r="S130" s="200"/>
      <c r="T130" s="200"/>
      <c r="U130" s="200"/>
      <c r="V130" s="200"/>
      <c r="W130" s="200"/>
      <c r="X130" s="200"/>
      <c r="Y130" s="248"/>
    </row>
    <row r="131" spans="16:25" ht="15" customHeight="1" x14ac:dyDescent="0.25">
      <c r="P131" s="145" t="s">
        <v>190</v>
      </c>
      <c r="Q131" s="146"/>
      <c r="R131" s="146"/>
      <c r="S131" s="146"/>
      <c r="T131" s="146"/>
      <c r="U131" s="146"/>
      <c r="V131" s="146"/>
      <c r="W131" s="146"/>
      <c r="X131" s="146"/>
      <c r="Y131" s="249"/>
    </row>
    <row r="132" spans="16:25" ht="15" customHeight="1" x14ac:dyDescent="0.25">
      <c r="P132" s="147"/>
      <c r="Q132" s="148"/>
      <c r="R132" s="148"/>
      <c r="S132" s="148"/>
      <c r="T132" s="148"/>
      <c r="U132" s="148"/>
      <c r="V132" s="148"/>
      <c r="W132" s="148"/>
      <c r="X132" s="148"/>
      <c r="Y132" s="250"/>
    </row>
    <row r="133" spans="16:25" ht="15" customHeight="1" x14ac:dyDescent="0.25">
      <c r="P133" s="147"/>
      <c r="Q133" s="148"/>
      <c r="R133" s="148"/>
      <c r="S133" s="148"/>
      <c r="T133" s="148"/>
      <c r="U133" s="148"/>
      <c r="V133" s="148"/>
      <c r="W133" s="148"/>
      <c r="X133" s="148"/>
      <c r="Y133" s="250"/>
    </row>
    <row r="134" spans="16:25" ht="15" customHeight="1" x14ac:dyDescent="0.25">
      <c r="P134" s="147"/>
      <c r="Q134" s="148"/>
      <c r="R134" s="148"/>
      <c r="S134" s="148"/>
      <c r="T134" s="148"/>
      <c r="U134" s="148"/>
      <c r="V134" s="148"/>
      <c r="W134" s="148"/>
      <c r="X134" s="148"/>
      <c r="Y134" s="250"/>
    </row>
    <row r="135" spans="16:25" ht="15" customHeight="1" x14ac:dyDescent="0.25">
      <c r="P135" s="147"/>
      <c r="Q135" s="148"/>
      <c r="R135" s="148"/>
      <c r="S135" s="148"/>
      <c r="T135" s="148"/>
      <c r="U135" s="148"/>
      <c r="V135" s="148"/>
      <c r="W135" s="148"/>
      <c r="X135" s="148"/>
      <c r="Y135" s="250"/>
    </row>
    <row r="136" spans="16:25" ht="15" customHeight="1" x14ac:dyDescent="0.25">
      <c r="P136" s="147"/>
      <c r="Q136" s="148"/>
      <c r="R136" s="148"/>
      <c r="S136" s="148"/>
      <c r="T136" s="148"/>
      <c r="U136" s="148"/>
      <c r="V136" s="148"/>
      <c r="W136" s="148"/>
      <c r="X136" s="148"/>
      <c r="Y136" s="250"/>
    </row>
    <row r="137" spans="16:25" ht="15" customHeight="1" x14ac:dyDescent="0.25">
      <c r="P137" s="149"/>
      <c r="Q137" s="150"/>
      <c r="R137" s="150"/>
      <c r="S137" s="150"/>
      <c r="T137" s="150"/>
      <c r="U137" s="150"/>
      <c r="V137" s="150"/>
      <c r="W137" s="150"/>
      <c r="X137" s="150"/>
      <c r="Y137" s="251"/>
    </row>
    <row r="138" spans="16:25" ht="15" customHeight="1" x14ac:dyDescent="0.25"/>
    <row r="139" spans="16:25" ht="15" customHeight="1" x14ac:dyDescent="0.25"/>
    <row r="140" spans="16:25" ht="15" customHeight="1" x14ac:dyDescent="0.25">
      <c r="P140" s="105"/>
    </row>
    <row r="141" spans="16:25" ht="15" customHeight="1" x14ac:dyDescent="0.25">
      <c r="Q141" s="105"/>
    </row>
    <row r="142" spans="16:25" ht="15" customHeight="1" x14ac:dyDescent="0.25"/>
    <row r="143" spans="16:25" ht="15" customHeight="1" x14ac:dyDescent="0.25"/>
    <row r="144" spans="16:25" ht="15" customHeight="1" x14ac:dyDescent="0.25"/>
    <row r="145" ht="15" customHeight="1" x14ac:dyDescent="0.25"/>
  </sheetData>
  <mergeCells count="2">
    <mergeCell ref="AP119:AY119"/>
    <mergeCell ref="AP120:AY120"/>
  </mergeCells>
  <dataValidations count="3">
    <dataValidation type="list" allowBlank="1" showInputMessage="1" showErrorMessage="1" sqref="B29" xr:uid="{00000000-0002-0000-0100-000006000000}">
      <formula1>$N$5:$N$25</formula1>
    </dataValidation>
    <dataValidation type="list" allowBlank="1" showInputMessage="1" showErrorMessage="1" sqref="B53" xr:uid="{00000000-0002-0000-0100-000007000000}">
      <formula1>$A$110:$A$112</formula1>
    </dataValidation>
    <dataValidation type="list" allowBlank="1" showInputMessage="1" showErrorMessage="1" sqref="B33" xr:uid="{00000000-0002-0000-0100-000008000000}">
      <formula1>$N$29:$N$30</formula1>
    </dataValidation>
  </dataValidations>
  <pageMargins left="0.70866141732283472" right="0.70866141732283472" top="0.74803149606299213" bottom="0.74803149606299213" header="0.31496062992125984" footer="0.31496062992125984"/>
  <pageSetup paperSize="9"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AE85"/>
  <sheetViews>
    <sheetView showGridLines="0" zoomScale="70" zoomScaleNormal="70" workbookViewId="0">
      <selection activeCell="W8" sqref="W8"/>
    </sheetView>
  </sheetViews>
  <sheetFormatPr defaultColWidth="9.140625" defaultRowHeight="12.75" x14ac:dyDescent="0.2"/>
  <cols>
    <col min="1" max="1" width="13.85546875" style="136" customWidth="1"/>
    <col min="2" max="4" width="9.140625" style="42"/>
    <col min="5" max="6" width="8.7109375" style="42" customWidth="1"/>
    <col min="7" max="7" width="9.5703125" style="42" customWidth="1"/>
    <col min="8" max="8" width="7.85546875" style="42" customWidth="1"/>
    <col min="9" max="9" width="9.5703125" style="42" customWidth="1"/>
    <col min="10" max="10" width="7.85546875" style="42" customWidth="1"/>
    <col min="11" max="11" width="9.28515625" style="42" customWidth="1"/>
    <col min="12" max="12" width="7.85546875" style="42" customWidth="1"/>
    <col min="13" max="14" width="9.140625" style="42"/>
    <col min="15" max="15" width="1.85546875" style="42" customWidth="1"/>
    <col min="16" max="17" width="9.140625" style="42"/>
    <col min="18" max="18" width="1.5703125" style="42" customWidth="1"/>
    <col min="19" max="19" width="11.42578125" style="42" customWidth="1"/>
    <col min="20" max="20" width="11.28515625" style="42" customWidth="1"/>
    <col min="21" max="21" width="10.28515625" style="42" customWidth="1"/>
    <col min="22" max="16384" width="9.140625" style="42"/>
  </cols>
  <sheetData>
    <row r="1" spans="1:31" s="171" customFormat="1" ht="15.75" x14ac:dyDescent="0.25">
      <c r="A1" s="170" t="s">
        <v>107</v>
      </c>
      <c r="G1" s="42"/>
      <c r="I1" s="42"/>
      <c r="M1" s="43" t="str">
        <f>Intro!$D$4</f>
        <v>IRC-FORM-2100J (ARPANSA-FORM-1856)</v>
      </c>
    </row>
    <row r="2" spans="1:31" s="171" customFormat="1" ht="12.75" customHeight="1" x14ac:dyDescent="0.25">
      <c r="A2" s="172"/>
      <c r="P2" s="42"/>
      <c r="R2" s="44"/>
      <c r="W2" s="62" t="s">
        <v>389</v>
      </c>
    </row>
    <row r="3" spans="1:31" s="44" customFormat="1" ht="15" x14ac:dyDescent="0.25">
      <c r="A3" s="173" t="str">
        <f>Client!B5</f>
        <v>Job_ID_01</v>
      </c>
      <c r="B3" s="174" t="str">
        <f>Client!B6</f>
        <v>Name_of_Client</v>
      </c>
      <c r="C3" s="175"/>
      <c r="D3" s="175"/>
      <c r="E3" s="176"/>
      <c r="F3" s="176"/>
      <c r="G3" s="176"/>
      <c r="H3" s="176"/>
      <c r="I3" s="176"/>
      <c r="J3" s="177"/>
      <c r="P3" s="42"/>
      <c r="W3" s="62" t="s">
        <v>391</v>
      </c>
    </row>
    <row r="4" spans="1:31" ht="15" x14ac:dyDescent="0.25">
      <c r="A4" s="121" t="s">
        <v>10</v>
      </c>
      <c r="B4" s="309" t="str">
        <f>Client!B29</f>
        <v>IBA FC65-G</v>
      </c>
      <c r="C4" s="311"/>
      <c r="D4" s="45"/>
      <c r="G4" s="45"/>
      <c r="I4" s="45"/>
      <c r="W4" s="62" t="s">
        <v>392</v>
      </c>
      <c r="X4" s="44"/>
      <c r="Y4" s="44"/>
      <c r="Z4" s="44"/>
      <c r="AA4" s="44"/>
      <c r="AB4" s="44"/>
      <c r="AC4" s="44"/>
      <c r="AD4" s="44"/>
      <c r="AE4" s="44"/>
    </row>
    <row r="5" spans="1:31" ht="15" x14ac:dyDescent="0.25">
      <c r="A5" s="42" t="s">
        <v>11</v>
      </c>
      <c r="B5" s="309" t="str">
        <f>Client!B30</f>
        <v>457</v>
      </c>
      <c r="C5" s="311"/>
      <c r="F5" s="264"/>
      <c r="M5" s="264" t="s">
        <v>208</v>
      </c>
      <c r="N5" s="317"/>
      <c r="O5" s="408"/>
      <c r="P5" s="408"/>
      <c r="Q5" s="408"/>
      <c r="R5" s="408"/>
      <c r="S5" s="408"/>
      <c r="T5" s="409"/>
      <c r="W5" s="410" t="s">
        <v>393</v>
      </c>
      <c r="X5" s="44"/>
      <c r="Y5" s="44"/>
      <c r="Z5" s="44"/>
      <c r="AA5" s="44"/>
      <c r="AB5" s="44"/>
      <c r="AC5" s="44"/>
      <c r="AD5" s="44"/>
      <c r="AE5" s="44"/>
    </row>
    <row r="6" spans="1:31" ht="12.75" customHeight="1" x14ac:dyDescent="0.25">
      <c r="G6" s="257"/>
      <c r="W6" s="410" t="s">
        <v>394</v>
      </c>
      <c r="X6" s="44"/>
      <c r="Y6" s="44"/>
      <c r="Z6" s="44"/>
      <c r="AA6" s="44"/>
      <c r="AB6" s="44"/>
      <c r="AC6" s="44"/>
      <c r="AD6" s="44"/>
      <c r="AE6" s="44"/>
    </row>
    <row r="7" spans="1:31" ht="15" x14ac:dyDescent="0.25">
      <c r="A7" s="277" t="s">
        <v>376</v>
      </c>
      <c r="C7" s="131">
        <f>COUNT(F12,G12,I12,K12)</f>
        <v>3</v>
      </c>
      <c r="F7" s="178" t="s">
        <v>21</v>
      </c>
      <c r="G7" s="178"/>
      <c r="H7" s="179"/>
      <c r="I7" s="178"/>
      <c r="J7" s="179"/>
      <c r="K7" s="179"/>
      <c r="L7" s="180"/>
      <c r="M7" s="312" t="s">
        <v>30</v>
      </c>
      <c r="N7" s="282"/>
      <c r="P7" s="178" t="s">
        <v>22</v>
      </c>
      <c r="Q7" s="180"/>
      <c r="S7" s="202" t="s">
        <v>290</v>
      </c>
      <c r="T7" s="180"/>
      <c r="W7" s="410" t="s">
        <v>395</v>
      </c>
      <c r="X7" s="44"/>
      <c r="Y7" s="44"/>
      <c r="Z7" s="44"/>
      <c r="AA7" s="44"/>
      <c r="AB7" s="44"/>
      <c r="AC7" s="44"/>
      <c r="AD7" s="44"/>
      <c r="AE7" s="44"/>
    </row>
    <row r="8" spans="1:31" x14ac:dyDescent="0.2">
      <c r="A8" s="278" t="s">
        <v>377</v>
      </c>
      <c r="C8" s="131">
        <f>COUNT(F75,G75,I75,K75)</f>
        <v>3</v>
      </c>
      <c r="F8" s="181" t="str">
        <f>A3</f>
        <v>Job_ID_01</v>
      </c>
      <c r="G8" s="182"/>
      <c r="H8" s="182"/>
      <c r="I8" s="182"/>
      <c r="J8" s="182"/>
      <c r="K8" s="182"/>
      <c r="L8" s="183"/>
      <c r="M8" s="313" t="str">
        <f>A3</f>
        <v>Job_ID_01</v>
      </c>
      <c r="N8" s="314"/>
      <c r="P8" s="317" t="s">
        <v>26</v>
      </c>
      <c r="Q8" s="318"/>
      <c r="S8" s="315"/>
      <c r="T8" s="316"/>
      <c r="X8" s="44"/>
      <c r="Y8" s="44"/>
      <c r="Z8" s="44"/>
      <c r="AA8" s="44"/>
      <c r="AB8" s="44"/>
      <c r="AC8" s="44"/>
      <c r="AD8" s="44"/>
      <c r="AE8" s="44"/>
    </row>
    <row r="9" spans="1:31" x14ac:dyDescent="0.2">
      <c r="A9" s="131" t="s">
        <v>12</v>
      </c>
      <c r="B9" s="131" t="s">
        <v>13</v>
      </c>
      <c r="C9" s="135" t="s">
        <v>240</v>
      </c>
      <c r="D9" s="135" t="s">
        <v>240</v>
      </c>
      <c r="E9" s="135" t="s">
        <v>84</v>
      </c>
      <c r="F9" s="131" t="s">
        <v>24</v>
      </c>
      <c r="G9" s="131" t="s">
        <v>24</v>
      </c>
      <c r="H9" s="131" t="s">
        <v>8</v>
      </c>
      <c r="I9" s="131" t="s">
        <v>24</v>
      </c>
      <c r="J9" s="131" t="s">
        <v>8</v>
      </c>
      <c r="K9" s="131" t="s">
        <v>24</v>
      </c>
      <c r="L9" s="131" t="s">
        <v>8</v>
      </c>
      <c r="M9" s="135" t="s">
        <v>30</v>
      </c>
      <c r="N9" s="135" t="s">
        <v>92</v>
      </c>
      <c r="P9" s="131" t="s">
        <v>14</v>
      </c>
      <c r="Q9" s="184" t="s">
        <v>8</v>
      </c>
      <c r="S9" s="131" t="s">
        <v>14</v>
      </c>
      <c r="T9" s="135" t="s">
        <v>17</v>
      </c>
      <c r="X9" s="44"/>
      <c r="Y9" s="44"/>
      <c r="Z9" s="44"/>
      <c r="AA9" s="44"/>
      <c r="AB9" s="44"/>
      <c r="AC9" s="44"/>
      <c r="AD9" s="44"/>
      <c r="AE9" s="44"/>
    </row>
    <row r="10" spans="1:31" x14ac:dyDescent="0.2">
      <c r="A10" s="132"/>
      <c r="B10" s="132"/>
      <c r="C10" s="139" t="s">
        <v>241</v>
      </c>
      <c r="D10" s="139" t="s">
        <v>242</v>
      </c>
      <c r="E10" s="139" t="s">
        <v>83</v>
      </c>
      <c r="F10" s="29">
        <v>1</v>
      </c>
      <c r="G10" s="29">
        <v>2</v>
      </c>
      <c r="H10" s="132" t="str">
        <f>G10&amp;" - "&amp;F10</f>
        <v>2 - 1</v>
      </c>
      <c r="I10" s="29">
        <v>3</v>
      </c>
      <c r="J10" s="132" t="str">
        <f>I10&amp;" - "&amp;F10</f>
        <v>3 - 1</v>
      </c>
      <c r="K10" s="46">
        <v>4</v>
      </c>
      <c r="L10" s="132" t="str">
        <f>K10&amp;" - "&amp;F10</f>
        <v>4 - 1</v>
      </c>
      <c r="M10" s="139" t="s">
        <v>243</v>
      </c>
      <c r="N10" s="132"/>
      <c r="P10" s="132"/>
      <c r="Q10" s="185" t="s">
        <v>25</v>
      </c>
      <c r="S10" s="132"/>
      <c r="T10" s="139" t="s">
        <v>289</v>
      </c>
      <c r="X10" s="44"/>
      <c r="Y10" s="44"/>
      <c r="Z10" s="44"/>
      <c r="AA10" s="44"/>
      <c r="AB10" s="44"/>
      <c r="AC10" s="44"/>
      <c r="AD10" s="44"/>
      <c r="AE10" s="44"/>
    </row>
    <row r="11" spans="1:31" x14ac:dyDescent="0.2">
      <c r="A11" s="138"/>
      <c r="B11" s="138"/>
      <c r="C11" s="138"/>
      <c r="D11" s="138"/>
      <c r="E11" s="138" t="s">
        <v>16</v>
      </c>
      <c r="F11" s="138" t="s">
        <v>2</v>
      </c>
      <c r="G11" s="138" t="s">
        <v>2</v>
      </c>
      <c r="H11" s="138" t="s">
        <v>15</v>
      </c>
      <c r="I11" s="138" t="s">
        <v>2</v>
      </c>
      <c r="J11" s="138" t="s">
        <v>15</v>
      </c>
      <c r="K11" s="138" t="s">
        <v>2</v>
      </c>
      <c r="L11" s="138" t="s">
        <v>15</v>
      </c>
      <c r="M11" s="137" t="s">
        <v>2</v>
      </c>
      <c r="N11" s="137" t="s">
        <v>15</v>
      </c>
      <c r="P11" s="138" t="s">
        <v>0</v>
      </c>
      <c r="Q11" s="186" t="s">
        <v>15</v>
      </c>
      <c r="S11" s="138" t="s">
        <v>0</v>
      </c>
      <c r="T11" s="137" t="s">
        <v>15</v>
      </c>
      <c r="X11" s="44"/>
      <c r="Y11" s="44"/>
      <c r="Z11" s="44"/>
      <c r="AA11" s="44"/>
      <c r="AB11" s="44"/>
      <c r="AC11" s="44"/>
      <c r="AD11" s="44"/>
      <c r="AE11" s="44"/>
    </row>
    <row r="12" spans="1:31" x14ac:dyDescent="0.2">
      <c r="A12" s="187" t="s">
        <v>31</v>
      </c>
      <c r="B12" s="187">
        <v>40</v>
      </c>
      <c r="C12" s="188">
        <v>0.57492783060838692</v>
      </c>
      <c r="D12" s="188"/>
      <c r="E12" s="189">
        <v>17.956</v>
      </c>
      <c r="F12" s="26">
        <v>47.843838554534642</v>
      </c>
      <c r="G12" s="26">
        <v>47.688900374435526</v>
      </c>
      <c r="H12" s="134">
        <f>IF(G12="","",(G12-$F12)/$F12*100)</f>
        <v>-0.323841449139809</v>
      </c>
      <c r="I12" s="26">
        <v>47.547868664153405</v>
      </c>
      <c r="J12" s="134">
        <f>IF(I12="","",(I12-$F12)/$F12*100)</f>
        <v>-0.61861652267695111</v>
      </c>
      <c r="K12" s="26"/>
      <c r="L12" s="134" t="str">
        <f>IF(K12="","",(K12-$F12)/$F12*100)</f>
        <v/>
      </c>
      <c r="M12" s="190">
        <f t="shared" ref="M12:M50" si="0">IF(COUNT(F12,G12,I12,K12)=0,"",AVERAGE(F12,G12,I12,K12))</f>
        <v>47.693535864374525</v>
      </c>
      <c r="N12" s="130">
        <f t="shared" ref="N12:N50" si="1">IF(COUNT(F12,G12,I12,K12)=0,"",STDEV(F12,G12,I12,K12)/M12*100)</f>
        <v>0.31039717099619979</v>
      </c>
      <c r="P12" s="26"/>
      <c r="Q12" s="133" t="str">
        <f>IF(P12="","",(M12-P12)/P12*100)</f>
        <v/>
      </c>
      <c r="S12" s="26"/>
      <c r="T12" s="130" t="str">
        <f>IF(S12="","",(S12-M12)/M12*100)</f>
        <v/>
      </c>
      <c r="V12" s="201"/>
      <c r="X12" s="44"/>
      <c r="Y12" s="44"/>
      <c r="Z12" s="44"/>
      <c r="AA12" s="44"/>
      <c r="AB12" s="44"/>
      <c r="AC12" s="44"/>
      <c r="AD12" s="44"/>
      <c r="AE12" s="44"/>
    </row>
    <row r="13" spans="1:31" x14ac:dyDescent="0.2">
      <c r="A13" s="187" t="s">
        <v>33</v>
      </c>
      <c r="B13" s="187">
        <v>50</v>
      </c>
      <c r="C13" s="188">
        <v>0.68410318438743511</v>
      </c>
      <c r="D13" s="188"/>
      <c r="E13" s="189">
        <v>19.5</v>
      </c>
      <c r="F13" s="26">
        <v>47.328049506933851</v>
      </c>
      <c r="G13" s="26">
        <v>47.273482007609147</v>
      </c>
      <c r="H13" s="134">
        <f t="shared" ref="H13:H73" si="2">IF(G13="","",(G13-$F13)/$F13*100)</f>
        <v>-0.11529631982131495</v>
      </c>
      <c r="I13" s="26">
        <v>47.347051451873448</v>
      </c>
      <c r="J13" s="134">
        <f t="shared" ref="J13:J73" si="3">IF(I13="","",(I13-$F13)/$F13*100)</f>
        <v>4.0149435984705578E-2</v>
      </c>
      <c r="K13" s="26"/>
      <c r="L13" s="134" t="str">
        <f t="shared" ref="L13:L73" si="4">IF(K13="","",(K13-$F13)/$F13*100)</f>
        <v/>
      </c>
      <c r="M13" s="190">
        <f t="shared" si="0"/>
        <v>47.316194322138813</v>
      </c>
      <c r="N13" s="130">
        <f t="shared" si="1"/>
        <v>8.0713672413285018E-2</v>
      </c>
      <c r="P13" s="26"/>
      <c r="Q13" s="133" t="str">
        <f t="shared" ref="Q13:Q73" si="5">IF(P13="","",(M13-P13)/P13*100)</f>
        <v/>
      </c>
      <c r="S13" s="26"/>
      <c r="T13" s="130" t="str">
        <f t="shared" ref="T13:T73" si="6">IF(S13="","",(S13-M13)/M13*100)</f>
        <v/>
      </c>
      <c r="V13" s="201"/>
      <c r="X13" s="44"/>
      <c r="Y13" s="44"/>
      <c r="Z13" s="44"/>
      <c r="AA13" s="44"/>
      <c r="AB13" s="44"/>
      <c r="AC13" s="44"/>
      <c r="AD13" s="44"/>
      <c r="AE13" s="44"/>
    </row>
    <row r="14" spans="1:31" x14ac:dyDescent="0.2">
      <c r="A14" s="187" t="s">
        <v>36</v>
      </c>
      <c r="B14" s="187">
        <v>60</v>
      </c>
      <c r="C14" s="188">
        <v>0.78881379165109278</v>
      </c>
      <c r="D14" s="188"/>
      <c r="E14" s="189">
        <v>20.856999999999999</v>
      </c>
      <c r="F14" s="26">
        <v>46.954372465615627</v>
      </c>
      <c r="G14" s="26">
        <v>46.651923935841047</v>
      </c>
      <c r="H14" s="134">
        <f t="shared" si="2"/>
        <v>-0.64413283341409977</v>
      </c>
      <c r="I14" s="26">
        <v>46.833518656943689</v>
      </c>
      <c r="J14" s="134">
        <f t="shared" si="3"/>
        <v>-0.25738563274472265</v>
      </c>
      <c r="K14" s="26"/>
      <c r="L14" s="134" t="str">
        <f t="shared" si="4"/>
        <v/>
      </c>
      <c r="M14" s="190">
        <f t="shared" si="0"/>
        <v>46.813271686133454</v>
      </c>
      <c r="N14" s="130">
        <f t="shared" si="1"/>
        <v>0.32520141868132418</v>
      </c>
      <c r="P14" s="26"/>
      <c r="Q14" s="133" t="str">
        <f t="shared" si="5"/>
        <v/>
      </c>
      <c r="S14" s="26"/>
      <c r="T14" s="130" t="str">
        <f t="shared" si="6"/>
        <v/>
      </c>
      <c r="V14" s="201"/>
      <c r="X14" s="44"/>
      <c r="Y14" s="44"/>
      <c r="Z14" s="44"/>
      <c r="AA14" s="44"/>
      <c r="AB14" s="44"/>
      <c r="AC14" s="44"/>
      <c r="AD14" s="44"/>
      <c r="AE14" s="44"/>
    </row>
    <row r="15" spans="1:31" x14ac:dyDescent="0.2">
      <c r="A15" s="187" t="s">
        <v>38</v>
      </c>
      <c r="B15" s="187">
        <v>70</v>
      </c>
      <c r="C15" s="188">
        <v>0.89521104032277998</v>
      </c>
      <c r="D15" s="188"/>
      <c r="E15" s="189">
        <v>22.146999999999998</v>
      </c>
      <c r="F15" s="26">
        <v>46.647879463000812</v>
      </c>
      <c r="G15" s="26">
        <v>46.554101111153123</v>
      </c>
      <c r="H15" s="134">
        <f t="shared" si="2"/>
        <v>-0.20103454417916311</v>
      </c>
      <c r="I15" s="26">
        <v>46.551024364456218</v>
      </c>
      <c r="J15" s="134">
        <f t="shared" si="3"/>
        <v>-0.2076302281251946</v>
      </c>
      <c r="K15" s="26"/>
      <c r="L15" s="134" t="str">
        <f t="shared" si="4"/>
        <v/>
      </c>
      <c r="M15" s="190">
        <f t="shared" si="0"/>
        <v>46.58433497953672</v>
      </c>
      <c r="N15" s="130">
        <f t="shared" si="1"/>
        <v>0.11817842860713516</v>
      </c>
      <c r="P15" s="26"/>
      <c r="Q15" s="133" t="str">
        <f t="shared" si="5"/>
        <v/>
      </c>
      <c r="S15" s="26"/>
      <c r="T15" s="130" t="str">
        <f t="shared" si="6"/>
        <v/>
      </c>
      <c r="V15" s="201"/>
      <c r="X15" s="44"/>
      <c r="Y15" s="44"/>
      <c r="Z15" s="44"/>
      <c r="AA15" s="44"/>
      <c r="AB15" s="44"/>
      <c r="AC15" s="44"/>
      <c r="AD15" s="44"/>
      <c r="AE15" s="44"/>
    </row>
    <row r="16" spans="1:31" x14ac:dyDescent="0.2">
      <c r="A16" s="187" t="s">
        <v>42</v>
      </c>
      <c r="B16" s="187">
        <v>80</v>
      </c>
      <c r="C16" s="188">
        <v>1.0168942180395382</v>
      </c>
      <c r="D16" s="188"/>
      <c r="E16" s="189">
        <v>23.48</v>
      </c>
      <c r="F16" s="26">
        <v>46.415410521846567</v>
      </c>
      <c r="G16" s="26">
        <v>46.397378648964697</v>
      </c>
      <c r="H16" s="134">
        <f t="shared" si="2"/>
        <v>-3.8848892381083903E-2</v>
      </c>
      <c r="I16" s="26">
        <v>46.255410032855551</v>
      </c>
      <c r="J16" s="134">
        <f t="shared" si="3"/>
        <v>-0.34471415245957698</v>
      </c>
      <c r="K16" s="26"/>
      <c r="L16" s="134" t="str">
        <f t="shared" si="4"/>
        <v/>
      </c>
      <c r="M16" s="190">
        <f t="shared" si="0"/>
        <v>46.356066401222279</v>
      </c>
      <c r="N16" s="130">
        <f t="shared" si="1"/>
        <v>0.18904965324503065</v>
      </c>
      <c r="P16" s="26"/>
      <c r="Q16" s="133" t="str">
        <f t="shared" si="5"/>
        <v/>
      </c>
      <c r="S16" s="26"/>
      <c r="T16" s="130" t="str">
        <f t="shared" si="6"/>
        <v/>
      </c>
      <c r="V16" s="201"/>
      <c r="X16" s="44"/>
      <c r="Y16" s="44"/>
      <c r="Z16" s="44"/>
      <c r="AA16" s="44"/>
      <c r="AB16" s="44"/>
      <c r="AC16" s="44"/>
      <c r="AD16" s="44"/>
      <c r="AE16" s="44"/>
    </row>
    <row r="17" spans="1:31" x14ac:dyDescent="0.2">
      <c r="A17" s="187" t="s">
        <v>44</v>
      </c>
      <c r="B17" s="187">
        <v>90</v>
      </c>
      <c r="C17" s="188">
        <v>1.1524525686905205</v>
      </c>
      <c r="D17" s="188"/>
      <c r="E17" s="189">
        <v>24.878</v>
      </c>
      <c r="F17" s="26">
        <v>46.233464812127941</v>
      </c>
      <c r="G17" s="26">
        <v>46.144471889462899</v>
      </c>
      <c r="H17" s="134">
        <f t="shared" si="2"/>
        <v>-0.19248594719575884</v>
      </c>
      <c r="I17" s="26">
        <v>46.096093849972945</v>
      </c>
      <c r="J17" s="134">
        <f t="shared" si="3"/>
        <v>-0.297124523790744</v>
      </c>
      <c r="K17" s="26"/>
      <c r="L17" s="134" t="str">
        <f t="shared" si="4"/>
        <v/>
      </c>
      <c r="M17" s="190">
        <f t="shared" si="0"/>
        <v>46.158010183854593</v>
      </c>
      <c r="N17" s="130">
        <f t="shared" si="1"/>
        <v>0.15095749014195234</v>
      </c>
      <c r="P17" s="26"/>
      <c r="Q17" s="133" t="str">
        <f t="shared" si="5"/>
        <v/>
      </c>
      <c r="S17" s="26"/>
      <c r="T17" s="130" t="str">
        <f t="shared" si="6"/>
        <v/>
      </c>
      <c r="V17" s="201"/>
      <c r="X17" s="44"/>
      <c r="Y17" s="44"/>
      <c r="Z17" s="44"/>
      <c r="AA17" s="44"/>
      <c r="AB17" s="44"/>
      <c r="AC17" s="44"/>
      <c r="AD17" s="44"/>
      <c r="AE17" s="44"/>
    </row>
    <row r="18" spans="1:31" x14ac:dyDescent="0.2">
      <c r="A18" s="187" t="s">
        <v>46</v>
      </c>
      <c r="B18" s="187">
        <v>100</v>
      </c>
      <c r="C18" s="188">
        <v>1.3031305701207649</v>
      </c>
      <c r="D18" s="188"/>
      <c r="E18" s="189">
        <v>26.34</v>
      </c>
      <c r="F18" s="26">
        <v>46.011489628878685</v>
      </c>
      <c r="G18" s="26">
        <v>45.926815339804705</v>
      </c>
      <c r="H18" s="134">
        <f t="shared" si="2"/>
        <v>-0.18402857581214976</v>
      </c>
      <c r="I18" s="26">
        <v>45.986237701222834</v>
      </c>
      <c r="J18" s="134">
        <f t="shared" si="3"/>
        <v>-5.4881786830919002E-2</v>
      </c>
      <c r="K18" s="26"/>
      <c r="L18" s="134" t="str">
        <f t="shared" si="4"/>
        <v/>
      </c>
      <c r="M18" s="190">
        <f t="shared" si="0"/>
        <v>45.974847556635403</v>
      </c>
      <c r="N18" s="130">
        <f t="shared" si="1"/>
        <v>9.4554063168838617E-2</v>
      </c>
      <c r="P18" s="26"/>
      <c r="Q18" s="133" t="str">
        <f t="shared" si="5"/>
        <v/>
      </c>
      <c r="S18" s="26"/>
      <c r="T18" s="130" t="str">
        <f t="shared" si="6"/>
        <v/>
      </c>
      <c r="V18" s="201"/>
      <c r="X18" s="44"/>
      <c r="Y18" s="44"/>
      <c r="Z18" s="44"/>
      <c r="AA18" s="44"/>
      <c r="AB18" s="44"/>
      <c r="AC18" s="44"/>
      <c r="AD18" s="44"/>
      <c r="AE18" s="44"/>
    </row>
    <row r="19" spans="1:31" x14ac:dyDescent="0.2">
      <c r="A19" s="187" t="s">
        <v>291</v>
      </c>
      <c r="B19" s="187">
        <v>40</v>
      </c>
      <c r="C19" s="203">
        <v>0.9258920135550176</v>
      </c>
      <c r="D19" s="188"/>
      <c r="E19" s="189">
        <v>20.93</v>
      </c>
      <c r="F19" s="26">
        <v>46.222371235681578</v>
      </c>
      <c r="G19" s="26">
        <v>46.116083371684184</v>
      </c>
      <c r="H19" s="134">
        <f t="shared" si="2"/>
        <v>-0.2299489644428824</v>
      </c>
      <c r="I19" s="26">
        <v>46.271486858530892</v>
      </c>
      <c r="J19" s="134">
        <f t="shared" si="3"/>
        <v>0.10625941840776633</v>
      </c>
      <c r="K19" s="26"/>
      <c r="L19" s="134" t="str">
        <f t="shared" si="4"/>
        <v/>
      </c>
      <c r="M19" s="190">
        <f t="shared" si="0"/>
        <v>46.203313821965558</v>
      </c>
      <c r="N19" s="130">
        <f t="shared" si="1"/>
        <v>0.17192531274437639</v>
      </c>
      <c r="P19" s="26"/>
      <c r="Q19" s="133" t="str">
        <f t="shared" si="5"/>
        <v/>
      </c>
      <c r="S19" s="26"/>
      <c r="T19" s="130" t="str">
        <f t="shared" si="6"/>
        <v/>
      </c>
      <c r="V19" s="201"/>
      <c r="X19" s="44"/>
      <c r="Y19" s="44"/>
      <c r="Z19" s="44"/>
      <c r="AA19" s="44"/>
      <c r="AB19" s="44"/>
      <c r="AC19" s="44"/>
      <c r="AD19" s="44"/>
      <c r="AE19" s="44"/>
    </row>
    <row r="20" spans="1:31" x14ac:dyDescent="0.2">
      <c r="A20" s="187" t="s">
        <v>292</v>
      </c>
      <c r="B20" s="187">
        <v>50</v>
      </c>
      <c r="C20" s="203">
        <v>1.1174180366661788</v>
      </c>
      <c r="D20" s="188"/>
      <c r="E20" s="189">
        <v>22.646000000000001</v>
      </c>
      <c r="F20" s="26">
        <v>46.035966377622657</v>
      </c>
      <c r="G20" s="26">
        <v>45.802732688041118</v>
      </c>
      <c r="H20" s="134">
        <f t="shared" si="2"/>
        <v>-0.50663363438137776</v>
      </c>
      <c r="I20" s="26">
        <v>45.905730313669459</v>
      </c>
      <c r="J20" s="134">
        <f t="shared" si="3"/>
        <v>-0.28290068440162897</v>
      </c>
      <c r="K20" s="26"/>
      <c r="L20" s="134" t="str">
        <f t="shared" si="4"/>
        <v/>
      </c>
      <c r="M20" s="190">
        <f t="shared" si="0"/>
        <v>45.914809793111083</v>
      </c>
      <c r="N20" s="130">
        <f t="shared" si="1"/>
        <v>0.25456194594017334</v>
      </c>
      <c r="P20" s="26"/>
      <c r="Q20" s="133" t="str">
        <f t="shared" si="5"/>
        <v/>
      </c>
      <c r="S20" s="26"/>
      <c r="T20" s="130" t="str">
        <f t="shared" si="6"/>
        <v/>
      </c>
      <c r="V20" s="201"/>
      <c r="X20" s="44"/>
      <c r="Y20" s="44"/>
      <c r="Z20" s="44"/>
      <c r="AA20" s="44"/>
      <c r="AB20" s="44"/>
      <c r="AC20" s="44"/>
      <c r="AD20" s="44"/>
      <c r="AE20" s="44"/>
    </row>
    <row r="21" spans="1:31" x14ac:dyDescent="0.2">
      <c r="A21" s="187" t="s">
        <v>293</v>
      </c>
      <c r="B21" s="187">
        <v>60</v>
      </c>
      <c r="C21" s="203">
        <v>1.2886011015031504</v>
      </c>
      <c r="D21" s="188"/>
      <c r="E21" s="189">
        <v>24.094999999999999</v>
      </c>
      <c r="F21" s="26">
        <v>45.876097835972821</v>
      </c>
      <c r="G21" s="26">
        <v>45.842226021566937</v>
      </c>
      <c r="H21" s="134">
        <f t="shared" si="2"/>
        <v>-7.3833250872798933E-2</v>
      </c>
      <c r="I21" s="26">
        <v>45.65794754980336</v>
      </c>
      <c r="J21" s="134">
        <f t="shared" si="3"/>
        <v>-0.47552057925555058</v>
      </c>
      <c r="K21" s="26"/>
      <c r="L21" s="134" t="str">
        <f t="shared" si="4"/>
        <v/>
      </c>
      <c r="M21" s="190">
        <f t="shared" si="0"/>
        <v>45.792090469114378</v>
      </c>
      <c r="N21" s="130">
        <f t="shared" si="1"/>
        <v>0.25637435864401875</v>
      </c>
      <c r="P21" s="26"/>
      <c r="Q21" s="133" t="str">
        <f t="shared" si="5"/>
        <v/>
      </c>
      <c r="S21" s="26"/>
      <c r="T21" s="130" t="str">
        <f t="shared" si="6"/>
        <v/>
      </c>
      <c r="V21" s="201"/>
      <c r="X21" s="44"/>
      <c r="Y21" s="44"/>
      <c r="Z21" s="44"/>
      <c r="AA21" s="44"/>
      <c r="AB21" s="44"/>
      <c r="AC21" s="44"/>
      <c r="AD21" s="44"/>
      <c r="AE21" s="44"/>
    </row>
    <row r="22" spans="1:31" x14ac:dyDescent="0.2">
      <c r="A22" s="187" t="s">
        <v>294</v>
      </c>
      <c r="B22" s="187">
        <v>70</v>
      </c>
      <c r="C22" s="203">
        <v>1.4584444510077763</v>
      </c>
      <c r="D22" s="188"/>
      <c r="E22" s="189">
        <v>25.442</v>
      </c>
      <c r="F22" s="26">
        <v>45.673666489919093</v>
      </c>
      <c r="G22" s="26">
        <v>45.616223009264665</v>
      </c>
      <c r="H22" s="134">
        <f t="shared" si="2"/>
        <v>-0.1257693657396789</v>
      </c>
      <c r="I22" s="26">
        <v>45.587860190916636</v>
      </c>
      <c r="J22" s="134">
        <f t="shared" si="3"/>
        <v>-0.18786820852535502</v>
      </c>
      <c r="K22" s="26"/>
      <c r="L22" s="134" t="str">
        <f t="shared" si="4"/>
        <v/>
      </c>
      <c r="M22" s="190">
        <f t="shared" si="0"/>
        <v>45.625916563366793</v>
      </c>
      <c r="N22" s="130">
        <f t="shared" si="1"/>
        <v>9.581560313192769E-2</v>
      </c>
      <c r="P22" s="26"/>
      <c r="Q22" s="133" t="str">
        <f t="shared" si="5"/>
        <v/>
      </c>
      <c r="S22" s="26"/>
      <c r="T22" s="130" t="str">
        <f t="shared" si="6"/>
        <v/>
      </c>
      <c r="V22" s="201"/>
      <c r="X22" s="44"/>
      <c r="Y22" s="44"/>
      <c r="Z22" s="44"/>
      <c r="AA22" s="44"/>
      <c r="AB22" s="44"/>
      <c r="AC22" s="44"/>
      <c r="AD22" s="44"/>
      <c r="AE22" s="44"/>
    </row>
    <row r="23" spans="1:31" x14ac:dyDescent="0.2">
      <c r="A23" s="187" t="s">
        <v>295</v>
      </c>
      <c r="B23" s="187">
        <v>80</v>
      </c>
      <c r="C23" s="203">
        <v>1.6431678445072386</v>
      </c>
      <c r="D23" s="188"/>
      <c r="E23" s="189">
        <v>26.841999999999999</v>
      </c>
      <c r="F23" s="26">
        <v>45.5885729493789</v>
      </c>
      <c r="G23" s="26">
        <v>45.460096365444052</v>
      </c>
      <c r="H23" s="134">
        <f t="shared" si="2"/>
        <v>-0.28181751615148642</v>
      </c>
      <c r="I23" s="26">
        <v>45.502066687447794</v>
      </c>
      <c r="J23" s="134">
        <f t="shared" si="3"/>
        <v>-0.18975426589281882</v>
      </c>
      <c r="K23" s="26"/>
      <c r="L23" s="134" t="str">
        <f t="shared" si="4"/>
        <v/>
      </c>
      <c r="M23" s="190">
        <f t="shared" si="0"/>
        <v>45.516912000756918</v>
      </c>
      <c r="N23" s="130">
        <f t="shared" si="1"/>
        <v>0.14392931445657767</v>
      </c>
      <c r="P23" s="26"/>
      <c r="Q23" s="133" t="str">
        <f t="shared" si="5"/>
        <v/>
      </c>
      <c r="S23" s="26"/>
      <c r="T23" s="130" t="str">
        <f t="shared" si="6"/>
        <v/>
      </c>
      <c r="V23" s="201"/>
      <c r="X23" s="44"/>
      <c r="Y23" s="44"/>
      <c r="Z23" s="44"/>
      <c r="AA23" s="44"/>
      <c r="AB23" s="44"/>
      <c r="AC23" s="44"/>
      <c r="AD23" s="44"/>
      <c r="AE23" s="44"/>
    </row>
    <row r="24" spans="1:31" x14ac:dyDescent="0.2">
      <c r="A24" s="187" t="s">
        <v>296</v>
      </c>
      <c r="B24" s="187">
        <v>90</v>
      </c>
      <c r="C24" s="203">
        <v>1.8393319677543469</v>
      </c>
      <c r="D24" s="188"/>
      <c r="E24" s="189">
        <v>28.32</v>
      </c>
      <c r="F24" s="26">
        <v>45.438181510889599</v>
      </c>
      <c r="G24" s="26">
        <v>45.329158770161669</v>
      </c>
      <c r="H24" s="134">
        <f t="shared" si="2"/>
        <v>-0.2399364083305181</v>
      </c>
      <c r="I24" s="26">
        <v>45.370497708225983</v>
      </c>
      <c r="J24" s="134">
        <f t="shared" si="3"/>
        <v>-0.14895799174400332</v>
      </c>
      <c r="K24" s="26"/>
      <c r="L24" s="134" t="str">
        <f t="shared" si="4"/>
        <v/>
      </c>
      <c r="M24" s="190">
        <f t="shared" si="0"/>
        <v>45.379279329759093</v>
      </c>
      <c r="N24" s="130">
        <f t="shared" si="1"/>
        <v>0.12128734643142701</v>
      </c>
      <c r="P24" s="26"/>
      <c r="Q24" s="133" t="str">
        <f t="shared" si="5"/>
        <v/>
      </c>
      <c r="S24" s="26"/>
      <c r="T24" s="130" t="str">
        <f t="shared" si="6"/>
        <v/>
      </c>
      <c r="V24" s="201"/>
      <c r="X24" s="44"/>
      <c r="Y24" s="44"/>
      <c r="Z24" s="44"/>
      <c r="AA24" s="44"/>
      <c r="AB24" s="44"/>
      <c r="AC24" s="44"/>
      <c r="AD24" s="44"/>
      <c r="AE24" s="44"/>
    </row>
    <row r="25" spans="1:31" x14ac:dyDescent="0.2">
      <c r="A25" s="187" t="s">
        <v>297</v>
      </c>
      <c r="B25" s="187">
        <v>100</v>
      </c>
      <c r="C25" s="203">
        <v>2.0480553989194346</v>
      </c>
      <c r="D25" s="188"/>
      <c r="E25" s="189">
        <v>29.867000000000001</v>
      </c>
      <c r="F25" s="26">
        <v>45.344164322939967</v>
      </c>
      <c r="G25" s="26">
        <v>45.285608599942783</v>
      </c>
      <c r="H25" s="134">
        <f t="shared" si="2"/>
        <v>-0.12913618294991983</v>
      </c>
      <c r="I25" s="26">
        <v>45.391276952410308</v>
      </c>
      <c r="J25" s="134">
        <f t="shared" si="3"/>
        <v>0.10390009425425965</v>
      </c>
      <c r="K25" s="26"/>
      <c r="L25" s="134" t="str">
        <f t="shared" si="4"/>
        <v/>
      </c>
      <c r="M25" s="190">
        <f t="shared" si="0"/>
        <v>45.340349958431013</v>
      </c>
      <c r="N25" s="130">
        <f t="shared" si="1"/>
        <v>0.11675547797420903</v>
      </c>
      <c r="P25" s="26"/>
      <c r="Q25" s="133" t="str">
        <f t="shared" si="5"/>
        <v/>
      </c>
      <c r="S25" s="26"/>
      <c r="T25" s="130" t="str">
        <f t="shared" si="6"/>
        <v/>
      </c>
      <c r="V25" s="201"/>
      <c r="X25" s="44"/>
      <c r="Y25" s="44"/>
      <c r="Z25" s="44"/>
      <c r="AA25" s="44"/>
      <c r="AB25" s="44"/>
      <c r="AC25" s="44"/>
      <c r="AD25" s="44"/>
      <c r="AE25" s="44"/>
    </row>
    <row r="26" spans="1:31" x14ac:dyDescent="0.2">
      <c r="A26" s="187" t="s">
        <v>32</v>
      </c>
      <c r="B26" s="187">
        <v>40</v>
      </c>
      <c r="C26" s="188">
        <v>1.8978864505991633</v>
      </c>
      <c r="D26" s="188">
        <v>6.272293453927999E-2</v>
      </c>
      <c r="E26" s="189">
        <v>27.068000000000001</v>
      </c>
      <c r="F26" s="26">
        <v>45.074294647472584</v>
      </c>
      <c r="G26" s="26">
        <v>44.985508587120606</v>
      </c>
      <c r="H26" s="134">
        <f t="shared" si="2"/>
        <v>-0.19697714860848467</v>
      </c>
      <c r="I26" s="26">
        <v>44.936972237655297</v>
      </c>
      <c r="J26" s="134">
        <f t="shared" si="3"/>
        <v>-0.3046579228611111</v>
      </c>
      <c r="K26" s="26"/>
      <c r="L26" s="134" t="str">
        <f t="shared" si="4"/>
        <v/>
      </c>
      <c r="M26" s="190">
        <f t="shared" si="0"/>
        <v>44.99892515741616</v>
      </c>
      <c r="N26" s="130">
        <f t="shared" si="1"/>
        <v>0.1547534238573319</v>
      </c>
      <c r="P26" s="26"/>
      <c r="Q26" s="133" t="str">
        <f t="shared" si="5"/>
        <v/>
      </c>
      <c r="S26" s="26"/>
      <c r="T26" s="130" t="str">
        <f t="shared" si="6"/>
        <v/>
      </c>
      <c r="V26" s="201"/>
      <c r="X26" s="44"/>
      <c r="Y26" s="44"/>
      <c r="Z26" s="44"/>
      <c r="AA26" s="44"/>
      <c r="AB26" s="44"/>
      <c r="AC26" s="44"/>
      <c r="AD26" s="44"/>
      <c r="AE26" s="44"/>
    </row>
    <row r="27" spans="1:31" x14ac:dyDescent="0.2">
      <c r="A27" s="191" t="s">
        <v>34</v>
      </c>
      <c r="B27" s="191">
        <v>50</v>
      </c>
      <c r="C27" s="192">
        <v>2.3884184190002435</v>
      </c>
      <c r="D27" s="192">
        <v>7.9990307372596242E-2</v>
      </c>
      <c r="E27" s="193">
        <v>29.934000000000001</v>
      </c>
      <c r="F27" s="123">
        <v>45.078319049835819</v>
      </c>
      <c r="G27" s="123">
        <v>44.966188308022375</v>
      </c>
      <c r="H27" s="133">
        <f t="shared" si="2"/>
        <v>-0.24874650203677759</v>
      </c>
      <c r="I27" s="123">
        <v>45.020716014240925</v>
      </c>
      <c r="J27" s="133">
        <f t="shared" si="3"/>
        <v>-0.12778434690790502</v>
      </c>
      <c r="K27" s="123"/>
      <c r="L27" s="133" t="str">
        <f t="shared" si="4"/>
        <v/>
      </c>
      <c r="M27" s="190">
        <f t="shared" si="0"/>
        <v>45.021741124033042</v>
      </c>
      <c r="N27" s="169">
        <f t="shared" si="1"/>
        <v>0.12454515930280188</v>
      </c>
      <c r="O27" s="43"/>
      <c r="P27" s="123"/>
      <c r="Q27" s="133" t="str">
        <f t="shared" si="5"/>
        <v/>
      </c>
      <c r="R27" s="43"/>
      <c r="S27" s="123"/>
      <c r="T27" s="169" t="str">
        <f t="shared" si="6"/>
        <v/>
      </c>
      <c r="V27" s="201"/>
      <c r="X27" s="44"/>
      <c r="Y27" s="44"/>
      <c r="Z27" s="44"/>
      <c r="AA27" s="44"/>
      <c r="AB27" s="44"/>
      <c r="AC27" s="44"/>
      <c r="AD27" s="44"/>
      <c r="AE27" s="44"/>
    </row>
    <row r="28" spans="1:31" x14ac:dyDescent="0.2">
      <c r="A28" s="187" t="s">
        <v>37</v>
      </c>
      <c r="B28" s="187">
        <v>60</v>
      </c>
      <c r="C28" s="188">
        <v>2.8058625894538358</v>
      </c>
      <c r="D28" s="188">
        <v>9.5799660048102947E-2</v>
      </c>
      <c r="E28" s="189">
        <v>32.250999999999998</v>
      </c>
      <c r="F28" s="26">
        <v>45.0946064186626</v>
      </c>
      <c r="G28" s="26">
        <v>45.019794556032608</v>
      </c>
      <c r="H28" s="134">
        <f t="shared" si="2"/>
        <v>-0.16589980170895008</v>
      </c>
      <c r="I28" s="26">
        <v>45.029470584435558</v>
      </c>
      <c r="J28" s="134">
        <f t="shared" si="3"/>
        <v>-0.14444262717877046</v>
      </c>
      <c r="K28" s="26"/>
      <c r="L28" s="134" t="str">
        <f t="shared" si="4"/>
        <v/>
      </c>
      <c r="M28" s="190">
        <f t="shared" si="0"/>
        <v>45.047957186376919</v>
      </c>
      <c r="N28" s="130">
        <f t="shared" si="1"/>
        <v>9.03216896681618E-2</v>
      </c>
      <c r="P28" s="26"/>
      <c r="Q28" s="133" t="str">
        <f t="shared" si="5"/>
        <v/>
      </c>
      <c r="S28" s="26"/>
      <c r="T28" s="130" t="str">
        <f t="shared" si="6"/>
        <v/>
      </c>
      <c r="V28" s="201"/>
      <c r="X28" s="44"/>
      <c r="Y28" s="44"/>
      <c r="Z28" s="44"/>
      <c r="AA28" s="44"/>
      <c r="AB28" s="44"/>
      <c r="AC28" s="44"/>
      <c r="AD28" s="44"/>
      <c r="AE28" s="44"/>
    </row>
    <row r="29" spans="1:31" x14ac:dyDescent="0.2">
      <c r="A29" s="191" t="s">
        <v>39</v>
      </c>
      <c r="B29" s="191">
        <v>70</v>
      </c>
      <c r="C29" s="192">
        <v>3.1929733252964523</v>
      </c>
      <c r="D29" s="192">
        <v>0.11135967269909675</v>
      </c>
      <c r="E29" s="193">
        <v>34.274999999999999</v>
      </c>
      <c r="F29" s="26">
        <v>45.035791189931743</v>
      </c>
      <c r="G29" s="26">
        <v>44.929428738893634</v>
      </c>
      <c r="H29" s="133">
        <f t="shared" si="2"/>
        <v>-0.2361731596754704</v>
      </c>
      <c r="I29" s="123">
        <v>44.9595605435753</v>
      </c>
      <c r="J29" s="133">
        <f t="shared" si="3"/>
        <v>-0.16926680833684354</v>
      </c>
      <c r="K29" s="123"/>
      <c r="L29" s="133" t="str">
        <f t="shared" si="4"/>
        <v/>
      </c>
      <c r="M29" s="190">
        <f t="shared" si="0"/>
        <v>44.974926824133554</v>
      </c>
      <c r="N29" s="169">
        <f t="shared" si="1"/>
        <v>0.12189221138703006</v>
      </c>
      <c r="O29" s="43"/>
      <c r="P29" s="123"/>
      <c r="Q29" s="133" t="str">
        <f t="shared" si="5"/>
        <v/>
      </c>
      <c r="R29" s="43"/>
      <c r="S29" s="123"/>
      <c r="T29" s="130" t="str">
        <f t="shared" si="6"/>
        <v/>
      </c>
      <c r="V29" s="201"/>
      <c r="X29" s="44"/>
      <c r="Y29" s="44"/>
      <c r="Z29" s="44"/>
      <c r="AA29" s="44"/>
      <c r="AB29" s="44"/>
      <c r="AC29" s="44"/>
      <c r="AD29" s="44"/>
      <c r="AE29" s="44"/>
    </row>
    <row r="30" spans="1:31" x14ac:dyDescent="0.2">
      <c r="A30" s="187" t="s">
        <v>43</v>
      </c>
      <c r="B30" s="187">
        <v>80</v>
      </c>
      <c r="C30" s="188">
        <v>3.6197123995759788</v>
      </c>
      <c r="D30" s="188">
        <v>0.12923885884326811</v>
      </c>
      <c r="E30" s="189">
        <v>36.328000000000003</v>
      </c>
      <c r="F30" s="26">
        <v>44.914646648791539</v>
      </c>
      <c r="G30" s="26">
        <v>44.865024057072922</v>
      </c>
      <c r="H30" s="134">
        <f t="shared" si="2"/>
        <v>-0.11048198176118065</v>
      </c>
      <c r="I30" s="26">
        <v>44.872947522608897</v>
      </c>
      <c r="J30" s="134">
        <f t="shared" si="3"/>
        <v>-9.2840819852613568E-2</v>
      </c>
      <c r="K30" s="26"/>
      <c r="L30" s="134" t="str">
        <f t="shared" si="4"/>
        <v/>
      </c>
      <c r="M30" s="190">
        <f t="shared" si="0"/>
        <v>44.884206076157788</v>
      </c>
      <c r="N30" s="130">
        <f t="shared" si="1"/>
        <v>5.9393569552448539E-2</v>
      </c>
      <c r="P30" s="26"/>
      <c r="Q30" s="133" t="str">
        <f t="shared" si="5"/>
        <v/>
      </c>
      <c r="S30" s="26"/>
      <c r="T30" s="130" t="str">
        <f t="shared" si="6"/>
        <v/>
      </c>
      <c r="V30" s="201"/>
      <c r="X30" s="44"/>
      <c r="Y30" s="44"/>
      <c r="Z30" s="44"/>
      <c r="AA30" s="44"/>
      <c r="AB30" s="44"/>
      <c r="AC30" s="44"/>
      <c r="AD30" s="44"/>
      <c r="AE30" s="44"/>
    </row>
    <row r="31" spans="1:31" x14ac:dyDescent="0.2">
      <c r="A31" s="187" t="s">
        <v>45</v>
      </c>
      <c r="B31" s="187">
        <v>90</v>
      </c>
      <c r="C31" s="188">
        <v>4.0393687541302778</v>
      </c>
      <c r="D31" s="188">
        <v>0.14848211806760514</v>
      </c>
      <c r="E31" s="189">
        <v>38.384999999999998</v>
      </c>
      <c r="F31" s="26">
        <v>44.851717378746656</v>
      </c>
      <c r="G31" s="26">
        <v>44.875158321447991</v>
      </c>
      <c r="H31" s="134">
        <f t="shared" si="2"/>
        <v>5.2263199875691613E-2</v>
      </c>
      <c r="I31" s="26">
        <v>44.795616388995228</v>
      </c>
      <c r="J31" s="134">
        <f t="shared" si="3"/>
        <v>-0.12508102928966569</v>
      </c>
      <c r="K31" s="26"/>
      <c r="L31" s="134" t="str">
        <f t="shared" si="4"/>
        <v/>
      </c>
      <c r="M31" s="190">
        <f t="shared" si="0"/>
        <v>44.84083069639663</v>
      </c>
      <c r="N31" s="130">
        <f t="shared" si="1"/>
        <v>9.1151777579023568E-2</v>
      </c>
      <c r="P31" s="26"/>
      <c r="Q31" s="133" t="str">
        <f t="shared" si="5"/>
        <v/>
      </c>
      <c r="S31" s="26"/>
      <c r="T31" s="130" t="str">
        <f t="shared" si="6"/>
        <v/>
      </c>
      <c r="V31" s="201"/>
      <c r="X31" s="44"/>
      <c r="Y31" s="44"/>
      <c r="Z31" s="44"/>
      <c r="AA31" s="44"/>
      <c r="AB31" s="44"/>
      <c r="AC31" s="44"/>
      <c r="AD31" s="44"/>
      <c r="AE31" s="44"/>
    </row>
    <row r="32" spans="1:31" x14ac:dyDescent="0.2">
      <c r="A32" s="187" t="s">
        <v>35</v>
      </c>
      <c r="B32" s="187">
        <v>50</v>
      </c>
      <c r="C32" s="188">
        <v>2.5292585864499295</v>
      </c>
      <c r="D32" s="188">
        <v>8.4996170866672577E-2</v>
      </c>
      <c r="E32" s="189">
        <v>30.623000000000001</v>
      </c>
      <c r="F32" s="26">
        <v>45.056337309454975</v>
      </c>
      <c r="G32" s="26">
        <v>44.816400316725755</v>
      </c>
      <c r="H32" s="134">
        <f t="shared" si="2"/>
        <v>-0.53252662568040043</v>
      </c>
      <c r="I32" s="26">
        <v>44.854844144421328</v>
      </c>
      <c r="J32" s="134">
        <f t="shared" si="3"/>
        <v>-0.44720271789905019</v>
      </c>
      <c r="K32" s="26"/>
      <c r="L32" s="134" t="str">
        <f t="shared" si="4"/>
        <v/>
      </c>
      <c r="M32" s="190">
        <f t="shared" si="0"/>
        <v>44.909193923534019</v>
      </c>
      <c r="N32" s="130">
        <f t="shared" si="1"/>
        <v>0.28696017582077399</v>
      </c>
      <c r="P32" s="26"/>
      <c r="Q32" s="133" t="str">
        <f t="shared" si="5"/>
        <v/>
      </c>
      <c r="S32" s="26"/>
      <c r="T32" s="130" t="str">
        <f t="shared" si="6"/>
        <v/>
      </c>
      <c r="V32" s="201"/>
      <c r="X32" s="44"/>
      <c r="Y32" s="44"/>
      <c r="Z32" s="44"/>
      <c r="AA32" s="44"/>
      <c r="AB32" s="44"/>
      <c r="AC32" s="44"/>
      <c r="AD32" s="44"/>
      <c r="AE32" s="44"/>
    </row>
    <row r="33" spans="1:31" x14ac:dyDescent="0.2">
      <c r="A33" s="187" t="s">
        <v>40</v>
      </c>
      <c r="B33" s="187">
        <v>70</v>
      </c>
      <c r="C33" s="188">
        <v>3.3915742452383575</v>
      </c>
      <c r="D33" s="188">
        <v>0.11942976937282476</v>
      </c>
      <c r="E33" s="189">
        <v>35.19</v>
      </c>
      <c r="F33" s="26">
        <v>44.977021541789036</v>
      </c>
      <c r="G33" s="26">
        <v>44.890494913459392</v>
      </c>
      <c r="H33" s="134">
        <f t="shared" si="2"/>
        <v>-0.19237963156197424</v>
      </c>
      <c r="I33" s="26">
        <v>44.924294020370077</v>
      </c>
      <c r="J33" s="134">
        <f t="shared" si="3"/>
        <v>-0.11723213234555444</v>
      </c>
      <c r="K33" s="26"/>
      <c r="L33" s="134" t="str">
        <f t="shared" si="4"/>
        <v/>
      </c>
      <c r="M33" s="190">
        <f t="shared" si="0"/>
        <v>44.93060349187283</v>
      </c>
      <c r="N33" s="130">
        <f t="shared" si="1"/>
        <v>9.7054140847596698E-2</v>
      </c>
      <c r="P33" s="26"/>
      <c r="Q33" s="133" t="str">
        <f t="shared" si="5"/>
        <v/>
      </c>
      <c r="S33" s="26"/>
      <c r="T33" s="130" t="str">
        <f t="shared" si="6"/>
        <v/>
      </c>
      <c r="V33" s="201"/>
    </row>
    <row r="34" spans="1:31" x14ac:dyDescent="0.2">
      <c r="A34" s="191" t="s">
        <v>47</v>
      </c>
      <c r="B34" s="191">
        <v>100</v>
      </c>
      <c r="C34" s="192">
        <v>4.7352150332082985</v>
      </c>
      <c r="D34" s="192">
        <v>0.18268575344478749</v>
      </c>
      <c r="E34" s="193">
        <v>41.587000000000003</v>
      </c>
      <c r="F34" s="123">
        <v>44.752633896772487</v>
      </c>
      <c r="G34" s="123">
        <v>44.799614915956539</v>
      </c>
      <c r="H34" s="133">
        <f t="shared" si="2"/>
        <v>0.10497933885281444</v>
      </c>
      <c r="I34" s="123">
        <v>44.783206147375367</v>
      </c>
      <c r="J34" s="133">
        <f t="shared" si="3"/>
        <v>6.8313857623215526E-2</v>
      </c>
      <c r="K34" s="123"/>
      <c r="L34" s="133" t="str">
        <f t="shared" si="4"/>
        <v/>
      </c>
      <c r="M34" s="190">
        <f t="shared" si="0"/>
        <v>44.778484986701471</v>
      </c>
      <c r="N34" s="133">
        <f t="shared" si="1"/>
        <v>5.3248071393559616E-2</v>
      </c>
      <c r="O34" s="43"/>
      <c r="P34" s="123"/>
      <c r="Q34" s="133" t="str">
        <f t="shared" si="5"/>
        <v/>
      </c>
      <c r="R34" s="43"/>
      <c r="S34" s="123"/>
      <c r="T34" s="133" t="str">
        <f t="shared" si="6"/>
        <v/>
      </c>
      <c r="V34" s="201"/>
    </row>
    <row r="35" spans="1:31" x14ac:dyDescent="0.2">
      <c r="A35" s="187" t="s">
        <v>50</v>
      </c>
      <c r="B35" s="187">
        <v>120</v>
      </c>
      <c r="C35" s="188">
        <v>5.5559969759148071</v>
      </c>
      <c r="D35" s="188">
        <v>0.22971681375447262</v>
      </c>
      <c r="E35" s="189">
        <v>45.744</v>
      </c>
      <c r="F35" s="26">
        <v>44.605880308013603</v>
      </c>
      <c r="G35" s="26">
        <v>44.62523256448678</v>
      </c>
      <c r="H35" s="134">
        <f t="shared" si="2"/>
        <v>4.3384989466735871E-2</v>
      </c>
      <c r="I35" s="26">
        <v>44.688739385617978</v>
      </c>
      <c r="J35" s="134">
        <f t="shared" si="3"/>
        <v>0.18575819383501654</v>
      </c>
      <c r="K35" s="26"/>
      <c r="L35" s="134" t="str">
        <f t="shared" si="4"/>
        <v/>
      </c>
      <c r="M35" s="190">
        <f t="shared" si="0"/>
        <v>44.639950752706113</v>
      </c>
      <c r="N35" s="130">
        <f t="shared" si="1"/>
        <v>9.7101355600959879E-2</v>
      </c>
      <c r="P35" s="26"/>
      <c r="Q35" s="133" t="str">
        <f t="shared" si="5"/>
        <v/>
      </c>
      <c r="S35" s="26"/>
      <c r="T35" s="130" t="str">
        <f t="shared" si="6"/>
        <v/>
      </c>
      <c r="V35" s="201"/>
    </row>
    <row r="36" spans="1:31" x14ac:dyDescent="0.2">
      <c r="A36" s="187" t="s">
        <v>54</v>
      </c>
      <c r="B36" s="187">
        <v>140</v>
      </c>
      <c r="C36" s="188">
        <v>6.3330445132980557</v>
      </c>
      <c r="D36" s="188">
        <v>0.28214314856452327</v>
      </c>
      <c r="E36" s="189">
        <v>49.868000000000002</v>
      </c>
      <c r="F36" s="26">
        <v>44.540680488049631</v>
      </c>
      <c r="G36" s="26">
        <v>44.49858600603519</v>
      </c>
      <c r="H36" s="134">
        <f t="shared" si="2"/>
        <v>-9.4507945440428051E-2</v>
      </c>
      <c r="I36" s="26">
        <v>44.377896338633633</v>
      </c>
      <c r="J36" s="134">
        <f t="shared" si="3"/>
        <v>-0.36547297354308139</v>
      </c>
      <c r="K36" s="26"/>
      <c r="L36" s="134" t="str">
        <f t="shared" si="4"/>
        <v/>
      </c>
      <c r="M36" s="190">
        <f t="shared" si="0"/>
        <v>44.472387610906146</v>
      </c>
      <c r="N36" s="130">
        <f t="shared" si="1"/>
        <v>0.18999471875948548</v>
      </c>
      <c r="P36" s="26"/>
      <c r="Q36" s="133" t="str">
        <f t="shared" si="5"/>
        <v/>
      </c>
      <c r="S36" s="26"/>
      <c r="T36" s="130" t="str">
        <f t="shared" si="6"/>
        <v/>
      </c>
    </row>
    <row r="37" spans="1:31" x14ac:dyDescent="0.2">
      <c r="A37" s="187" t="s">
        <v>41</v>
      </c>
      <c r="B37" s="187">
        <v>70</v>
      </c>
      <c r="C37" s="188">
        <v>3.9520687461764625</v>
      </c>
      <c r="D37" s="188">
        <v>0.14140515813491988</v>
      </c>
      <c r="E37" s="189">
        <v>37.509</v>
      </c>
      <c r="F37" s="26">
        <v>44.752164884325211</v>
      </c>
      <c r="G37" s="26">
        <v>44.765675369999798</v>
      </c>
      <c r="H37" s="134">
        <f t="shared" si="2"/>
        <v>3.0189568950482335E-2</v>
      </c>
      <c r="I37" s="26">
        <v>44.986086368733062</v>
      </c>
      <c r="J37" s="134">
        <f t="shared" si="3"/>
        <v>0.52270428707189542</v>
      </c>
      <c r="K37" s="26"/>
      <c r="L37" s="134" t="str">
        <f t="shared" si="4"/>
        <v/>
      </c>
      <c r="M37" s="190">
        <f t="shared" si="0"/>
        <v>44.834642207686024</v>
      </c>
      <c r="N37" s="130">
        <f t="shared" si="1"/>
        <v>0.29291712120084284</v>
      </c>
      <c r="P37" s="26"/>
      <c r="Q37" s="133" t="str">
        <f t="shared" si="5"/>
        <v/>
      </c>
      <c r="S37" s="26"/>
      <c r="T37" s="130" t="str">
        <f t="shared" si="6"/>
        <v/>
      </c>
    </row>
    <row r="38" spans="1:31" x14ac:dyDescent="0.2">
      <c r="A38" s="187" t="s">
        <v>48</v>
      </c>
      <c r="B38" s="187">
        <v>100</v>
      </c>
      <c r="C38" s="188">
        <v>5.4850226957751094</v>
      </c>
      <c r="D38" s="188">
        <v>0.221397651099389</v>
      </c>
      <c r="E38" s="189">
        <v>44.582999999999998</v>
      </c>
      <c r="F38" s="26">
        <v>44.742035279843492</v>
      </c>
      <c r="G38" s="26">
        <v>44.648604875540506</v>
      </c>
      <c r="H38" s="134">
        <f t="shared" si="2"/>
        <v>-0.20882019273065189</v>
      </c>
      <c r="I38" s="26">
        <v>44.802855187680422</v>
      </c>
      <c r="J38" s="134">
        <f t="shared" si="3"/>
        <v>0.13593460256451331</v>
      </c>
      <c r="K38" s="26"/>
      <c r="L38" s="134" t="str">
        <f t="shared" si="4"/>
        <v/>
      </c>
      <c r="M38" s="190">
        <f t="shared" si="0"/>
        <v>44.731165114354809</v>
      </c>
      <c r="N38" s="130">
        <f t="shared" si="1"/>
        <v>0.17369892987273311</v>
      </c>
      <c r="P38" s="26"/>
      <c r="Q38" s="133" t="str">
        <f t="shared" si="5"/>
        <v/>
      </c>
      <c r="S38" s="26"/>
      <c r="T38" s="130" t="str">
        <f t="shared" si="6"/>
        <v/>
      </c>
    </row>
    <row r="39" spans="1:31" x14ac:dyDescent="0.2">
      <c r="A39" s="191" t="s">
        <v>51</v>
      </c>
      <c r="B39" s="191">
        <v>120</v>
      </c>
      <c r="C39" s="192">
        <v>6.3769778478391608</v>
      </c>
      <c r="D39" s="192">
        <v>0.28062311390349393</v>
      </c>
      <c r="E39" s="193">
        <v>48.945</v>
      </c>
      <c r="F39" s="123">
        <v>44.565296839746686</v>
      </c>
      <c r="G39" s="123">
        <v>44.623282078103166</v>
      </c>
      <c r="H39" s="133">
        <f t="shared" si="2"/>
        <v>0.13011298581717118</v>
      </c>
      <c r="I39" s="123">
        <v>44.600442188188389</v>
      </c>
      <c r="J39" s="133">
        <f t="shared" si="3"/>
        <v>7.8862592496762807E-2</v>
      </c>
      <c r="K39" s="123"/>
      <c r="L39" s="133" t="str">
        <f t="shared" si="4"/>
        <v/>
      </c>
      <c r="M39" s="190">
        <f t="shared" si="0"/>
        <v>44.596340368679414</v>
      </c>
      <c r="N39" s="133">
        <f t="shared" si="1"/>
        <v>6.5497364433583949E-2</v>
      </c>
      <c r="O39" s="43"/>
      <c r="P39" s="123"/>
      <c r="Q39" s="133" t="str">
        <f t="shared" si="5"/>
        <v/>
      </c>
      <c r="R39" s="43"/>
      <c r="S39" s="123"/>
      <c r="T39" s="133" t="str">
        <f t="shared" si="6"/>
        <v/>
      </c>
    </row>
    <row r="40" spans="1:31" x14ac:dyDescent="0.2">
      <c r="A40" s="187" t="s">
        <v>55</v>
      </c>
      <c r="B40" s="187">
        <v>140</v>
      </c>
      <c r="C40" s="188">
        <v>7.1952322413084104</v>
      </c>
      <c r="D40" s="188">
        <v>0.34467534185441145</v>
      </c>
      <c r="E40" s="189">
        <v>53.139000000000003</v>
      </c>
      <c r="F40" s="26">
        <v>44.426594275503206</v>
      </c>
      <c r="G40" s="26">
        <v>44.476940065572357</v>
      </c>
      <c r="H40" s="134">
        <f t="shared" si="2"/>
        <v>0.11332354165377057</v>
      </c>
      <c r="I40" s="26">
        <v>44.412478609485667</v>
      </c>
      <c r="J40" s="134">
        <f t="shared" si="3"/>
        <v>-3.1773009495174601E-2</v>
      </c>
      <c r="K40" s="26"/>
      <c r="L40" s="134" t="str">
        <f t="shared" si="4"/>
        <v/>
      </c>
      <c r="M40" s="190">
        <f t="shared" si="0"/>
        <v>44.43867098352041</v>
      </c>
      <c r="N40" s="130">
        <f t="shared" si="1"/>
        <v>7.6251545818394037E-2</v>
      </c>
      <c r="P40" s="26"/>
      <c r="Q40" s="133" t="str">
        <f t="shared" si="5"/>
        <v/>
      </c>
      <c r="S40" s="26"/>
      <c r="T40" s="130" t="str">
        <f t="shared" si="6"/>
        <v/>
      </c>
      <c r="W40" s="201"/>
    </row>
    <row r="41" spans="1:31" x14ac:dyDescent="0.2">
      <c r="A41" s="187" t="s">
        <v>59</v>
      </c>
      <c r="B41" s="187">
        <v>150</v>
      </c>
      <c r="C41" s="188">
        <v>7.58221629670666</v>
      </c>
      <c r="D41" s="188">
        <v>0.37860748947727846</v>
      </c>
      <c r="E41" s="189">
        <v>55.186999999999998</v>
      </c>
      <c r="F41" s="26">
        <v>44.379061573170866</v>
      </c>
      <c r="G41" s="26">
        <v>44.394808184157803</v>
      </c>
      <c r="H41" s="134">
        <f t="shared" si="2"/>
        <v>3.5482072916244486E-2</v>
      </c>
      <c r="I41" s="26">
        <v>44.425116736682135</v>
      </c>
      <c r="J41" s="134">
        <f t="shared" si="3"/>
        <v>0.10377678544494456</v>
      </c>
      <c r="K41" s="26"/>
      <c r="L41" s="134" t="str">
        <f t="shared" si="4"/>
        <v/>
      </c>
      <c r="M41" s="190">
        <f t="shared" si="0"/>
        <v>44.399662164670268</v>
      </c>
      <c r="N41" s="130">
        <f t="shared" si="1"/>
        <v>5.2721405839042786E-2</v>
      </c>
      <c r="P41" s="26"/>
      <c r="Q41" s="133" t="str">
        <f t="shared" si="5"/>
        <v/>
      </c>
      <c r="S41" s="26"/>
      <c r="T41" s="130" t="str">
        <f t="shared" si="6"/>
        <v/>
      </c>
      <c r="W41" s="201"/>
    </row>
    <row r="42" spans="1:31" x14ac:dyDescent="0.2">
      <c r="A42" s="187" t="s">
        <v>49</v>
      </c>
      <c r="B42" s="187">
        <v>100</v>
      </c>
      <c r="C42" s="188">
        <v>6.6136409012352111</v>
      </c>
      <c r="D42" s="188">
        <v>0.29051611469154731</v>
      </c>
      <c r="E42" s="189">
        <v>49.084000000000003</v>
      </c>
      <c r="F42" s="26">
        <v>44.578006101870514</v>
      </c>
      <c r="G42" s="26">
        <v>44.718832020756295</v>
      </c>
      <c r="H42" s="134">
        <f t="shared" si="2"/>
        <v>0.31590896767334797</v>
      </c>
      <c r="I42" s="26">
        <v>44.60097194821001</v>
      </c>
      <c r="J42" s="134">
        <f t="shared" si="3"/>
        <v>5.1518334595346209E-2</v>
      </c>
      <c r="K42" s="26"/>
      <c r="L42" s="134" t="str">
        <f t="shared" si="4"/>
        <v/>
      </c>
      <c r="M42" s="190">
        <f t="shared" si="0"/>
        <v>44.632603356945602</v>
      </c>
      <c r="N42" s="130">
        <f t="shared" si="1"/>
        <v>0.16927965500608885</v>
      </c>
      <c r="P42" s="26"/>
      <c r="Q42" s="133" t="str">
        <f t="shared" si="5"/>
        <v/>
      </c>
      <c r="S42" s="26"/>
      <c r="T42" s="130" t="str">
        <f t="shared" si="6"/>
        <v/>
      </c>
      <c r="X42" s="42" t="s">
        <v>18</v>
      </c>
      <c r="Y42" s="42" t="str">
        <f>A3&amp; " Set "&amp;F10</f>
        <v>Job_ID_01 Set 1</v>
      </c>
      <c r="AC42" s="45" t="s">
        <v>28</v>
      </c>
      <c r="AE42" s="60">
        <f>INT(MIN(S12:S73,P12:P73,K12:K73,I12:I73,G12:G73,F12:F73))</f>
        <v>43</v>
      </c>
    </row>
    <row r="43" spans="1:31" x14ac:dyDescent="0.2">
      <c r="A43" s="187" t="s">
        <v>52</v>
      </c>
      <c r="B43" s="187">
        <v>120</v>
      </c>
      <c r="C43" s="188">
        <v>7.588179482309295</v>
      </c>
      <c r="D43" s="188">
        <v>0.36809931938124019</v>
      </c>
      <c r="E43" s="189">
        <v>53.752000000000002</v>
      </c>
      <c r="F43" s="26">
        <v>44.466395523718845</v>
      </c>
      <c r="G43" s="26">
        <v>44.543203208959646</v>
      </c>
      <c r="H43" s="134">
        <f t="shared" si="2"/>
        <v>0.1727319795908159</v>
      </c>
      <c r="I43" s="26">
        <v>44.511801382110768</v>
      </c>
      <c r="J43" s="134">
        <f t="shared" si="3"/>
        <v>0.10211274796875203</v>
      </c>
      <c r="K43" s="26"/>
      <c r="L43" s="134" t="str">
        <f t="shared" si="4"/>
        <v/>
      </c>
      <c r="M43" s="190">
        <f t="shared" si="0"/>
        <v>44.507133371596417</v>
      </c>
      <c r="N43" s="130">
        <f t="shared" si="1"/>
        <v>8.6763690056855386E-2</v>
      </c>
      <c r="P43" s="26"/>
      <c r="Q43" s="133" t="str">
        <f t="shared" si="5"/>
        <v/>
      </c>
      <c r="S43" s="26"/>
      <c r="T43" s="130" t="str">
        <f t="shared" si="6"/>
        <v/>
      </c>
      <c r="Y43" s="42" t="str">
        <f>A3&amp; " Set "&amp;G10</f>
        <v>Job_ID_01 Set 2</v>
      </c>
      <c r="AC43" s="45" t="s">
        <v>29</v>
      </c>
      <c r="AE43" s="30">
        <f>INT(MAX(S12:S73,P12:P73,K12:K73,I12:I73,G12:G73,F12:F73))+1</f>
        <v>48</v>
      </c>
    </row>
    <row r="44" spans="1:31" x14ac:dyDescent="0.2">
      <c r="A44" s="191" t="s">
        <v>56</v>
      </c>
      <c r="B44" s="191">
        <v>140</v>
      </c>
      <c r="C44" s="192">
        <v>8.4359614589862257</v>
      </c>
      <c r="D44" s="192">
        <v>0.45081671702125536</v>
      </c>
      <c r="E44" s="193">
        <v>58.063000000000002</v>
      </c>
      <c r="F44" s="123">
        <v>44.368792977634442</v>
      </c>
      <c r="G44" s="123">
        <v>44.350880195501865</v>
      </c>
      <c r="H44" s="133">
        <f t="shared" si="2"/>
        <v>-4.0372480138474671E-2</v>
      </c>
      <c r="I44" s="123">
        <v>44.435264699898717</v>
      </c>
      <c r="J44" s="133">
        <f t="shared" si="3"/>
        <v>0.14981638625549781</v>
      </c>
      <c r="K44" s="123"/>
      <c r="L44" s="133" t="str">
        <f t="shared" si="4"/>
        <v/>
      </c>
      <c r="M44" s="190">
        <f t="shared" si="0"/>
        <v>44.384979291011668</v>
      </c>
      <c r="N44" s="133">
        <f t="shared" si="1"/>
        <v>0.10016882260385546</v>
      </c>
      <c r="O44" s="43"/>
      <c r="P44" s="123"/>
      <c r="Q44" s="133" t="str">
        <f t="shared" si="5"/>
        <v/>
      </c>
      <c r="R44" s="43"/>
      <c r="S44" s="123"/>
      <c r="T44" s="133" t="str">
        <f t="shared" si="6"/>
        <v/>
      </c>
      <c r="Y44" s="42" t="str">
        <f>A3&amp; " Set "&amp;I10</f>
        <v>Job_ID_01 Set 3</v>
      </c>
    </row>
    <row r="45" spans="1:31" x14ac:dyDescent="0.2">
      <c r="A45" s="187" t="s">
        <v>60</v>
      </c>
      <c r="B45" s="187">
        <v>150</v>
      </c>
      <c r="C45" s="188">
        <v>8.831676949720114</v>
      </c>
      <c r="D45" s="188">
        <v>0.49291798086961647</v>
      </c>
      <c r="E45" s="189">
        <v>60.128</v>
      </c>
      <c r="F45" s="26">
        <v>44.285562072740554</v>
      </c>
      <c r="G45" s="26">
        <v>44.335510412631784</v>
      </c>
      <c r="H45" s="134">
        <f t="shared" si="2"/>
        <v>0.1127869616043001</v>
      </c>
      <c r="I45" s="26">
        <v>44.38606652764939</v>
      </c>
      <c r="J45" s="134">
        <f t="shared" si="3"/>
        <v>0.22694632337228721</v>
      </c>
      <c r="K45" s="26"/>
      <c r="L45" s="134" t="str">
        <f t="shared" si="4"/>
        <v/>
      </c>
      <c r="M45" s="190">
        <f t="shared" si="0"/>
        <v>44.335713004340583</v>
      </c>
      <c r="N45" s="130">
        <f t="shared" si="1"/>
        <v>0.11334549582866051</v>
      </c>
      <c r="P45" s="26"/>
      <c r="Q45" s="133" t="str">
        <f t="shared" si="5"/>
        <v/>
      </c>
      <c r="S45" s="26"/>
      <c r="T45" s="130" t="str">
        <f t="shared" si="6"/>
        <v/>
      </c>
      <c r="V45" s="201"/>
      <c r="Y45" s="42" t="str">
        <f>A3&amp; " Set "&amp;K10</f>
        <v>Job_ID_01 Set 4</v>
      </c>
    </row>
    <row r="46" spans="1:31" x14ac:dyDescent="0.2">
      <c r="A46" s="187" t="s">
        <v>64</v>
      </c>
      <c r="B46" s="187">
        <v>200</v>
      </c>
      <c r="C46" s="188">
        <v>10.533127916478346</v>
      </c>
      <c r="D46" s="188">
        <v>0.73230337407773993</v>
      </c>
      <c r="E46" s="189">
        <v>69.760999999999996</v>
      </c>
      <c r="F46" s="26">
        <v>44.082356842058914</v>
      </c>
      <c r="G46" s="26">
        <v>44.108209023176904</v>
      </c>
      <c r="H46" s="134">
        <f t="shared" si="2"/>
        <v>5.8645188165903236E-2</v>
      </c>
      <c r="I46" s="26">
        <v>44.003323870074183</v>
      </c>
      <c r="J46" s="134">
        <f t="shared" si="3"/>
        <v>-0.17928481516515796</v>
      </c>
      <c r="K46" s="26"/>
      <c r="L46" s="134" t="str">
        <f t="shared" si="4"/>
        <v/>
      </c>
      <c r="M46" s="190">
        <f t="shared" si="0"/>
        <v>44.064629911769998</v>
      </c>
      <c r="N46" s="130">
        <f t="shared" si="1"/>
        <v>0.12400751442130487</v>
      </c>
      <c r="P46" s="26"/>
      <c r="Q46" s="133" t="str">
        <f t="shared" si="5"/>
        <v/>
      </c>
      <c r="S46" s="26"/>
      <c r="T46" s="130" t="str">
        <f t="shared" si="6"/>
        <v/>
      </c>
      <c r="V46" s="201"/>
      <c r="Y46" s="42" t="str">
        <f>"Previous ("&amp;P8&amp;")"</f>
        <v>Previous (None)</v>
      </c>
    </row>
    <row r="47" spans="1:31" x14ac:dyDescent="0.2">
      <c r="A47" s="187" t="s">
        <v>53</v>
      </c>
      <c r="B47" s="187">
        <v>120</v>
      </c>
      <c r="C47" s="188">
        <v>10.310491894063471</v>
      </c>
      <c r="D47" s="188">
        <v>0.6348381723836316</v>
      </c>
      <c r="E47" s="189">
        <v>65</v>
      </c>
      <c r="F47" s="26">
        <v>44.210364106543359</v>
      </c>
      <c r="G47" s="26">
        <v>44.326919348000182</v>
      </c>
      <c r="H47" s="134">
        <f t="shared" si="2"/>
        <v>0.26363782296823862</v>
      </c>
      <c r="I47" s="26">
        <v>44.184178512782047</v>
      </c>
      <c r="J47" s="134">
        <f t="shared" si="3"/>
        <v>-5.9229536536290192E-2</v>
      </c>
      <c r="K47" s="26"/>
      <c r="L47" s="134" t="str">
        <f t="shared" si="4"/>
        <v/>
      </c>
      <c r="M47" s="190">
        <f t="shared" si="0"/>
        <v>44.240487322441858</v>
      </c>
      <c r="N47" s="130">
        <f t="shared" si="1"/>
        <v>0.17176295052642271</v>
      </c>
      <c r="P47" s="26"/>
      <c r="Q47" s="133" t="str">
        <f t="shared" si="5"/>
        <v/>
      </c>
      <c r="S47" s="26"/>
      <c r="T47" s="130" t="str">
        <f t="shared" si="6"/>
        <v/>
      </c>
      <c r="V47" s="201"/>
      <c r="Y47" s="42" t="str">
        <f>"QA chamber "&amp;S8</f>
        <v xml:space="preserve">QA chamber </v>
      </c>
    </row>
    <row r="48" spans="1:31" x14ac:dyDescent="0.2">
      <c r="A48" s="187" t="s">
        <v>57</v>
      </c>
      <c r="B48" s="187">
        <v>140</v>
      </c>
      <c r="C48" s="188"/>
      <c r="D48" s="188">
        <v>0.76915213495507195</v>
      </c>
      <c r="E48" s="189">
        <v>69.849999999999994</v>
      </c>
      <c r="F48" s="26">
        <v>44.113194654051711</v>
      </c>
      <c r="G48" s="26">
        <v>44.275806533420941</v>
      </c>
      <c r="H48" s="134">
        <f t="shared" si="2"/>
        <v>0.36862412855037774</v>
      </c>
      <c r="I48" s="26">
        <v>44.173932147693165</v>
      </c>
      <c r="J48" s="134">
        <f t="shared" si="3"/>
        <v>0.13768554764118812</v>
      </c>
      <c r="K48" s="26"/>
      <c r="L48" s="134" t="str">
        <f t="shared" si="4"/>
        <v/>
      </c>
      <c r="M48" s="190">
        <f t="shared" si="0"/>
        <v>44.18764444505527</v>
      </c>
      <c r="N48" s="130">
        <f t="shared" si="1"/>
        <v>0.18595375418180343</v>
      </c>
      <c r="P48" s="26"/>
      <c r="Q48" s="133" t="str">
        <f t="shared" si="5"/>
        <v/>
      </c>
      <c r="S48" s="26"/>
      <c r="T48" s="130" t="str">
        <f t="shared" si="6"/>
        <v/>
      </c>
      <c r="V48" s="201"/>
    </row>
    <row r="49" spans="1:22" x14ac:dyDescent="0.2">
      <c r="A49" s="191" t="s">
        <v>61</v>
      </c>
      <c r="B49" s="191">
        <v>150</v>
      </c>
      <c r="C49" s="192"/>
      <c r="D49" s="192">
        <v>0.83812332024006297</v>
      </c>
      <c r="E49" s="193">
        <v>72.150000000000006</v>
      </c>
      <c r="F49" s="123">
        <v>44.042041104134746</v>
      </c>
      <c r="G49" s="123">
        <v>43.979931181389908</v>
      </c>
      <c r="H49" s="133">
        <f t="shared" si="2"/>
        <v>-0.14102416960645198</v>
      </c>
      <c r="I49" s="123">
        <v>44.097628433678643</v>
      </c>
      <c r="J49" s="133">
        <f t="shared" si="3"/>
        <v>0.12621424473144702</v>
      </c>
      <c r="K49" s="123"/>
      <c r="L49" s="133" t="str">
        <f t="shared" si="4"/>
        <v/>
      </c>
      <c r="M49" s="190">
        <f t="shared" si="0"/>
        <v>44.039866906401102</v>
      </c>
      <c r="N49" s="133">
        <f t="shared" si="1"/>
        <v>0.13369418486898602</v>
      </c>
      <c r="O49" s="43"/>
      <c r="P49" s="123"/>
      <c r="Q49" s="133" t="str">
        <f t="shared" si="5"/>
        <v/>
      </c>
      <c r="R49" s="43"/>
      <c r="S49" s="123"/>
      <c r="T49" s="133" t="str">
        <f t="shared" si="6"/>
        <v/>
      </c>
      <c r="V49" s="201"/>
    </row>
    <row r="50" spans="1:22" x14ac:dyDescent="0.2">
      <c r="A50" s="187" t="s">
        <v>65</v>
      </c>
      <c r="B50" s="187">
        <v>200</v>
      </c>
      <c r="C50" s="188"/>
      <c r="D50" s="188">
        <v>1.2072306039939562</v>
      </c>
      <c r="E50" s="189">
        <v>82.81</v>
      </c>
      <c r="F50" s="26">
        <v>43.805304389596081</v>
      </c>
      <c r="G50" s="26">
        <v>43.773718062359407</v>
      </c>
      <c r="H50" s="134">
        <f t="shared" si="2"/>
        <v>-7.2106169964603561E-2</v>
      </c>
      <c r="I50" s="26">
        <v>43.771711335394741</v>
      </c>
      <c r="J50" s="134">
        <f t="shared" si="3"/>
        <v>-7.668718359441086E-2</v>
      </c>
      <c r="K50" s="26"/>
      <c r="L50" s="134" t="str">
        <f t="shared" si="4"/>
        <v/>
      </c>
      <c r="M50" s="190">
        <f t="shared" si="0"/>
        <v>43.783577929116746</v>
      </c>
      <c r="N50" s="130">
        <f t="shared" si="1"/>
        <v>4.3035314309669198E-2</v>
      </c>
      <c r="P50" s="26"/>
      <c r="Q50" s="133" t="str">
        <f t="shared" si="5"/>
        <v/>
      </c>
      <c r="S50" s="26"/>
      <c r="T50" s="130" t="str">
        <f t="shared" si="6"/>
        <v/>
      </c>
      <c r="V50" s="201"/>
    </row>
    <row r="51" spans="1:22" x14ac:dyDescent="0.2">
      <c r="A51" s="187" t="s">
        <v>69</v>
      </c>
      <c r="B51" s="187">
        <v>250</v>
      </c>
      <c r="C51" s="188"/>
      <c r="D51" s="188">
        <v>1.6128041668984248</v>
      </c>
      <c r="E51" s="189">
        <v>92.84</v>
      </c>
      <c r="F51" s="26">
        <v>43.684275422214348</v>
      </c>
      <c r="G51" s="26">
        <v>43.790120904236815</v>
      </c>
      <c r="H51" s="134">
        <f t="shared" si="2"/>
        <v>0.24229652660930301</v>
      </c>
      <c r="I51" s="26">
        <v>43.714980291427047</v>
      </c>
      <c r="J51" s="134">
        <f t="shared" si="3"/>
        <v>7.0288150406368585E-2</v>
      </c>
      <c r="K51" s="26"/>
      <c r="L51" s="134" t="str">
        <f t="shared" si="4"/>
        <v/>
      </c>
      <c r="M51" s="190">
        <f t="shared" ref="M51:M73" si="7">IF(COUNT(F51,G51,I51,K51)=0,"",AVERAGE(F51,G51,I51,K51))</f>
        <v>43.729792205959406</v>
      </c>
      <c r="N51" s="130">
        <f t="shared" ref="N51:N73" si="8">IF(COUNT(F51,G51,I51,K51)=0,"",STDEV(F51,G51,I51,K51)/M51*100)</f>
        <v>0.12452638514758195</v>
      </c>
      <c r="P51" s="26"/>
      <c r="Q51" s="133" t="str">
        <f t="shared" si="5"/>
        <v/>
      </c>
      <c r="S51" s="26"/>
      <c r="T51" s="130" t="str">
        <f t="shared" si="6"/>
        <v/>
      </c>
      <c r="V51" s="201"/>
    </row>
    <row r="52" spans="1:22" x14ac:dyDescent="0.2">
      <c r="A52" s="187" t="s">
        <v>58</v>
      </c>
      <c r="B52" s="187">
        <v>140</v>
      </c>
      <c r="C52" s="188"/>
      <c r="D52" s="188">
        <v>1.0269176732121137</v>
      </c>
      <c r="E52" s="189">
        <v>78.519000000000005</v>
      </c>
      <c r="F52" s="26">
        <v>43.86317999041686</v>
      </c>
      <c r="G52" s="26">
        <v>43.902043257319335</v>
      </c>
      <c r="H52" s="134">
        <f t="shared" si="2"/>
        <v>8.8601115812773273E-2</v>
      </c>
      <c r="I52" s="26">
        <v>43.969502155532048</v>
      </c>
      <c r="J52" s="134">
        <f t="shared" si="3"/>
        <v>0.24239502274667918</v>
      </c>
      <c r="K52" s="26"/>
      <c r="L52" s="134" t="str">
        <f t="shared" si="4"/>
        <v/>
      </c>
      <c r="M52" s="190">
        <f t="shared" si="7"/>
        <v>43.911575134422748</v>
      </c>
      <c r="N52" s="130">
        <f t="shared" si="8"/>
        <v>0.12251478316713191</v>
      </c>
      <c r="P52" s="26"/>
      <c r="Q52" s="133" t="str">
        <f t="shared" si="5"/>
        <v/>
      </c>
      <c r="S52" s="26"/>
      <c r="T52" s="130" t="str">
        <f t="shared" si="6"/>
        <v/>
      </c>
      <c r="V52" s="201"/>
    </row>
    <row r="53" spans="1:22" x14ac:dyDescent="0.2">
      <c r="A53" s="187" t="s">
        <v>62</v>
      </c>
      <c r="B53" s="187">
        <v>150</v>
      </c>
      <c r="C53" s="188"/>
      <c r="D53" s="188">
        <v>1.1251186734176981</v>
      </c>
      <c r="E53" s="189">
        <v>81.358000000000004</v>
      </c>
      <c r="F53" s="26">
        <v>43.805713287999147</v>
      </c>
      <c r="G53" s="26">
        <v>44.092286681992888</v>
      </c>
      <c r="H53" s="134">
        <f t="shared" si="2"/>
        <v>0.6541918222166011</v>
      </c>
      <c r="I53" s="26">
        <v>43.905782095868801</v>
      </c>
      <c r="J53" s="134">
        <f t="shared" si="3"/>
        <v>0.22843780036579975</v>
      </c>
      <c r="K53" s="26"/>
      <c r="L53" s="134" t="str">
        <f t="shared" si="4"/>
        <v/>
      </c>
      <c r="M53" s="190">
        <f t="shared" si="7"/>
        <v>43.934594021953615</v>
      </c>
      <c r="N53" s="130">
        <f t="shared" si="8"/>
        <v>0.33104442166783032</v>
      </c>
      <c r="P53" s="26"/>
      <c r="Q53" s="133" t="str">
        <f t="shared" si="5"/>
        <v/>
      </c>
      <c r="S53" s="26"/>
      <c r="T53" s="130" t="str">
        <f t="shared" si="6"/>
        <v/>
      </c>
      <c r="V53" s="201"/>
    </row>
    <row r="54" spans="1:22" x14ac:dyDescent="0.2">
      <c r="A54" s="191" t="s">
        <v>66</v>
      </c>
      <c r="B54" s="191">
        <v>200</v>
      </c>
      <c r="C54" s="192"/>
      <c r="D54" s="192">
        <v>1.6296937192778045</v>
      </c>
      <c r="E54" s="193">
        <v>94.739000000000004</v>
      </c>
      <c r="F54" s="123">
        <v>43.689963778958258</v>
      </c>
      <c r="G54" s="123">
        <v>43.701576307811465</v>
      </c>
      <c r="H54" s="133">
        <f t="shared" si="2"/>
        <v>2.6579396842619583E-2</v>
      </c>
      <c r="I54" s="123">
        <v>43.679734739163067</v>
      </c>
      <c r="J54" s="133">
        <f t="shared" si="3"/>
        <v>-2.3412790742844039E-2</v>
      </c>
      <c r="K54" s="123"/>
      <c r="L54" s="133" t="str">
        <f t="shared" si="4"/>
        <v/>
      </c>
      <c r="M54" s="190">
        <f t="shared" si="7"/>
        <v>43.690424941977597</v>
      </c>
      <c r="N54" s="133">
        <f t="shared" si="8"/>
        <v>2.5012539126946752E-2</v>
      </c>
      <c r="O54" s="43"/>
      <c r="P54" s="123"/>
      <c r="Q54" s="133" t="str">
        <f t="shared" si="5"/>
        <v/>
      </c>
      <c r="R54" s="43"/>
      <c r="S54" s="123"/>
      <c r="T54" s="133" t="str">
        <f t="shared" si="6"/>
        <v/>
      </c>
      <c r="V54" s="201"/>
    </row>
    <row r="55" spans="1:22" x14ac:dyDescent="0.2">
      <c r="A55" s="187" t="s">
        <v>70</v>
      </c>
      <c r="B55" s="187">
        <v>250</v>
      </c>
      <c r="C55" s="188"/>
      <c r="D55" s="188">
        <v>2.1356721844076167</v>
      </c>
      <c r="E55" s="189">
        <v>107.324</v>
      </c>
      <c r="F55" s="26">
        <v>43.513768819798806</v>
      </c>
      <c r="G55" s="26">
        <v>43.721189703892129</v>
      </c>
      <c r="H55" s="134">
        <f t="shared" si="2"/>
        <v>0.47667873806174915</v>
      </c>
      <c r="I55" s="26">
        <v>43.409450717891957</v>
      </c>
      <c r="J55" s="134">
        <f t="shared" si="3"/>
        <v>-0.23973584623031685</v>
      </c>
      <c r="K55" s="26"/>
      <c r="L55" s="134" t="str">
        <f t="shared" si="4"/>
        <v/>
      </c>
      <c r="M55" s="190">
        <f t="shared" si="7"/>
        <v>43.548136413860959</v>
      </c>
      <c r="N55" s="130">
        <f t="shared" si="8"/>
        <v>0.36439145459337696</v>
      </c>
      <c r="P55" s="26"/>
      <c r="Q55" s="133" t="str">
        <f t="shared" si="5"/>
        <v/>
      </c>
      <c r="S55" s="26"/>
      <c r="T55" s="130" t="str">
        <f t="shared" si="6"/>
        <v/>
      </c>
      <c r="V55" s="201"/>
    </row>
    <row r="56" spans="1:22" x14ac:dyDescent="0.2">
      <c r="A56" s="187" t="s">
        <v>74</v>
      </c>
      <c r="B56" s="187">
        <v>280</v>
      </c>
      <c r="C56" s="188"/>
      <c r="D56" s="188">
        <v>2.4331518775712206</v>
      </c>
      <c r="E56" s="189">
        <v>114.61199999999999</v>
      </c>
      <c r="F56" s="26">
        <v>43.474401215164995</v>
      </c>
      <c r="G56" s="26">
        <v>43.62341354205244</v>
      </c>
      <c r="H56" s="134">
        <f t="shared" si="2"/>
        <v>0.34275877924102333</v>
      </c>
      <c r="I56" s="26">
        <v>43.545802008809787</v>
      </c>
      <c r="J56" s="134">
        <f t="shared" si="3"/>
        <v>0.16423640498557324</v>
      </c>
      <c r="K56" s="26"/>
      <c r="L56" s="134" t="str">
        <f t="shared" si="4"/>
        <v/>
      </c>
      <c r="M56" s="190">
        <f t="shared" si="7"/>
        <v>43.547872255342405</v>
      </c>
      <c r="N56" s="130">
        <f t="shared" si="8"/>
        <v>0.17113977814246797</v>
      </c>
      <c r="P56" s="26"/>
      <c r="Q56" s="133" t="str">
        <f t="shared" si="5"/>
        <v/>
      </c>
      <c r="S56" s="26"/>
      <c r="T56" s="130" t="str">
        <f t="shared" si="6"/>
        <v/>
      </c>
      <c r="V56" s="201"/>
    </row>
    <row r="57" spans="1:22" x14ac:dyDescent="0.2">
      <c r="A57" s="187" t="s">
        <v>63</v>
      </c>
      <c r="B57" s="187">
        <v>150</v>
      </c>
      <c r="C57" s="188"/>
      <c r="D57" s="188">
        <v>1.3834337181000833</v>
      </c>
      <c r="E57" s="189">
        <v>89.066000000000003</v>
      </c>
      <c r="F57" s="26">
        <v>43.670863913125856</v>
      </c>
      <c r="G57" s="26">
        <v>43.722553445047566</v>
      </c>
      <c r="H57" s="134">
        <f t="shared" si="2"/>
        <v>0.11836159693230595</v>
      </c>
      <c r="I57" s="26">
        <v>43.682490976777366</v>
      </c>
      <c r="J57" s="134">
        <f t="shared" si="3"/>
        <v>2.6624304192010742E-2</v>
      </c>
      <c r="K57" s="26"/>
      <c r="L57" s="134" t="str">
        <f t="shared" si="4"/>
        <v/>
      </c>
      <c r="M57" s="190">
        <f t="shared" si="7"/>
        <v>43.691969444983592</v>
      </c>
      <c r="N57" s="130">
        <f t="shared" si="8"/>
        <v>6.2064089910257907E-2</v>
      </c>
      <c r="P57" s="26"/>
      <c r="Q57" s="133" t="str">
        <f t="shared" si="5"/>
        <v/>
      </c>
      <c r="S57" s="26"/>
      <c r="T57" s="130" t="str">
        <f t="shared" si="6"/>
        <v/>
      </c>
      <c r="V57" s="201"/>
    </row>
    <row r="58" spans="1:22" x14ac:dyDescent="0.2">
      <c r="A58" s="187" t="s">
        <v>67</v>
      </c>
      <c r="B58" s="187">
        <v>200</v>
      </c>
      <c r="C58" s="188"/>
      <c r="D58" s="188">
        <v>2.0015314501377075</v>
      </c>
      <c r="E58" s="189">
        <v>105.252</v>
      </c>
      <c r="F58" s="26">
        <v>43.561635089231913</v>
      </c>
      <c r="G58" s="26">
        <v>43.554247313935569</v>
      </c>
      <c r="H58" s="134">
        <f t="shared" si="2"/>
        <v>-1.6959361789820063E-2</v>
      </c>
      <c r="I58" s="26">
        <v>43.612414507351055</v>
      </c>
      <c r="J58" s="134">
        <f t="shared" si="3"/>
        <v>0.11656912789229464</v>
      </c>
      <c r="K58" s="26"/>
      <c r="L58" s="134" t="str">
        <f t="shared" si="4"/>
        <v/>
      </c>
      <c r="M58" s="190">
        <f t="shared" si="7"/>
        <v>43.576098970172843</v>
      </c>
      <c r="N58" s="130">
        <f t="shared" si="8"/>
        <v>7.2669107176395728E-2</v>
      </c>
      <c r="P58" s="26"/>
      <c r="Q58" s="133" t="str">
        <f t="shared" si="5"/>
        <v/>
      </c>
      <c r="S58" s="26"/>
      <c r="T58" s="130" t="str">
        <f t="shared" si="6"/>
        <v/>
      </c>
      <c r="V58" s="201"/>
    </row>
    <row r="59" spans="1:22" x14ac:dyDescent="0.2">
      <c r="A59" s="191" t="s">
        <v>71</v>
      </c>
      <c r="B59" s="191">
        <v>250</v>
      </c>
      <c r="C59" s="192"/>
      <c r="D59" s="192">
        <v>2.5711570771389516</v>
      </c>
      <c r="E59" s="193">
        <v>120.09699999999999</v>
      </c>
      <c r="F59" s="123">
        <v>43.478599723976892</v>
      </c>
      <c r="G59" s="123">
        <v>43.5712170673524</v>
      </c>
      <c r="H59" s="133">
        <f t="shared" si="2"/>
        <v>0.2130182295738311</v>
      </c>
      <c r="I59" s="123">
        <v>43.496012352359557</v>
      </c>
      <c r="J59" s="133">
        <f t="shared" si="3"/>
        <v>4.0048733154262044E-2</v>
      </c>
      <c r="K59" s="123"/>
      <c r="L59" s="133" t="str">
        <f t="shared" si="4"/>
        <v/>
      </c>
      <c r="M59" s="190">
        <f t="shared" si="7"/>
        <v>43.515276381229619</v>
      </c>
      <c r="N59" s="133">
        <f t="shared" si="8"/>
        <v>0.11311464709562943</v>
      </c>
      <c r="O59" s="43"/>
      <c r="P59" s="123"/>
      <c r="Q59" s="133" t="str">
        <f t="shared" si="5"/>
        <v/>
      </c>
      <c r="R59" s="43"/>
      <c r="S59" s="123"/>
      <c r="T59" s="133" t="str">
        <f t="shared" si="6"/>
        <v/>
      </c>
      <c r="V59" s="201"/>
    </row>
    <row r="60" spans="1:22" x14ac:dyDescent="0.2">
      <c r="A60" s="187" t="s">
        <v>75</v>
      </c>
      <c r="B60" s="187">
        <v>280</v>
      </c>
      <c r="C60" s="188"/>
      <c r="D60" s="188">
        <v>2.8808623211292477</v>
      </c>
      <c r="E60" s="189">
        <v>128.495</v>
      </c>
      <c r="F60" s="26">
        <v>43.396408583854011</v>
      </c>
      <c r="G60" s="26">
        <v>43.39330441458273</v>
      </c>
      <c r="H60" s="134">
        <f t="shared" si="2"/>
        <v>-7.153055684973912E-3</v>
      </c>
      <c r="I60" s="26">
        <v>43.461384656188287</v>
      </c>
      <c r="J60" s="134">
        <f t="shared" si="3"/>
        <v>0.14972684250753882</v>
      </c>
      <c r="K60" s="26"/>
      <c r="L60" s="134" t="str">
        <f t="shared" si="4"/>
        <v/>
      </c>
      <c r="M60" s="190">
        <f t="shared" si="7"/>
        <v>43.417032551541674</v>
      </c>
      <c r="N60" s="130">
        <f t="shared" si="8"/>
        <v>8.8539895136358696E-2</v>
      </c>
      <c r="P60" s="26"/>
      <c r="Q60" s="133" t="str">
        <f t="shared" si="5"/>
        <v/>
      </c>
      <c r="S60" s="26"/>
      <c r="T60" s="130" t="str">
        <f t="shared" si="6"/>
        <v/>
      </c>
      <c r="V60" s="201"/>
    </row>
    <row r="61" spans="1:22" x14ac:dyDescent="0.2">
      <c r="A61" s="187" t="s">
        <v>78</v>
      </c>
      <c r="B61" s="187">
        <v>300</v>
      </c>
      <c r="C61" s="188"/>
      <c r="D61" s="188">
        <v>3.0951576375640011</v>
      </c>
      <c r="E61" s="189">
        <v>133.916</v>
      </c>
      <c r="F61" s="26">
        <v>43.312738715719959</v>
      </c>
      <c r="G61" s="26">
        <v>43.400028083047069</v>
      </c>
      <c r="H61" s="134">
        <f t="shared" si="2"/>
        <v>0.20153278207602343</v>
      </c>
      <c r="I61" s="26">
        <v>43.365100722787048</v>
      </c>
      <c r="J61" s="134">
        <f t="shared" si="3"/>
        <v>0.12089285651217525</v>
      </c>
      <c r="K61" s="26"/>
      <c r="L61" s="134" t="str">
        <f t="shared" si="4"/>
        <v/>
      </c>
      <c r="M61" s="190">
        <f t="shared" si="7"/>
        <v>43.359289173851359</v>
      </c>
      <c r="N61" s="130">
        <f t="shared" si="8"/>
        <v>0.10132526843137067</v>
      </c>
      <c r="P61" s="26"/>
      <c r="Q61" s="133" t="str">
        <f t="shared" si="5"/>
        <v/>
      </c>
      <c r="S61" s="26"/>
      <c r="T61" s="130" t="str">
        <f t="shared" si="6"/>
        <v/>
      </c>
      <c r="V61" s="201"/>
    </row>
    <row r="62" spans="1:22" x14ac:dyDescent="0.2">
      <c r="A62" s="187" t="s">
        <v>68</v>
      </c>
      <c r="B62" s="187">
        <v>200</v>
      </c>
      <c r="C62" s="188"/>
      <c r="D62" s="188">
        <v>2.5415199349414408</v>
      </c>
      <c r="E62" s="189">
        <v>120.14700000000001</v>
      </c>
      <c r="F62" s="26">
        <v>43.330645180198545</v>
      </c>
      <c r="G62" s="26">
        <v>43.676958476638092</v>
      </c>
      <c r="H62" s="134">
        <f t="shared" si="2"/>
        <v>0.79923411017615542</v>
      </c>
      <c r="I62" s="26">
        <v>43.449247732798703</v>
      </c>
      <c r="J62" s="134">
        <f t="shared" si="3"/>
        <v>0.27371517803837875</v>
      </c>
      <c r="K62" s="26"/>
      <c r="L62" s="134" t="str">
        <f t="shared" si="4"/>
        <v/>
      </c>
      <c r="M62" s="190">
        <f t="shared" si="7"/>
        <v>43.485617129878449</v>
      </c>
      <c r="N62" s="130">
        <f t="shared" si="8"/>
        <v>0.40472678284159969</v>
      </c>
      <c r="P62" s="26"/>
      <c r="Q62" s="133" t="str">
        <f t="shared" si="5"/>
        <v/>
      </c>
      <c r="S62" s="26"/>
      <c r="T62" s="130" t="str">
        <f t="shared" si="6"/>
        <v/>
      </c>
      <c r="V62" s="201"/>
    </row>
    <row r="63" spans="1:22" x14ac:dyDescent="0.2">
      <c r="A63" s="187" t="s">
        <v>72</v>
      </c>
      <c r="B63" s="187">
        <v>250</v>
      </c>
      <c r="C63" s="188"/>
      <c r="D63" s="188">
        <v>3.1622519161675675</v>
      </c>
      <c r="E63" s="189">
        <v>137.45500000000001</v>
      </c>
      <c r="F63" s="26">
        <v>43.331238831140503</v>
      </c>
      <c r="G63" s="26">
        <v>43.404801243756268</v>
      </c>
      <c r="H63" s="134">
        <f t="shared" si="2"/>
        <v>0.16976761938986634</v>
      </c>
      <c r="I63" s="26">
        <v>43.446165289448082</v>
      </c>
      <c r="J63" s="134">
        <f t="shared" si="3"/>
        <v>0.26522772348014623</v>
      </c>
      <c r="K63" s="26"/>
      <c r="L63" s="134" t="str">
        <f t="shared" si="4"/>
        <v/>
      </c>
      <c r="M63" s="190">
        <f t="shared" si="7"/>
        <v>43.394068454781625</v>
      </c>
      <c r="N63" s="130">
        <f t="shared" si="8"/>
        <v>0.13414301823574637</v>
      </c>
      <c r="P63" s="26"/>
      <c r="Q63" s="133" t="str">
        <f t="shared" si="5"/>
        <v/>
      </c>
      <c r="S63" s="26"/>
      <c r="T63" s="130" t="str">
        <f t="shared" si="6"/>
        <v/>
      </c>
      <c r="V63" s="201"/>
    </row>
    <row r="64" spans="1:22" x14ac:dyDescent="0.2">
      <c r="A64" s="191" t="s">
        <v>76</v>
      </c>
      <c r="B64" s="191">
        <v>280</v>
      </c>
      <c r="C64" s="192"/>
      <c r="D64" s="192">
        <v>3.5006101210159413</v>
      </c>
      <c r="E64" s="193">
        <v>147.05000000000001</v>
      </c>
      <c r="F64" s="123">
        <v>43.257305670095107</v>
      </c>
      <c r="G64" s="123">
        <v>43.401496553153734</v>
      </c>
      <c r="H64" s="133">
        <f t="shared" si="2"/>
        <v>0.33333301930154663</v>
      </c>
      <c r="I64" s="123">
        <v>43.337567650074902</v>
      </c>
      <c r="J64" s="133">
        <f t="shared" si="3"/>
        <v>0.1855454904933721</v>
      </c>
      <c r="K64" s="123"/>
      <c r="L64" s="133" t="str">
        <f t="shared" si="4"/>
        <v/>
      </c>
      <c r="M64" s="190">
        <f t="shared" si="7"/>
        <v>43.332123291107912</v>
      </c>
      <c r="N64" s="133">
        <f t="shared" si="8"/>
        <v>0.1667341630388513</v>
      </c>
      <c r="O64" s="43"/>
      <c r="P64" s="123"/>
      <c r="Q64" s="133" t="str">
        <f t="shared" si="5"/>
        <v/>
      </c>
      <c r="R64" s="43"/>
      <c r="S64" s="123"/>
      <c r="T64" s="133" t="str">
        <f t="shared" si="6"/>
        <v/>
      </c>
      <c r="V64" s="201"/>
    </row>
    <row r="65" spans="1:22" x14ac:dyDescent="0.2">
      <c r="A65" s="191" t="s">
        <v>79</v>
      </c>
      <c r="B65" s="191">
        <v>300</v>
      </c>
      <c r="C65" s="192"/>
      <c r="D65" s="192">
        <v>3.7047905897248823</v>
      </c>
      <c r="E65" s="193">
        <v>153.21</v>
      </c>
      <c r="F65" s="123">
        <v>43.22535383483774</v>
      </c>
      <c r="G65" s="123">
        <v>43.429356532803624</v>
      </c>
      <c r="H65" s="133">
        <f t="shared" si="2"/>
        <v>0.47195148186726033</v>
      </c>
      <c r="I65" s="123">
        <v>43.155667537735951</v>
      </c>
      <c r="J65" s="133">
        <f t="shared" si="3"/>
        <v>-0.16121625601506401</v>
      </c>
      <c r="K65" s="123"/>
      <c r="L65" s="133" t="str">
        <f t="shared" si="4"/>
        <v/>
      </c>
      <c r="M65" s="190">
        <f t="shared" si="7"/>
        <v>43.270125968459105</v>
      </c>
      <c r="N65" s="133">
        <f t="shared" si="8"/>
        <v>0.32870620147581092</v>
      </c>
      <c r="O65" s="43"/>
      <c r="P65" s="123"/>
      <c r="Q65" s="133" t="str">
        <f t="shared" si="5"/>
        <v/>
      </c>
      <c r="R65" s="43"/>
      <c r="S65" s="123"/>
      <c r="T65" s="133" t="str">
        <f t="shared" si="6"/>
        <v/>
      </c>
      <c r="V65" s="201"/>
    </row>
    <row r="66" spans="1:22" x14ac:dyDescent="0.2">
      <c r="A66" s="187" t="s">
        <v>81</v>
      </c>
      <c r="B66" s="187">
        <v>320</v>
      </c>
      <c r="C66" s="188"/>
      <c r="D66" s="188">
        <v>3.8972650748324895</v>
      </c>
      <c r="E66" s="189">
        <v>159.21700000000001</v>
      </c>
      <c r="F66" s="26">
        <v>43.083004608461458</v>
      </c>
      <c r="G66" s="26">
        <v>43.217599498628935</v>
      </c>
      <c r="H66" s="134">
        <f t="shared" si="2"/>
        <v>0.31240831829320254</v>
      </c>
      <c r="I66" s="26">
        <v>43.094736545706326</v>
      </c>
      <c r="J66" s="134">
        <f t="shared" si="3"/>
        <v>2.7231009887744718E-2</v>
      </c>
      <c r="K66" s="26"/>
      <c r="L66" s="134" t="str">
        <f t="shared" si="4"/>
        <v/>
      </c>
      <c r="M66" s="190">
        <f t="shared" si="7"/>
        <v>43.131780217598909</v>
      </c>
      <c r="N66" s="130">
        <f t="shared" si="8"/>
        <v>0.17284890319987489</v>
      </c>
      <c r="P66" s="26"/>
      <c r="Q66" s="133" t="str">
        <f t="shared" si="5"/>
        <v/>
      </c>
      <c r="S66" s="26"/>
      <c r="T66" s="130" t="str">
        <f t="shared" si="6"/>
        <v/>
      </c>
      <c r="V66" s="201"/>
    </row>
    <row r="67" spans="1:22" x14ac:dyDescent="0.2">
      <c r="A67" s="187" t="s">
        <v>73</v>
      </c>
      <c r="B67" s="187">
        <v>250</v>
      </c>
      <c r="C67" s="188"/>
      <c r="D67" s="188">
        <v>3.5951513428636979</v>
      </c>
      <c r="E67" s="189">
        <v>149.50700000000001</v>
      </c>
      <c r="F67" s="26">
        <v>43.322328360798579</v>
      </c>
      <c r="G67" s="26">
        <v>43.334894998964273</v>
      </c>
      <c r="H67" s="134">
        <f t="shared" si="2"/>
        <v>2.9007300948915335E-2</v>
      </c>
      <c r="I67" s="26">
        <v>43.129445098776301</v>
      </c>
      <c r="J67" s="134">
        <f t="shared" si="3"/>
        <v>-0.44522829063087382</v>
      </c>
      <c r="K67" s="26"/>
      <c r="L67" s="134" t="str">
        <f t="shared" si="4"/>
        <v/>
      </c>
      <c r="M67" s="190">
        <f t="shared" si="7"/>
        <v>43.262222819513056</v>
      </c>
      <c r="N67" s="130">
        <f t="shared" si="8"/>
        <v>0.26619164009598967</v>
      </c>
      <c r="P67" s="26"/>
      <c r="Q67" s="133" t="str">
        <f t="shared" si="5"/>
        <v/>
      </c>
      <c r="S67" s="26"/>
      <c r="T67" s="130" t="str">
        <f t="shared" si="6"/>
        <v/>
      </c>
      <c r="V67" s="201"/>
    </row>
    <row r="68" spans="1:22" x14ac:dyDescent="0.2">
      <c r="A68" s="187" t="s">
        <v>77</v>
      </c>
      <c r="B68" s="187">
        <v>280</v>
      </c>
      <c r="C68" s="188"/>
      <c r="D68" s="188">
        <v>3.9334817438945446</v>
      </c>
      <c r="E68" s="189">
        <v>159.91800000000001</v>
      </c>
      <c r="F68" s="26">
        <v>43.226855678560845</v>
      </c>
      <c r="G68" s="26">
        <v>43.29894803819527</v>
      </c>
      <c r="H68" s="134">
        <f t="shared" si="2"/>
        <v>0.16677678379040761</v>
      </c>
      <c r="I68" s="26">
        <v>43.222950590743693</v>
      </c>
      <c r="J68" s="134">
        <f t="shared" si="3"/>
        <v>-9.0339391007083231E-3</v>
      </c>
      <c r="K68" s="26"/>
      <c r="L68" s="134" t="str">
        <f t="shared" si="4"/>
        <v/>
      </c>
      <c r="M68" s="190">
        <f t="shared" si="7"/>
        <v>43.249584769166603</v>
      </c>
      <c r="N68" s="130">
        <f t="shared" si="8"/>
        <v>9.8947566664914804E-2</v>
      </c>
      <c r="P68" s="26"/>
      <c r="Q68" s="133" t="str">
        <f t="shared" si="5"/>
        <v/>
      </c>
      <c r="S68" s="26"/>
      <c r="T68" s="130" t="str">
        <f t="shared" si="6"/>
        <v/>
      </c>
      <c r="V68" s="201"/>
    </row>
    <row r="69" spans="1:22" x14ac:dyDescent="0.2">
      <c r="A69" s="187" t="s">
        <v>80</v>
      </c>
      <c r="B69" s="187">
        <v>300</v>
      </c>
      <c r="C69" s="188"/>
      <c r="D69" s="188">
        <v>4.1453765509423093</v>
      </c>
      <c r="E69" s="189">
        <v>166.58099999999999</v>
      </c>
      <c r="F69" s="26">
        <v>43.156947806155088</v>
      </c>
      <c r="G69" s="26">
        <v>43.161333172657429</v>
      </c>
      <c r="H69" s="134">
        <f t="shared" si="2"/>
        <v>1.0161438019291796E-2</v>
      </c>
      <c r="I69" s="26">
        <v>43.083653065493372</v>
      </c>
      <c r="J69" s="134">
        <f t="shared" si="3"/>
        <v>-0.16983300346198796</v>
      </c>
      <c r="K69" s="26"/>
      <c r="L69" s="134" t="str">
        <f t="shared" si="4"/>
        <v/>
      </c>
      <c r="M69" s="190">
        <f t="shared" si="7"/>
        <v>43.133978014768623</v>
      </c>
      <c r="N69" s="130">
        <f t="shared" si="8"/>
        <v>0.1011680572447128</v>
      </c>
      <c r="P69" s="26"/>
      <c r="Q69" s="133" t="str">
        <f t="shared" si="5"/>
        <v/>
      </c>
      <c r="S69" s="26"/>
      <c r="T69" s="130" t="str">
        <f t="shared" si="6"/>
        <v/>
      </c>
      <c r="V69" s="201"/>
    </row>
    <row r="70" spans="1:22" x14ac:dyDescent="0.2">
      <c r="A70" s="187" t="s">
        <v>82</v>
      </c>
      <c r="B70" s="187">
        <v>320</v>
      </c>
      <c r="C70" s="188"/>
      <c r="D70" s="188">
        <v>4.335531420085327</v>
      </c>
      <c r="E70" s="189">
        <v>173.059</v>
      </c>
      <c r="F70" s="26">
        <v>43.060445735630651</v>
      </c>
      <c r="G70" s="26">
        <v>43.014795931452277</v>
      </c>
      <c r="H70" s="134">
        <f t="shared" si="2"/>
        <v>-0.10601331082042512</v>
      </c>
      <c r="I70" s="26">
        <v>43.070332764257763</v>
      </c>
      <c r="J70" s="134">
        <f t="shared" si="3"/>
        <v>2.2960813475581671E-2</v>
      </c>
      <c r="K70" s="26"/>
      <c r="L70" s="134" t="str">
        <f t="shared" si="4"/>
        <v/>
      </c>
      <c r="M70" s="190">
        <f t="shared" si="7"/>
        <v>43.048524810446899</v>
      </c>
      <c r="N70" s="130">
        <f t="shared" si="8"/>
        <v>6.8818695490915391E-2</v>
      </c>
      <c r="P70" s="26"/>
      <c r="Q70" s="133" t="str">
        <f t="shared" si="5"/>
        <v/>
      </c>
      <c r="S70" s="26"/>
      <c r="T70" s="130" t="str">
        <f t="shared" si="6"/>
        <v/>
      </c>
      <c r="V70" s="201"/>
    </row>
    <row r="71" spans="1:22" x14ac:dyDescent="0.2">
      <c r="A71" s="194" t="s">
        <v>101</v>
      </c>
      <c r="B71" s="187">
        <v>250</v>
      </c>
      <c r="C71" s="188"/>
      <c r="D71" s="188">
        <f>D59</f>
        <v>2.5711570771389516</v>
      </c>
      <c r="E71" s="189">
        <v>120.09699999999999</v>
      </c>
      <c r="F71" s="26">
        <v>43.326729011236971</v>
      </c>
      <c r="G71" s="26">
        <v>43.373170109332086</v>
      </c>
      <c r="H71" s="134">
        <f t="shared" si="2"/>
        <v>0.1071881010982183</v>
      </c>
      <c r="I71" s="26">
        <v>43.332892944416528</v>
      </c>
      <c r="J71" s="134">
        <f t="shared" si="3"/>
        <v>1.422662942766555E-2</v>
      </c>
      <c r="K71" s="26"/>
      <c r="L71" s="134" t="str">
        <f t="shared" si="4"/>
        <v/>
      </c>
      <c r="M71" s="190">
        <f t="shared" si="7"/>
        <v>43.344264021661864</v>
      </c>
      <c r="N71" s="130">
        <f t="shared" si="8"/>
        <v>5.8190882175145953E-2</v>
      </c>
      <c r="P71" s="26"/>
      <c r="Q71" s="133" t="str">
        <f t="shared" si="5"/>
        <v/>
      </c>
      <c r="S71" s="26"/>
      <c r="T71" s="130" t="str">
        <f t="shared" si="6"/>
        <v/>
      </c>
      <c r="V71" s="201"/>
    </row>
    <row r="72" spans="1:22" x14ac:dyDescent="0.2">
      <c r="A72" s="194" t="s">
        <v>100</v>
      </c>
      <c r="B72" s="187">
        <v>280</v>
      </c>
      <c r="C72" s="188"/>
      <c r="D72" s="188">
        <f>D64</f>
        <v>3.5006101210159413</v>
      </c>
      <c r="E72" s="189">
        <v>147.05000000000001</v>
      </c>
      <c r="F72" s="26">
        <v>43.353820242662607</v>
      </c>
      <c r="G72" s="26">
        <v>43.358366969363829</v>
      </c>
      <c r="H72" s="134">
        <f t="shared" si="2"/>
        <v>1.0487488013218093E-2</v>
      </c>
      <c r="I72" s="26">
        <v>43.286072204935664</v>
      </c>
      <c r="J72" s="134">
        <f t="shared" si="3"/>
        <v>-0.15626774606652857</v>
      </c>
      <c r="K72" s="26"/>
      <c r="L72" s="134" t="str">
        <f t="shared" si="4"/>
        <v/>
      </c>
      <c r="M72" s="190">
        <f t="shared" si="7"/>
        <v>43.332753138987364</v>
      </c>
      <c r="N72" s="130">
        <f t="shared" si="8"/>
        <v>9.3441430532945222E-2</v>
      </c>
      <c r="P72" s="26"/>
      <c r="Q72" s="133" t="str">
        <f t="shared" si="5"/>
        <v/>
      </c>
      <c r="S72" s="26"/>
      <c r="T72" s="130" t="str">
        <f t="shared" si="6"/>
        <v/>
      </c>
      <c r="V72" s="201"/>
    </row>
    <row r="73" spans="1:22" x14ac:dyDescent="0.2">
      <c r="A73" s="191" t="s">
        <v>99</v>
      </c>
      <c r="B73" s="191">
        <v>300</v>
      </c>
      <c r="C73" s="192"/>
      <c r="D73" s="192">
        <f>D65</f>
        <v>3.7047905897248823</v>
      </c>
      <c r="E73" s="193">
        <v>153.21</v>
      </c>
      <c r="F73" s="123">
        <v>43.280830122350963</v>
      </c>
      <c r="G73" s="123">
        <v>43.305817328542915</v>
      </c>
      <c r="H73" s="133">
        <f t="shared" si="2"/>
        <v>5.7732733224652284E-2</v>
      </c>
      <c r="I73" s="123">
        <v>43.234711168264994</v>
      </c>
      <c r="J73" s="133">
        <f t="shared" si="3"/>
        <v>-0.10655746194237758</v>
      </c>
      <c r="K73" s="123"/>
      <c r="L73" s="133" t="str">
        <f t="shared" si="4"/>
        <v/>
      </c>
      <c r="M73" s="190">
        <f t="shared" si="7"/>
        <v>43.273786206386291</v>
      </c>
      <c r="N73" s="133">
        <f t="shared" si="8"/>
        <v>8.3359061800341791E-2</v>
      </c>
      <c r="O73" s="43"/>
      <c r="P73" s="123"/>
      <c r="Q73" s="133" t="str">
        <f t="shared" si="5"/>
        <v/>
      </c>
      <c r="R73" s="43"/>
      <c r="S73" s="123"/>
      <c r="T73" s="133" t="str">
        <f t="shared" si="6"/>
        <v/>
      </c>
      <c r="V73" s="201"/>
    </row>
    <row r="74" spans="1:22" ht="4.5" customHeight="1" x14ac:dyDescent="0.2"/>
    <row r="75" spans="1:22" x14ac:dyDescent="0.2">
      <c r="E75" s="276" t="s">
        <v>5</v>
      </c>
      <c r="F75" s="274">
        <v>44379</v>
      </c>
      <c r="G75" s="280">
        <v>44383</v>
      </c>
      <c r="H75" s="275"/>
      <c r="I75" s="274">
        <v>44383</v>
      </c>
      <c r="J75" s="275"/>
      <c r="K75" s="274"/>
    </row>
    <row r="83" spans="19:19" x14ac:dyDescent="0.2">
      <c r="S83" s="257" t="s">
        <v>374</v>
      </c>
    </row>
    <row r="84" spans="19:19" x14ac:dyDescent="0.2">
      <c r="S84" s="279">
        <f>IF(MIN(F75,G75,I75,K75)&lt;30000,"",MIN(F75,G75,I75,K75))</f>
        <v>44379</v>
      </c>
    </row>
    <row r="85" spans="19:19" x14ac:dyDescent="0.2">
      <c r="S85" s="279">
        <f>IF(MAX(F75,G75,I75,K75)&lt;30000,"",MAX(F75,G75,I75,K75))</f>
        <v>44383</v>
      </c>
    </row>
  </sheetData>
  <sheetProtection scenarios="1"/>
  <mergeCells count="7">
    <mergeCell ref="B4:C4"/>
    <mergeCell ref="B5:C5"/>
    <mergeCell ref="M7:N7"/>
    <mergeCell ref="M8:N8"/>
    <mergeCell ref="P8:Q8"/>
    <mergeCell ref="N5:T5"/>
    <mergeCell ref="S8:T8"/>
  </mergeCells>
  <phoneticPr fontId="2" type="noConversion"/>
  <conditionalFormatting sqref="N12:N73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{BDD2C415-D5F1-48DF-8496-BFDD6A6DB1DB}</x14:id>
        </ext>
      </extLst>
    </cfRule>
    <cfRule type="cellIs" dxfId="1" priority="56" stopIfTrue="1" operator="greaterThan">
      <formula>0.3</formula>
    </cfRule>
  </conditionalFormatting>
  <conditionalFormatting sqref="T12:T73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{9A052B69-97F2-44C8-AE23-000F0256CFB1}</x14:id>
        </ext>
      </extLst>
    </cfRule>
  </conditionalFormatting>
  <conditionalFormatting sqref="C8">
    <cfRule type="expression" dxfId="0" priority="1">
      <formula>$C$8&lt;&gt;$C$7</formula>
    </cfRule>
  </conditionalFormatting>
  <pageMargins left="0.74803149606299213" right="0.74803149606299213" top="0.98425196850393704" bottom="0.98425196850393704" header="0.51181102362204722" footer="0.51181102362204722"/>
  <pageSetup paperSize="9" scale="49" orientation="landscape" r:id="rId1"/>
  <headerFooter alignWithMargins="0">
    <oddFooter>&amp;L&amp;8&amp;D    &amp;Z&amp;F&amp;R&amp;8&amp;A</oddFooter>
  </headerFooter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28</xdr:col>
                <xdr:colOff>333375</xdr:colOff>
                <xdr:row>43</xdr:row>
                <xdr:rowOff>133350</xdr:rowOff>
              </from>
              <to>
                <xdr:col>30</xdr:col>
                <xdr:colOff>476250</xdr:colOff>
                <xdr:row>46</xdr:row>
                <xdr:rowOff>19050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D2C415-D5F1-48DF-8496-BFDD6A6DB1DB}">
            <x14:dataBar minLength="0" maxLength="100" negativeBarColorSameAsPositive="1" axisPosition="none">
              <x14:cfvo type="min"/>
              <x14:cfvo type="max"/>
            </x14:dataBar>
          </x14:cfRule>
          <xm:sqref>N12:N73</xm:sqref>
        </x14:conditionalFormatting>
        <x14:conditionalFormatting xmlns:xm="http://schemas.microsoft.com/office/excel/2006/main">
          <x14:cfRule type="dataBar" id="{9A052B69-97F2-44C8-AE23-000F0256CFB1}">
            <x14:dataBar minLength="0" maxLength="100" negativeBarColorSameAsPositive="1" axisPosition="none">
              <x14:cfvo type="min"/>
              <x14:cfvo type="max"/>
            </x14:dataBar>
          </x14:cfRule>
          <xm:sqref>T12:T73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X140"/>
  <sheetViews>
    <sheetView workbookViewId="0">
      <selection activeCell="I6" sqref="I6"/>
    </sheetView>
  </sheetViews>
  <sheetFormatPr defaultRowHeight="12.75" x14ac:dyDescent="0.2"/>
  <cols>
    <col min="11" max="11" width="3.85546875" customWidth="1"/>
  </cols>
  <sheetData>
    <row r="1" spans="1:21" ht="15" x14ac:dyDescent="0.25">
      <c r="A1" s="4" t="s">
        <v>97</v>
      </c>
      <c r="L1" s="62" t="s">
        <v>389</v>
      </c>
    </row>
    <row r="2" spans="1:21" ht="15" x14ac:dyDescent="0.25">
      <c r="L2" s="62" t="s">
        <v>396</v>
      </c>
    </row>
    <row r="3" spans="1:21" ht="15" x14ac:dyDescent="0.25">
      <c r="L3" s="62" t="s">
        <v>397</v>
      </c>
    </row>
    <row r="5" spans="1:21" x14ac:dyDescent="0.2">
      <c r="A5" s="4" t="s">
        <v>103</v>
      </c>
      <c r="L5" s="4" t="s">
        <v>98</v>
      </c>
    </row>
    <row r="7" spans="1:21" ht="63" customHeight="1" x14ac:dyDescent="0.2">
      <c r="A7" s="49" t="s">
        <v>85</v>
      </c>
      <c r="B7" s="49" t="s">
        <v>86</v>
      </c>
      <c r="C7" s="49" t="s">
        <v>87</v>
      </c>
      <c r="D7" s="49" t="s">
        <v>88</v>
      </c>
      <c r="E7" s="49" t="s">
        <v>94</v>
      </c>
      <c r="F7" s="49" t="s">
        <v>95</v>
      </c>
      <c r="G7" s="49" t="s">
        <v>89</v>
      </c>
      <c r="H7" s="49" t="s">
        <v>90</v>
      </c>
      <c r="I7" s="49" t="s">
        <v>104</v>
      </c>
      <c r="J7" s="49" t="s">
        <v>91</v>
      </c>
      <c r="L7" s="49" t="s">
        <v>85</v>
      </c>
      <c r="M7" s="49" t="s">
        <v>86</v>
      </c>
      <c r="N7" s="49" t="s">
        <v>87</v>
      </c>
      <c r="O7" s="49" t="s">
        <v>88</v>
      </c>
      <c r="P7" s="49" t="s">
        <v>94</v>
      </c>
      <c r="Q7" s="49" t="s">
        <v>95</v>
      </c>
      <c r="R7" s="49" t="s">
        <v>105</v>
      </c>
      <c r="S7" s="49" t="s">
        <v>90</v>
      </c>
      <c r="T7" s="49" t="s">
        <v>104</v>
      </c>
      <c r="U7" s="49" t="s">
        <v>91</v>
      </c>
    </row>
    <row r="8" spans="1:21" x14ac:dyDescent="0.2">
      <c r="A8" s="51" t="str">
        <f>L13</f>
        <v>NXA50</v>
      </c>
      <c r="B8" s="51">
        <f>M13</f>
        <v>50</v>
      </c>
      <c r="C8" s="52">
        <f>N13</f>
        <v>4</v>
      </c>
      <c r="D8" s="52"/>
      <c r="E8" s="53">
        <f t="shared" ref="E8:J8" si="0">P13</f>
        <v>2.3884184190002435</v>
      </c>
      <c r="F8" s="53">
        <f t="shared" si="0"/>
        <v>7.9990307372596242E-2</v>
      </c>
      <c r="G8" s="52">
        <f t="shared" si="0"/>
        <v>29.934000000000001</v>
      </c>
      <c r="H8" s="52">
        <f t="shared" si="0"/>
        <v>0.3614711080424986</v>
      </c>
      <c r="I8" s="53">
        <f t="shared" si="0"/>
        <v>45.021741124033042</v>
      </c>
      <c r="J8" s="52">
        <f t="shared" si="0"/>
        <v>1.4219866338412048</v>
      </c>
      <c r="L8" s="51" t="str">
        <f>MEXtabs!L77</f>
        <v>NXJ40</v>
      </c>
      <c r="M8" s="51">
        <f>MEXtabs!M77</f>
        <v>40</v>
      </c>
      <c r="N8" s="52">
        <f>MEXtabs!N77</f>
        <v>0.5</v>
      </c>
      <c r="O8" s="52"/>
      <c r="P8" s="53">
        <f>MEXtabs!P77</f>
        <v>0.57492783060838692</v>
      </c>
      <c r="Q8" s="53"/>
      <c r="R8" s="52">
        <f>MEXtabs!R77</f>
        <v>17.956</v>
      </c>
      <c r="S8" s="52">
        <f>MEXtabs!S77</f>
        <v>1.9268716103181462</v>
      </c>
      <c r="T8" s="53">
        <f>MEXtabs!T77</f>
        <v>47.693535864374525</v>
      </c>
      <c r="U8" s="52">
        <f>U77</f>
        <v>1.5314651857126156</v>
      </c>
    </row>
    <row r="9" spans="1:21" x14ac:dyDescent="0.2">
      <c r="A9" s="54" t="str">
        <f>L20</f>
        <v>NXA70</v>
      </c>
      <c r="B9" s="54">
        <f>M20</f>
        <v>70</v>
      </c>
      <c r="C9" s="55">
        <f>N20</f>
        <v>4</v>
      </c>
      <c r="D9" s="55"/>
      <c r="E9" s="56">
        <f t="shared" ref="E9:J9" si="1">P20</f>
        <v>3.1929733252964523</v>
      </c>
      <c r="F9" s="56">
        <f t="shared" si="1"/>
        <v>0.11135967269909675</v>
      </c>
      <c r="G9" s="55">
        <f t="shared" si="1"/>
        <v>34.274999999999999</v>
      </c>
      <c r="H9" s="55">
        <f t="shared" si="1"/>
        <v>0.80408604444712184</v>
      </c>
      <c r="I9" s="56">
        <f t="shared" si="1"/>
        <v>44.974926824133554</v>
      </c>
      <c r="J9" s="55">
        <f t="shared" si="1"/>
        <v>1.4210667981440146</v>
      </c>
      <c r="L9" s="54" t="str">
        <f>MEXtabs!L84</f>
        <v>NXK40</v>
      </c>
      <c r="M9" s="54">
        <f>MEXtabs!M84</f>
        <v>40</v>
      </c>
      <c r="N9" s="55">
        <f>MEXtabs!N84</f>
        <v>1</v>
      </c>
      <c r="O9" s="54"/>
      <c r="P9" s="56">
        <f>MEXtabs!P84</f>
        <v>0.9258920135550176</v>
      </c>
      <c r="Q9" s="54"/>
      <c r="R9" s="55">
        <f>MEXtabs!R84</f>
        <v>20.93</v>
      </c>
      <c r="S9" s="55">
        <f>MEXtabs!S84</f>
        <v>1.034243431193558</v>
      </c>
      <c r="T9" s="56">
        <f>MEXtabs!T84</f>
        <v>46.203313821965558</v>
      </c>
      <c r="U9" s="55">
        <f>U84</f>
        <v>1.4416078706253674</v>
      </c>
    </row>
    <row r="10" spans="1:21" x14ac:dyDescent="0.2">
      <c r="A10" s="54" t="str">
        <f>L31</f>
        <v>NXB100</v>
      </c>
      <c r="B10" s="54">
        <f>M31</f>
        <v>100</v>
      </c>
      <c r="C10" s="55">
        <f>N31</f>
        <v>4.5</v>
      </c>
      <c r="D10" s="55"/>
      <c r="E10" s="56">
        <f t="shared" ref="E10:J10" si="2">P31</f>
        <v>4.7352150332082985</v>
      </c>
      <c r="F10" s="56">
        <f t="shared" si="2"/>
        <v>0.18268575344478749</v>
      </c>
      <c r="G10" s="55">
        <f t="shared" si="2"/>
        <v>41.587000000000003</v>
      </c>
      <c r="H10" s="55">
        <f t="shared" si="2"/>
        <v>1.5383545199985422</v>
      </c>
      <c r="I10" s="56">
        <f t="shared" si="2"/>
        <v>44.778484986701471</v>
      </c>
      <c r="J10" s="55">
        <f t="shared" si="2"/>
        <v>1.4040446675332428</v>
      </c>
      <c r="L10" s="54" t="str">
        <f>MEXtabs!L91</f>
        <v>NXA40</v>
      </c>
      <c r="M10" s="54">
        <f>MEXtabs!M91</f>
        <v>40</v>
      </c>
      <c r="N10" s="55">
        <f>MEXtabs!N91</f>
        <v>4</v>
      </c>
      <c r="O10" s="55"/>
      <c r="P10" s="56">
        <f>MEXtabs!P91</f>
        <v>1.8978864505991633</v>
      </c>
      <c r="Q10" s="56">
        <f>MEXtabs!Q91</f>
        <v>6.272293453927999E-2</v>
      </c>
      <c r="R10" s="55">
        <f>MEXtabs!R91</f>
        <v>27.068000000000001</v>
      </c>
      <c r="S10" s="55">
        <f>MEXtabs!S91</f>
        <v>0.1822076112575701</v>
      </c>
      <c r="T10" s="56">
        <f>MEXtabs!T91</f>
        <v>44.99892515741616</v>
      </c>
      <c r="U10" s="55">
        <f>U91</f>
        <v>1.4338042016894315</v>
      </c>
    </row>
    <row r="11" spans="1:21" x14ac:dyDescent="0.2">
      <c r="A11" s="54" t="str">
        <f>L35</f>
        <v>NXC120</v>
      </c>
      <c r="B11" s="54">
        <f>M35</f>
        <v>120</v>
      </c>
      <c r="C11" s="55">
        <f>N35</f>
        <v>6</v>
      </c>
      <c r="D11" s="55"/>
      <c r="E11" s="56">
        <f t="shared" ref="E11:J11" si="3">P35</f>
        <v>6.3769778478391608</v>
      </c>
      <c r="F11" s="56">
        <f t="shared" si="3"/>
        <v>0.28062311390349393</v>
      </c>
      <c r="G11" s="55">
        <f t="shared" si="3"/>
        <v>48.945</v>
      </c>
      <c r="H11" s="55">
        <f t="shared" si="3"/>
        <v>1.7719286135797616</v>
      </c>
      <c r="I11" s="56">
        <f t="shared" si="3"/>
        <v>44.596340368679414</v>
      </c>
      <c r="J11" s="55">
        <f t="shared" si="3"/>
        <v>1.4061150802800539</v>
      </c>
      <c r="L11" s="51" t="str">
        <f>MEXtabs!L78</f>
        <v>NXJ50</v>
      </c>
      <c r="M11" s="51">
        <f>MEXtabs!M78</f>
        <v>50</v>
      </c>
      <c r="N11" s="52">
        <f>MEXtabs!N78</f>
        <v>0.5</v>
      </c>
      <c r="O11" s="52"/>
      <c r="P11" s="53">
        <f>MEXtabs!P78</f>
        <v>0.68410318438743511</v>
      </c>
      <c r="Q11" s="53"/>
      <c r="R11" s="52">
        <f>MEXtabs!R78</f>
        <v>19.5</v>
      </c>
      <c r="S11" s="52">
        <f>MEXtabs!S78</f>
        <v>2.6952770739921679</v>
      </c>
      <c r="T11" s="53">
        <f>MEXtabs!T78</f>
        <v>47.316194322138813</v>
      </c>
      <c r="U11" s="52">
        <f>U78</f>
        <v>1.409275979947773</v>
      </c>
    </row>
    <row r="12" spans="1:21" x14ac:dyDescent="0.2">
      <c r="A12" s="54" t="str">
        <f>L40</f>
        <v>NXD140</v>
      </c>
      <c r="B12" s="54">
        <f>M40</f>
        <v>140</v>
      </c>
      <c r="C12" s="55">
        <f>N40</f>
        <v>9</v>
      </c>
      <c r="D12" s="55"/>
      <c r="E12" s="56">
        <f t="shared" ref="E12:J12" si="4">P40</f>
        <v>8.4359614589862257</v>
      </c>
      <c r="F12" s="56">
        <f t="shared" si="4"/>
        <v>0.45081671702125536</v>
      </c>
      <c r="G12" s="55">
        <f t="shared" si="4"/>
        <v>58.063000000000002</v>
      </c>
      <c r="H12" s="55">
        <f t="shared" si="4"/>
        <v>1.7579510853719673</v>
      </c>
      <c r="I12" s="56">
        <f t="shared" si="4"/>
        <v>44.384979291011668</v>
      </c>
      <c r="J12" s="55">
        <f t="shared" si="4"/>
        <v>1.4142613521154321</v>
      </c>
      <c r="L12" s="54" t="str">
        <f>MEXtabs!L85</f>
        <v>NXK50</v>
      </c>
      <c r="M12" s="54">
        <f>MEXtabs!M85</f>
        <v>50</v>
      </c>
      <c r="N12" s="55">
        <f>MEXtabs!N85</f>
        <v>1</v>
      </c>
      <c r="O12" s="54"/>
      <c r="P12" s="56">
        <f>MEXtabs!P85</f>
        <v>1.1174180366661788</v>
      </c>
      <c r="Q12" s="54"/>
      <c r="R12" s="55">
        <f>MEXtabs!R85</f>
        <v>22.646000000000001</v>
      </c>
      <c r="S12" s="55">
        <f>MEXtabs!S85</f>
        <v>1.5613142122232517</v>
      </c>
      <c r="T12" s="56">
        <f>MEXtabs!T85</f>
        <v>45.914809793111083</v>
      </c>
      <c r="U12" s="55">
        <f>U85</f>
        <v>1.4897003515081115</v>
      </c>
    </row>
    <row r="13" spans="1:21" x14ac:dyDescent="0.2">
      <c r="A13" s="54" t="str">
        <f>L45</f>
        <v>NXE150</v>
      </c>
      <c r="B13" s="54">
        <f>M45</f>
        <v>150</v>
      </c>
      <c r="C13" s="55">
        <f>N45</f>
        <v>4</v>
      </c>
      <c r="D13" s="55">
        <f>O45</f>
        <v>0.5</v>
      </c>
      <c r="E13" s="56"/>
      <c r="F13" s="56">
        <f>Q45</f>
        <v>0.83812332024006297</v>
      </c>
      <c r="G13" s="55">
        <f>R45</f>
        <v>72.150000000000006</v>
      </c>
      <c r="H13" s="55">
        <f>S45</f>
        <v>1.4007852924159909</v>
      </c>
      <c r="I13" s="56">
        <f>T45</f>
        <v>44.039866906401102</v>
      </c>
      <c r="J13" s="55">
        <f>U45</f>
        <v>1.4253057707983681</v>
      </c>
      <c r="L13" s="54" t="str">
        <f>MEXtabs!L92</f>
        <v>NXA50</v>
      </c>
      <c r="M13" s="54">
        <f>MEXtabs!M92</f>
        <v>50</v>
      </c>
      <c r="N13" s="55">
        <f>MEXtabs!N92</f>
        <v>4</v>
      </c>
      <c r="O13" s="55"/>
      <c r="P13" s="56">
        <f>MEXtabs!P92</f>
        <v>2.3884184190002435</v>
      </c>
      <c r="Q13" s="56">
        <f>MEXtabs!Q92</f>
        <v>7.9990307372596242E-2</v>
      </c>
      <c r="R13" s="55">
        <f>MEXtabs!R92</f>
        <v>29.934000000000001</v>
      </c>
      <c r="S13" s="55">
        <f>MEXtabs!S92</f>
        <v>0.3614711080424986</v>
      </c>
      <c r="T13" s="56">
        <f>MEXtabs!T92</f>
        <v>45.021741124033042</v>
      </c>
      <c r="U13" s="55">
        <f>U92</f>
        <v>1.4219866338412048</v>
      </c>
    </row>
    <row r="14" spans="1:21" x14ac:dyDescent="0.2">
      <c r="A14" s="54" t="str">
        <f>L50</f>
        <v>NXF200</v>
      </c>
      <c r="B14" s="54">
        <f>M50</f>
        <v>200</v>
      </c>
      <c r="C14" s="55">
        <f>N50</f>
        <v>4</v>
      </c>
      <c r="D14" s="55">
        <f>O50</f>
        <v>1</v>
      </c>
      <c r="E14" s="56"/>
      <c r="F14" s="56">
        <f>Q50</f>
        <v>1.6296937192778045</v>
      </c>
      <c r="G14" s="55">
        <f>R50</f>
        <v>94.739000000000004</v>
      </c>
      <c r="H14" s="55">
        <f>S50</f>
        <v>1.5623962575185277</v>
      </c>
      <c r="I14" s="56">
        <f>T50</f>
        <v>43.690424941977597</v>
      </c>
      <c r="J14" s="55">
        <f>U50</f>
        <v>1.4008934679176386</v>
      </c>
      <c r="L14" s="57" t="str">
        <f>MEXtabs!L97</f>
        <v>NXB50</v>
      </c>
      <c r="M14" s="57">
        <f>MEXtabs!M97</f>
        <v>50</v>
      </c>
      <c r="N14" s="58">
        <f>MEXtabs!N97</f>
        <v>4.5</v>
      </c>
      <c r="O14" s="58"/>
      <c r="P14" s="59">
        <f>MEXtabs!P97</f>
        <v>2.5292585864499295</v>
      </c>
      <c r="Q14" s="59">
        <f>MEXtabs!Q97</f>
        <v>8.4996170866672577E-2</v>
      </c>
      <c r="R14" s="58">
        <f>MEXtabs!R97</f>
        <v>30.623000000000001</v>
      </c>
      <c r="S14" s="58">
        <f>MEXtabs!S97</f>
        <v>0.30800964535218428</v>
      </c>
      <c r="T14" s="59">
        <f>MEXtabs!T97</f>
        <v>44.909193923534019</v>
      </c>
      <c r="U14" s="55">
        <f>U97</f>
        <v>1.5130712375920568</v>
      </c>
    </row>
    <row r="15" spans="1:21" x14ac:dyDescent="0.2">
      <c r="A15" s="54" t="str">
        <f>L55</f>
        <v>NXG250</v>
      </c>
      <c r="B15" s="54">
        <f>M55</f>
        <v>250</v>
      </c>
      <c r="C15" s="55">
        <f>N55</f>
        <v>4</v>
      </c>
      <c r="D15" s="55">
        <f>O55</f>
        <v>1.6</v>
      </c>
      <c r="E15" s="56"/>
      <c r="F15" s="56">
        <f>Q55</f>
        <v>2.5711570771389516</v>
      </c>
      <c r="G15" s="55">
        <f>R55</f>
        <v>120.09699999999999</v>
      </c>
      <c r="H15" s="55">
        <f>S55</f>
        <v>1.7673175031153652</v>
      </c>
      <c r="I15" s="56">
        <f>T55</f>
        <v>43.515276381229619</v>
      </c>
      <c r="J15" s="55">
        <f>U55</f>
        <v>1.4181606726849658</v>
      </c>
      <c r="L15" s="54" t="str">
        <f>MEXtabs!L79</f>
        <v>NXJ60</v>
      </c>
      <c r="M15" s="54">
        <f>MEXtabs!M79</f>
        <v>60</v>
      </c>
      <c r="N15" s="55">
        <f>MEXtabs!N79</f>
        <v>0.5</v>
      </c>
      <c r="O15" s="55"/>
      <c r="P15" s="56">
        <f>MEXtabs!P79</f>
        <v>0.78881379165109278</v>
      </c>
      <c r="Q15" s="56"/>
      <c r="R15" s="55">
        <f>MEXtabs!R79</f>
        <v>20.856999999999999</v>
      </c>
      <c r="S15" s="55">
        <f>MEXtabs!S79</f>
        <v>3.4163325098100352</v>
      </c>
      <c r="T15" s="56">
        <f>MEXtabs!T79</f>
        <v>46.813271686133454</v>
      </c>
      <c r="U15" s="52">
        <f>U79</f>
        <v>1.5437045866516637</v>
      </c>
    </row>
    <row r="16" spans="1:21" x14ac:dyDescent="0.2">
      <c r="A16" s="54" t="str">
        <f>L60</f>
        <v>NXH280</v>
      </c>
      <c r="B16" s="54">
        <f>M60</f>
        <v>280</v>
      </c>
      <c r="C16" s="55">
        <f>N60</f>
        <v>4</v>
      </c>
      <c r="D16" s="55">
        <f>O60</f>
        <v>3</v>
      </c>
      <c r="E16" s="56"/>
      <c r="F16" s="56">
        <f>Q60</f>
        <v>3.5006101210159413</v>
      </c>
      <c r="G16" s="55">
        <f>R60</f>
        <v>147.05000000000001</v>
      </c>
      <c r="H16" s="55">
        <f>S60</f>
        <v>1.3697465155541448</v>
      </c>
      <c r="I16" s="56">
        <f>T60</f>
        <v>43.332123291107912</v>
      </c>
      <c r="J16" s="55">
        <f>U60</f>
        <v>1.4391668160769495</v>
      </c>
      <c r="L16" s="54" t="str">
        <f>MEXtabs!L86</f>
        <v>NXK60</v>
      </c>
      <c r="M16" s="54">
        <f>MEXtabs!M86</f>
        <v>60</v>
      </c>
      <c r="N16" s="55">
        <f>MEXtabs!N86</f>
        <v>1</v>
      </c>
      <c r="O16" s="54"/>
      <c r="P16" s="56">
        <f>MEXtabs!P86</f>
        <v>1.2886011015031504</v>
      </c>
      <c r="Q16" s="54"/>
      <c r="R16" s="55">
        <f>MEXtabs!R86</f>
        <v>24.094999999999999</v>
      </c>
      <c r="S16" s="55">
        <f>MEXtabs!S86</f>
        <v>2.0865224861762162</v>
      </c>
      <c r="T16" s="56">
        <f>MEXtabs!T86</f>
        <v>45.792090469114378</v>
      </c>
      <c r="U16" s="55">
        <f>U86</f>
        <v>1.4909430730515929</v>
      </c>
    </row>
    <row r="17" spans="1:21" x14ac:dyDescent="0.2">
      <c r="A17" s="57" t="str">
        <f>L63</f>
        <v>NXH300</v>
      </c>
      <c r="B17" s="57">
        <f>M63</f>
        <v>300</v>
      </c>
      <c r="C17" s="58">
        <f>N63</f>
        <v>4</v>
      </c>
      <c r="D17" s="58">
        <f>O63</f>
        <v>3</v>
      </c>
      <c r="E17" s="59"/>
      <c r="F17" s="59">
        <f>Q63</f>
        <v>3.7047905897248823</v>
      </c>
      <c r="G17" s="58">
        <f>R63</f>
        <v>153.21</v>
      </c>
      <c r="H17" s="58">
        <f>S63</f>
        <v>1.6752530487373014</v>
      </c>
      <c r="I17" s="59">
        <f>T63</f>
        <v>43.270125968459105</v>
      </c>
      <c r="J17" s="58">
        <f>U63</f>
        <v>1.5466709629247668</v>
      </c>
      <c r="L17" s="54" t="str">
        <f>MEXtabs!L93</f>
        <v>NXA60</v>
      </c>
      <c r="M17" s="54">
        <f>MEXtabs!M93</f>
        <v>60</v>
      </c>
      <c r="N17" s="55">
        <f>MEXtabs!N93</f>
        <v>4</v>
      </c>
      <c r="O17" s="55"/>
      <c r="P17" s="56">
        <f>MEXtabs!P93</f>
        <v>2.8058625894538358</v>
      </c>
      <c r="Q17" s="56">
        <f>MEXtabs!Q93</f>
        <v>9.5799660048102947E-2</v>
      </c>
      <c r="R17" s="55">
        <f>MEXtabs!R93</f>
        <v>32.250999999999998</v>
      </c>
      <c r="S17" s="55">
        <f>MEXtabs!S93</f>
        <v>0.57233882338589537</v>
      </c>
      <c r="T17" s="56">
        <f>MEXtabs!T93</f>
        <v>45.047957186376919</v>
      </c>
      <c r="U17" s="58">
        <f>U93</f>
        <v>1.4116061881764499</v>
      </c>
    </row>
    <row r="18" spans="1:21" x14ac:dyDescent="0.2">
      <c r="A18" s="57" t="str">
        <f>L69</f>
        <v>NXH300*</v>
      </c>
      <c r="B18" s="57">
        <f>M69</f>
        <v>300</v>
      </c>
      <c r="C18" s="58">
        <f>N69</f>
        <v>4</v>
      </c>
      <c r="D18" s="58">
        <f>O69</f>
        <v>3</v>
      </c>
      <c r="E18" s="59"/>
      <c r="F18" s="59">
        <f>Q69</f>
        <v>3.7047905897248823</v>
      </c>
      <c r="G18" s="58">
        <f>R69</f>
        <v>153.21</v>
      </c>
      <c r="H18" s="58">
        <f>S69</f>
        <v>1.675574257628266</v>
      </c>
      <c r="I18" s="59">
        <f>T69</f>
        <v>43.273786206386291</v>
      </c>
      <c r="J18" s="58">
        <f>U69</f>
        <v>1.4098918159692015</v>
      </c>
      <c r="L18" s="51" t="str">
        <f>MEXtabs!L80</f>
        <v>NXJ70</v>
      </c>
      <c r="M18" s="51">
        <f>MEXtabs!M80</f>
        <v>70</v>
      </c>
      <c r="N18" s="52">
        <f>MEXtabs!N80</f>
        <v>0.5</v>
      </c>
      <c r="O18" s="52"/>
      <c r="P18" s="53">
        <f>MEXtabs!P80</f>
        <v>0.89521104032277998</v>
      </c>
      <c r="Q18" s="53"/>
      <c r="R18" s="52">
        <f>MEXtabs!R80</f>
        <v>22.146999999999998</v>
      </c>
      <c r="S18" s="52">
        <f>MEXtabs!S80</f>
        <v>4.0877931084538499</v>
      </c>
      <c r="T18" s="53">
        <f>MEXtabs!T80</f>
        <v>46.58433497953672</v>
      </c>
      <c r="U18" s="52">
        <f>U80</f>
        <v>1.419811453662847</v>
      </c>
    </row>
    <row r="19" spans="1:21" ht="12.75" customHeight="1" x14ac:dyDescent="0.2">
      <c r="L19" s="54" t="str">
        <f>MEXtabs!L87</f>
        <v>NXK70</v>
      </c>
      <c r="M19" s="54">
        <f>MEXtabs!M87</f>
        <v>70</v>
      </c>
      <c r="N19" s="55">
        <f>MEXtabs!N87</f>
        <v>1</v>
      </c>
      <c r="O19" s="54"/>
      <c r="P19" s="56">
        <f>MEXtabs!P87</f>
        <v>1.4584444510077763</v>
      </c>
      <c r="Q19" s="54"/>
      <c r="R19" s="55">
        <f>MEXtabs!R87</f>
        <v>25.442</v>
      </c>
      <c r="S19" s="55">
        <f>MEXtabs!S87</f>
        <v>2.6003102271979963</v>
      </c>
      <c r="T19" s="56">
        <f>MEXtabs!T87</f>
        <v>45.625916563366793</v>
      </c>
      <c r="U19" s="55">
        <f>U87</f>
        <v>1.4130543228107475</v>
      </c>
    </row>
    <row r="20" spans="1:21" ht="12.75" customHeight="1" x14ac:dyDescent="0.2">
      <c r="L20" s="54" t="str">
        <f>MEXtabs!L94</f>
        <v>NXA70</v>
      </c>
      <c r="M20" s="54">
        <f>MEXtabs!M94</f>
        <v>70</v>
      </c>
      <c r="N20" s="55">
        <f>MEXtabs!N94</f>
        <v>4</v>
      </c>
      <c r="O20" s="55"/>
      <c r="P20" s="56">
        <f>MEXtabs!P94</f>
        <v>3.1929733252964523</v>
      </c>
      <c r="Q20" s="56">
        <f>MEXtabs!Q94</f>
        <v>0.11135967269909675</v>
      </c>
      <c r="R20" s="55">
        <f>MEXtabs!R94</f>
        <v>34.274999999999999</v>
      </c>
      <c r="S20" s="55">
        <f>MEXtabs!S94</f>
        <v>0.80408604444712184</v>
      </c>
      <c r="T20" s="56">
        <f>MEXtabs!T94</f>
        <v>44.974926824133554</v>
      </c>
      <c r="U20" s="55">
        <f>U94</f>
        <v>1.4210667981440146</v>
      </c>
    </row>
    <row r="21" spans="1:21" ht="13.5" customHeight="1" x14ac:dyDescent="0.2">
      <c r="L21" s="54" t="str">
        <f>MEXtabs!L98</f>
        <v>NXB70</v>
      </c>
      <c r="M21" s="54">
        <f>MEXtabs!M98</f>
        <v>70</v>
      </c>
      <c r="N21" s="55">
        <f>MEXtabs!N98</f>
        <v>4.5</v>
      </c>
      <c r="O21" s="55"/>
      <c r="P21" s="56">
        <f>MEXtabs!P98</f>
        <v>3.3915742452383575</v>
      </c>
      <c r="Q21" s="56">
        <f>MEXtabs!Q98</f>
        <v>0.11942976937282476</v>
      </c>
      <c r="R21" s="55">
        <f>MEXtabs!R98</f>
        <v>35.19</v>
      </c>
      <c r="S21" s="55">
        <f>MEXtabs!S98</f>
        <v>0.70900434167113335</v>
      </c>
      <c r="T21" s="56">
        <f>MEXtabs!T98</f>
        <v>44.93060349187283</v>
      </c>
      <c r="U21" s="55">
        <f>U98</f>
        <v>1.4133923818326815</v>
      </c>
    </row>
    <row r="22" spans="1:21" x14ac:dyDescent="0.2">
      <c r="L22" s="57" t="str">
        <f>MEXtabs!L102</f>
        <v>NXC70</v>
      </c>
      <c r="M22" s="57">
        <f>MEXtabs!M102</f>
        <v>70</v>
      </c>
      <c r="N22" s="58">
        <f>MEXtabs!N102</f>
        <v>6</v>
      </c>
      <c r="O22" s="58"/>
      <c r="P22" s="59">
        <f>P102</f>
        <v>3.9520687461764625</v>
      </c>
      <c r="Q22" s="59">
        <f>MEXtabs!Q102</f>
        <v>0.14140515813491988</v>
      </c>
      <c r="R22" s="58">
        <f>MEXtabs!R102</f>
        <v>37.509</v>
      </c>
      <c r="S22" s="58">
        <f>MEXtabs!S102</f>
        <v>0.50733597196581537</v>
      </c>
      <c r="T22" s="59">
        <f>MEXtabs!T102</f>
        <v>44.834642207686024</v>
      </c>
      <c r="U22" s="58">
        <f>U102</f>
        <v>1.5176303105731503</v>
      </c>
    </row>
    <row r="23" spans="1:21" x14ac:dyDescent="0.2">
      <c r="L23" s="54" t="str">
        <f>MEXtabs!L81</f>
        <v>NXJ80</v>
      </c>
      <c r="M23" s="54">
        <f>MEXtabs!M81</f>
        <v>80</v>
      </c>
      <c r="N23" s="55">
        <f>MEXtabs!N81</f>
        <v>0.5</v>
      </c>
      <c r="O23" s="55"/>
      <c r="P23" s="56">
        <f>MEXtabs!P81</f>
        <v>1.0168942180395382</v>
      </c>
      <c r="Q23" s="56"/>
      <c r="R23" s="55">
        <f>MEXtabs!R81</f>
        <v>23.48</v>
      </c>
      <c r="S23" s="55">
        <f>MEXtabs!S81</f>
        <v>4.7437535740075889</v>
      </c>
      <c r="T23" s="56">
        <f>MEXtabs!T81</f>
        <v>46.356066401222279</v>
      </c>
      <c r="U23" s="55">
        <f>U81</f>
        <v>1.450158296727728</v>
      </c>
    </row>
    <row r="24" spans="1:21" x14ac:dyDescent="0.2">
      <c r="L24" s="54" t="str">
        <f>MEXtabs!L88</f>
        <v>NXK80</v>
      </c>
      <c r="M24" s="54">
        <f>MEXtabs!M88</f>
        <v>80</v>
      </c>
      <c r="N24" s="55">
        <f>MEXtabs!N88</f>
        <v>1</v>
      </c>
      <c r="O24" s="54"/>
      <c r="P24" s="56">
        <f>MEXtabs!P88</f>
        <v>1.6431678445072386</v>
      </c>
      <c r="Q24" s="54"/>
      <c r="R24" s="55">
        <f>MEXtabs!R88</f>
        <v>26.841999999999999</v>
      </c>
      <c r="S24" s="55">
        <f>MEXtabs!S88</f>
        <v>3.1295609369477901</v>
      </c>
      <c r="T24" s="56">
        <f>MEXtabs!T88</f>
        <v>45.516912000756918</v>
      </c>
      <c r="U24" s="55">
        <f>U88</f>
        <v>1.4292874414335843</v>
      </c>
    </row>
    <row r="25" spans="1:21" x14ac:dyDescent="0.2">
      <c r="L25" s="54" t="str">
        <f>MEXtabs!L95</f>
        <v>NXA80</v>
      </c>
      <c r="M25" s="54">
        <f>MEXtabs!M95</f>
        <v>80</v>
      </c>
      <c r="N25" s="55">
        <f>MEXtabs!N95</f>
        <v>4</v>
      </c>
      <c r="O25" s="55"/>
      <c r="P25" s="56">
        <f>MEXtabs!P95</f>
        <v>3.6197123995759788</v>
      </c>
      <c r="Q25" s="56">
        <f>MEXtabs!Q95</f>
        <v>0.12923885884326811</v>
      </c>
      <c r="R25" s="55">
        <f>MEXtabs!R95</f>
        <v>36.328000000000003</v>
      </c>
      <c r="S25" s="55">
        <f>MEXtabs!S95</f>
        <v>1.0720231883905915</v>
      </c>
      <c r="T25" s="56">
        <f>MEXtabs!T95</f>
        <v>44.884206076157788</v>
      </c>
      <c r="U25" s="55">
        <f>U95</f>
        <v>1.4050303855848547</v>
      </c>
    </row>
    <row r="26" spans="1:21" x14ac:dyDescent="0.2">
      <c r="L26" s="51" t="str">
        <f>MEXtabs!L82</f>
        <v>NXJ90</v>
      </c>
      <c r="M26" s="51">
        <f>MEXtabs!M82</f>
        <v>90</v>
      </c>
      <c r="N26" s="52">
        <f>MEXtabs!N82</f>
        <v>0.5</v>
      </c>
      <c r="O26" s="52"/>
      <c r="P26" s="53">
        <f>MEXtabs!P82</f>
        <v>1.1524525686905205</v>
      </c>
      <c r="Q26" s="53"/>
      <c r="R26" s="52">
        <f>MEXtabs!R82</f>
        <v>24.878</v>
      </c>
      <c r="S26" s="52">
        <f>MEXtabs!S82</f>
        <v>5.3832626952945777</v>
      </c>
      <c r="T26" s="53">
        <f>MEXtabs!T82</f>
        <v>46.158010183854593</v>
      </c>
      <c r="U26" s="52">
        <f>U82</f>
        <v>1.4321845744595318</v>
      </c>
    </row>
    <row r="27" spans="1:21" x14ac:dyDescent="0.2">
      <c r="L27" s="54" t="str">
        <f>MEXtabs!L89</f>
        <v>NXK90</v>
      </c>
      <c r="M27" s="54">
        <f>MEXtabs!M89</f>
        <v>90</v>
      </c>
      <c r="N27" s="55">
        <f>MEXtabs!N89</f>
        <v>1</v>
      </c>
      <c r="O27" s="54"/>
      <c r="P27" s="56">
        <f>MEXtabs!P89</f>
        <v>1.8393319677543469</v>
      </c>
      <c r="Q27" s="54"/>
      <c r="R27" s="55">
        <f>MEXtabs!R89</f>
        <v>28.32</v>
      </c>
      <c r="S27" s="55">
        <f>MEXtabs!S89</f>
        <v>3.6672679398537964</v>
      </c>
      <c r="T27" s="56">
        <f>MEXtabs!T89</f>
        <v>45.379279329759093</v>
      </c>
      <c r="U27" s="55">
        <f>U89</f>
        <v>1.4208597684562358</v>
      </c>
    </row>
    <row r="28" spans="1:21" x14ac:dyDescent="0.2">
      <c r="L28" s="57" t="str">
        <f>MEXtabs!L96</f>
        <v>NXA90</v>
      </c>
      <c r="M28" s="57">
        <f>MEXtabs!M96</f>
        <v>90</v>
      </c>
      <c r="N28" s="58">
        <f>MEXtabs!N96</f>
        <v>4</v>
      </c>
      <c r="O28" s="58"/>
      <c r="P28" s="59">
        <f>MEXtabs!P96</f>
        <v>4.0393687541302778</v>
      </c>
      <c r="Q28" s="59">
        <f>MEXtabs!Q96</f>
        <v>0.14848211806760514</v>
      </c>
      <c r="R28" s="58">
        <f>MEXtabs!R96</f>
        <v>38.384999999999998</v>
      </c>
      <c r="S28" s="58">
        <f>MEXtabs!S96</f>
        <v>1.3708996048300812</v>
      </c>
      <c r="T28" s="59">
        <f>MEXtabs!T96</f>
        <v>44.84083069639663</v>
      </c>
      <c r="U28" s="58">
        <f>U96</f>
        <v>1.4118196011613038</v>
      </c>
    </row>
    <row r="29" spans="1:21" x14ac:dyDescent="0.2">
      <c r="L29" s="54" t="str">
        <f>MEXtabs!L83</f>
        <v>NXJ100</v>
      </c>
      <c r="M29" s="54">
        <f>MEXtabs!M83</f>
        <v>100</v>
      </c>
      <c r="N29" s="55">
        <f>MEXtabs!N83</f>
        <v>0.5</v>
      </c>
      <c r="O29" s="55"/>
      <c r="P29" s="56">
        <f>MEXtabs!P83</f>
        <v>1.3031305701207649</v>
      </c>
      <c r="Q29" s="56"/>
      <c r="R29" s="55">
        <f>MEXtabs!R83</f>
        <v>26.34</v>
      </c>
      <c r="S29" s="55">
        <f>MEXtabs!S83</f>
        <v>6.0072442583076713</v>
      </c>
      <c r="T29" s="56">
        <f>MEXtabs!T83</f>
        <v>45.974847556635403</v>
      </c>
      <c r="U29" s="55">
        <f>U83</f>
        <v>1.4127143672543812</v>
      </c>
    </row>
    <row r="30" spans="1:21" x14ac:dyDescent="0.2">
      <c r="L30" s="54" t="str">
        <f>MEXtabs!L90</f>
        <v>NXK100</v>
      </c>
      <c r="M30" s="54">
        <f>MEXtabs!M90</f>
        <v>100</v>
      </c>
      <c r="N30" s="55">
        <f>MEXtabs!N90</f>
        <v>1</v>
      </c>
      <c r="O30" s="54"/>
      <c r="P30" s="56">
        <f>MEXtabs!P90</f>
        <v>2.0480553989194346</v>
      </c>
      <c r="Q30" s="54"/>
      <c r="R30" s="55">
        <f>MEXtabs!R90</f>
        <v>29.867000000000001</v>
      </c>
      <c r="S30" s="55">
        <f>MEXtabs!S90</f>
        <v>4.2111287232273407</v>
      </c>
      <c r="T30" s="56">
        <f>MEXtabs!T90</f>
        <v>45.340349958431013</v>
      </c>
      <c r="U30" s="55">
        <f>U90</f>
        <v>1.4193404688614863</v>
      </c>
    </row>
    <row r="31" spans="1:21" x14ac:dyDescent="0.2">
      <c r="L31" s="54" t="str">
        <f>MEXtabs!L99</f>
        <v>NXB100</v>
      </c>
      <c r="M31" s="54">
        <f>MEXtabs!M99</f>
        <v>100</v>
      </c>
      <c r="N31" s="55">
        <f>MEXtabs!N99</f>
        <v>4.5</v>
      </c>
      <c r="O31" s="55"/>
      <c r="P31" s="56">
        <f>MEXtabs!P99</f>
        <v>4.7352150332082985</v>
      </c>
      <c r="Q31" s="56">
        <f>MEXtabs!Q99</f>
        <v>0.18268575344478749</v>
      </c>
      <c r="R31" s="55">
        <f>MEXtabs!R99</f>
        <v>41.587000000000003</v>
      </c>
      <c r="S31" s="55">
        <f>MEXtabs!S99</f>
        <v>1.5383545199985422</v>
      </c>
      <c r="T31" s="56">
        <f>MEXtabs!T99</f>
        <v>44.778484986701471</v>
      </c>
      <c r="U31" s="55">
        <f>U99</f>
        <v>1.4040446675332428</v>
      </c>
    </row>
    <row r="32" spans="1:21" x14ac:dyDescent="0.2">
      <c r="L32" s="54" t="str">
        <f>MEXtabs!L103</f>
        <v>NXC100</v>
      </c>
      <c r="M32" s="54">
        <f>MEXtabs!M103</f>
        <v>100</v>
      </c>
      <c r="N32" s="55">
        <f>MEXtabs!N103</f>
        <v>6</v>
      </c>
      <c r="O32" s="55"/>
      <c r="P32" s="56">
        <f>P103</f>
        <v>5.4850226957751094</v>
      </c>
      <c r="Q32" s="56">
        <f>MEXtabs!Q103</f>
        <v>0.221397651099389</v>
      </c>
      <c r="R32" s="55">
        <f>MEXtabs!R103</f>
        <v>44.582999999999998</v>
      </c>
      <c r="S32" s="55">
        <f>MEXtabs!S103</f>
        <v>1.1930132213047684</v>
      </c>
      <c r="T32" s="56">
        <f>MEXtabs!T103</f>
        <v>44.731165114354809</v>
      </c>
      <c r="U32" s="55">
        <f>U103</f>
        <v>1.4424580662728919</v>
      </c>
    </row>
    <row r="33" spans="12:21" x14ac:dyDescent="0.2">
      <c r="L33" s="54" t="str">
        <f>MEXtabs!L107</f>
        <v>NXD100</v>
      </c>
      <c r="M33" s="54">
        <f>MEXtabs!M107</f>
        <v>100</v>
      </c>
      <c r="N33" s="55">
        <f>MEXtabs!N107</f>
        <v>9</v>
      </c>
      <c r="O33" s="55"/>
      <c r="P33" s="56">
        <f>P107</f>
        <v>6.6136409012352111</v>
      </c>
      <c r="Q33" s="56">
        <f>MEXtabs!Q107</f>
        <v>0.29051611469154731</v>
      </c>
      <c r="R33" s="55">
        <f>MEXtabs!R107</f>
        <v>49.084000000000003</v>
      </c>
      <c r="S33" s="55">
        <f>MEXtabs!S107</f>
        <v>0.79054994032354275</v>
      </c>
      <c r="T33" s="56">
        <f>MEXtabs!T107</f>
        <v>44.632603356945602</v>
      </c>
      <c r="U33" s="55">
        <f>U107</f>
        <v>1.4403549584723627</v>
      </c>
    </row>
    <row r="34" spans="12:21" x14ac:dyDescent="0.2">
      <c r="L34" s="51" t="str">
        <f>MEXtabs!L100</f>
        <v>NXB120</v>
      </c>
      <c r="M34" s="51">
        <f>MEXtabs!M100</f>
        <v>120</v>
      </c>
      <c r="N34" s="52">
        <f>MEXtabs!N100</f>
        <v>4.5</v>
      </c>
      <c r="O34" s="52"/>
      <c r="P34" s="53">
        <f>P100</f>
        <v>5.5559969759148071</v>
      </c>
      <c r="Q34" s="53">
        <f>MEXtabs!Q100</f>
        <v>0.22971681375447262</v>
      </c>
      <c r="R34" s="52">
        <f>MEXtabs!R100</f>
        <v>45.744</v>
      </c>
      <c r="S34" s="52">
        <f>MEXtabs!S100</f>
        <v>2.2136133591294311</v>
      </c>
      <c r="T34" s="53">
        <f>MEXtabs!T100</f>
        <v>44.639950752706113</v>
      </c>
      <c r="U34" s="52">
        <f>U100</f>
        <v>1.4134053534065081</v>
      </c>
    </row>
    <row r="35" spans="12:21" x14ac:dyDescent="0.2">
      <c r="L35" s="54" t="str">
        <f>MEXtabs!L104</f>
        <v>NXC120</v>
      </c>
      <c r="M35" s="54">
        <f>MEXtabs!M104</f>
        <v>120</v>
      </c>
      <c r="N35" s="55">
        <f>MEXtabs!N104</f>
        <v>6</v>
      </c>
      <c r="O35" s="55"/>
      <c r="P35" s="56">
        <f>P104</f>
        <v>6.3769778478391608</v>
      </c>
      <c r="Q35" s="56">
        <f>MEXtabs!Q104</f>
        <v>0.28062311390349393</v>
      </c>
      <c r="R35" s="55">
        <f>MEXtabs!R104</f>
        <v>48.945</v>
      </c>
      <c r="S35" s="55">
        <f>MEXtabs!S104</f>
        <v>1.7719286135797616</v>
      </c>
      <c r="T35" s="56">
        <f>MEXtabs!T104</f>
        <v>44.596340368679414</v>
      </c>
      <c r="U35" s="55">
        <f t="shared" ref="U9:U69" si="5">U104</f>
        <v>1.4061150802800539</v>
      </c>
    </row>
    <row r="36" spans="12:21" x14ac:dyDescent="0.2">
      <c r="L36" s="54" t="str">
        <f>MEXtabs!L108</f>
        <v>NXD120</v>
      </c>
      <c r="M36" s="54">
        <f>MEXtabs!M108</f>
        <v>120</v>
      </c>
      <c r="N36" s="55">
        <f>MEXtabs!N108</f>
        <v>9</v>
      </c>
      <c r="O36" s="55"/>
      <c r="P36" s="56">
        <f>P108</f>
        <v>7.588179482309295</v>
      </c>
      <c r="Q36" s="56">
        <f>MEXtabs!Q108</f>
        <v>0.36809931938124019</v>
      </c>
      <c r="R36" s="55">
        <f>MEXtabs!R108</f>
        <v>53.752000000000002</v>
      </c>
      <c r="S36" s="55">
        <f>MEXtabs!S108</f>
        <v>1.2349139271951406</v>
      </c>
      <c r="T36" s="56">
        <f>MEXtabs!T108</f>
        <v>44.507133371596417</v>
      </c>
      <c r="U36" s="55">
        <f>U108</f>
        <v>1.4107132067323704</v>
      </c>
    </row>
    <row r="37" spans="12:21" x14ac:dyDescent="0.2">
      <c r="L37" s="57" t="str">
        <f>MEXtabs!L112</f>
        <v>NXE120</v>
      </c>
      <c r="M37" s="57">
        <f>MEXtabs!M112</f>
        <v>120</v>
      </c>
      <c r="N37" s="58">
        <f>MEXtabs!N112</f>
        <v>4</v>
      </c>
      <c r="O37" s="58">
        <f>MEXtabs!O112</f>
        <v>0.5</v>
      </c>
      <c r="P37" s="59">
        <f>P112</f>
        <v>10.310491894063471</v>
      </c>
      <c r="Q37" s="59">
        <f>MEXtabs!Q112</f>
        <v>0.6348381723836316</v>
      </c>
      <c r="R37" s="58">
        <f>MEXtabs!R112</f>
        <v>65</v>
      </c>
      <c r="S37" s="58">
        <f>MEXtabs!S112</f>
        <v>0.7386386201048456</v>
      </c>
      <c r="T37" s="59">
        <f>MEXtabs!T112</f>
        <v>44.240487322441858</v>
      </c>
      <c r="U37" s="58">
        <f>U112</f>
        <v>1.4415304522257479</v>
      </c>
    </row>
    <row r="38" spans="12:21" x14ac:dyDescent="0.2">
      <c r="L38" s="54" t="str">
        <f>MEXtabs!L101</f>
        <v>NXB140</v>
      </c>
      <c r="M38" s="54">
        <f>MEXtabs!M101</f>
        <v>140</v>
      </c>
      <c r="N38" s="55">
        <f>MEXtabs!N101</f>
        <v>4.5</v>
      </c>
      <c r="O38" s="55"/>
      <c r="P38" s="56">
        <f>P101</f>
        <v>6.3330445132980557</v>
      </c>
      <c r="Q38" s="56">
        <f>MEXtabs!Q101</f>
        <v>0.28214314856452327</v>
      </c>
      <c r="R38" s="55">
        <f>MEXtabs!R101</f>
        <v>49.868000000000002</v>
      </c>
      <c r="S38" s="55">
        <f>MEXtabs!S101</f>
        <v>2.9682801649107224</v>
      </c>
      <c r="T38" s="56">
        <f>MEXtabs!T101</f>
        <v>44.472387610906146</v>
      </c>
      <c r="U38" s="55">
        <f>U101</f>
        <v>1.4506522576503247</v>
      </c>
    </row>
    <row r="39" spans="12:21" x14ac:dyDescent="0.2">
      <c r="L39" s="54" t="str">
        <f>MEXtabs!L105</f>
        <v>NXC140</v>
      </c>
      <c r="M39" s="54">
        <f>MEXtabs!M105</f>
        <v>140</v>
      </c>
      <c r="N39" s="55">
        <f>MEXtabs!N105</f>
        <v>6</v>
      </c>
      <c r="O39" s="55"/>
      <c r="P39" s="56">
        <f>P105</f>
        <v>7.1952322413084104</v>
      </c>
      <c r="Q39" s="56">
        <f>MEXtabs!Q105</f>
        <v>0.34467534185441145</v>
      </c>
      <c r="R39" s="55">
        <f>MEXtabs!R105</f>
        <v>53.139000000000003</v>
      </c>
      <c r="S39" s="55">
        <f>MEXtabs!S105</f>
        <v>2.4336719317072095</v>
      </c>
      <c r="T39" s="56">
        <f>MEXtabs!T105</f>
        <v>44.43867098352041</v>
      </c>
      <c r="U39" s="55">
        <f>U105</f>
        <v>1.4082816454668357</v>
      </c>
    </row>
    <row r="40" spans="12:21" x14ac:dyDescent="0.2">
      <c r="L40" s="54" t="str">
        <f>MEXtabs!L109</f>
        <v>NXD140</v>
      </c>
      <c r="M40" s="54">
        <f>MEXtabs!M109</f>
        <v>140</v>
      </c>
      <c r="N40" s="55">
        <f>MEXtabs!N109</f>
        <v>9</v>
      </c>
      <c r="O40" s="55"/>
      <c r="P40" s="56">
        <f>P109</f>
        <v>8.4359614589862257</v>
      </c>
      <c r="Q40" s="56">
        <f>MEXtabs!Q109</f>
        <v>0.45081671702125536</v>
      </c>
      <c r="R40" s="55">
        <f>MEXtabs!R109</f>
        <v>58.063000000000002</v>
      </c>
      <c r="S40" s="55">
        <f>MEXtabs!S109</f>
        <v>1.7579510853719673</v>
      </c>
      <c r="T40" s="56">
        <f>MEXtabs!T109</f>
        <v>44.384979291011668</v>
      </c>
      <c r="U40" s="55">
        <f>U109</f>
        <v>1.4142613521154321</v>
      </c>
    </row>
    <row r="41" spans="12:21" x14ac:dyDescent="0.2">
      <c r="L41" s="54" t="str">
        <f>MEXtabs!L113</f>
        <v>NXE140</v>
      </c>
      <c r="M41" s="54">
        <f>MEXtabs!M113</f>
        <v>140</v>
      </c>
      <c r="N41" s="55">
        <f>MEXtabs!N113</f>
        <v>4</v>
      </c>
      <c r="O41" s="55">
        <f>MEXtabs!O113</f>
        <v>0.5</v>
      </c>
      <c r="P41" s="56"/>
      <c r="Q41" s="56">
        <f>MEXtabs!Q113</f>
        <v>0.76915213495507195</v>
      </c>
      <c r="R41" s="55">
        <f>MEXtabs!R113</f>
        <v>69.849999999999994</v>
      </c>
      <c r="S41" s="55">
        <f>MEXtabs!S113</f>
        <v>1.1570271375335528</v>
      </c>
      <c r="T41" s="56">
        <f>MEXtabs!T113</f>
        <v>44.18764444505527</v>
      </c>
      <c r="U41" s="55">
        <f>U113</f>
        <v>1.4485562449477845</v>
      </c>
    </row>
    <row r="42" spans="12:21" x14ac:dyDescent="0.2">
      <c r="L42" s="54" t="str">
        <f>MEXtabs!L117</f>
        <v>NXF140</v>
      </c>
      <c r="M42" s="54">
        <f>MEXtabs!M117</f>
        <v>140</v>
      </c>
      <c r="N42" s="55">
        <f>MEXtabs!N117</f>
        <v>4</v>
      </c>
      <c r="O42" s="55">
        <f>MEXtabs!O117</f>
        <v>1</v>
      </c>
      <c r="P42" s="56"/>
      <c r="Q42" s="56">
        <f>MEXtabs!Q117</f>
        <v>1.0269176732121137</v>
      </c>
      <c r="R42" s="55">
        <f>MEXtabs!R117</f>
        <v>78.519000000000005</v>
      </c>
      <c r="S42" s="55">
        <f>MEXtabs!S117</f>
        <v>0.60047089607443416</v>
      </c>
      <c r="T42" s="56">
        <f>MEXtabs!T117</f>
        <v>43.911575134422748</v>
      </c>
      <c r="U42" s="55">
        <f>U117</f>
        <v>1.4212809322501858</v>
      </c>
    </row>
    <row r="43" spans="12:21" x14ac:dyDescent="0.2">
      <c r="L43" s="51" t="str">
        <f>MEXtabs!L106</f>
        <v>NXC150</v>
      </c>
      <c r="M43" s="51">
        <f>MEXtabs!M106</f>
        <v>150</v>
      </c>
      <c r="N43" s="52">
        <f>MEXtabs!N106</f>
        <v>6</v>
      </c>
      <c r="O43" s="52"/>
      <c r="P43" s="53">
        <f>P106</f>
        <v>7.58221629670666</v>
      </c>
      <c r="Q43" s="53">
        <f>MEXtabs!Q106</f>
        <v>0.37860748947727846</v>
      </c>
      <c r="R43" s="52">
        <f>MEXtabs!R106</f>
        <v>55.186999999999998</v>
      </c>
      <c r="S43" s="52">
        <f>MEXtabs!S106</f>
        <v>2.7968174376841981</v>
      </c>
      <c r="T43" s="53">
        <f>MEXtabs!T106</f>
        <v>44.399662164670268</v>
      </c>
      <c r="U43" s="52">
        <f>MEXtabs!U106</f>
        <v>1.4039651657126611</v>
      </c>
    </row>
    <row r="44" spans="12:21" x14ac:dyDescent="0.2">
      <c r="L44" s="54" t="str">
        <f>MEXtabs!L110</f>
        <v>NXD150</v>
      </c>
      <c r="M44" s="54">
        <f>MEXtabs!M110</f>
        <v>150</v>
      </c>
      <c r="N44" s="55">
        <f>MEXtabs!N110</f>
        <v>9</v>
      </c>
      <c r="O44" s="55"/>
      <c r="P44" s="56">
        <f>P110</f>
        <v>8.831676949720114</v>
      </c>
      <c r="Q44" s="56">
        <f>MEXtabs!Q110</f>
        <v>0.49291798086961647</v>
      </c>
      <c r="R44" s="55">
        <f>MEXtabs!R110</f>
        <v>60.128</v>
      </c>
      <c r="S44" s="55">
        <f>MEXtabs!S110</f>
        <v>2.0497082996137928</v>
      </c>
      <c r="T44" s="56">
        <f>MEXtabs!T110</f>
        <v>44.335713004340583</v>
      </c>
      <c r="U44" s="55">
        <f>MEXtabs!U110</f>
        <v>1.4182343973048246</v>
      </c>
    </row>
    <row r="45" spans="12:21" x14ac:dyDescent="0.2">
      <c r="L45" s="54" t="str">
        <f>MEXtabs!L114</f>
        <v>NXE150</v>
      </c>
      <c r="M45" s="54">
        <f>MEXtabs!M114</f>
        <v>150</v>
      </c>
      <c r="N45" s="55">
        <f>MEXtabs!N114</f>
        <v>4</v>
      </c>
      <c r="O45" s="55">
        <f>MEXtabs!O114</f>
        <v>0.5</v>
      </c>
      <c r="P45" s="56"/>
      <c r="Q45" s="56">
        <f>MEXtabs!Q114</f>
        <v>0.83812332024006297</v>
      </c>
      <c r="R45" s="55">
        <f>MEXtabs!R114</f>
        <v>72.150000000000006</v>
      </c>
      <c r="S45" s="55">
        <f>MEXtabs!S114</f>
        <v>1.4007852924159909</v>
      </c>
      <c r="T45" s="56">
        <f>MEXtabs!T114</f>
        <v>44.039866906401102</v>
      </c>
      <c r="U45" s="55">
        <f>MEXtabs!U114</f>
        <v>1.4253057707983681</v>
      </c>
    </row>
    <row r="46" spans="12:21" x14ac:dyDescent="0.2">
      <c r="L46" s="54" t="str">
        <f>MEXtabs!L118</f>
        <v>NXF150</v>
      </c>
      <c r="M46" s="54">
        <f>MEXtabs!M118</f>
        <v>150</v>
      </c>
      <c r="N46" s="55">
        <f>MEXtabs!N118</f>
        <v>4</v>
      </c>
      <c r="O46" s="55">
        <f>MEXtabs!O118</f>
        <v>1</v>
      </c>
      <c r="P46" s="56"/>
      <c r="Q46" s="56">
        <f>MEXtabs!Q118</f>
        <v>1.1251186734176981</v>
      </c>
      <c r="R46" s="55">
        <f>MEXtabs!R118</f>
        <v>81.358000000000004</v>
      </c>
      <c r="S46" s="55">
        <f>MEXtabs!S118</f>
        <v>0.89307152687818481</v>
      </c>
      <c r="T46" s="56">
        <f>MEXtabs!T118</f>
        <v>43.934594021953615</v>
      </c>
      <c r="U46" s="55">
        <f>MEXtabs!U118</f>
        <v>1.5486644686534112</v>
      </c>
    </row>
    <row r="47" spans="12:21" x14ac:dyDescent="0.2">
      <c r="L47" s="57" t="str">
        <f>MEXtabs!L122</f>
        <v>NXG150</v>
      </c>
      <c r="M47" s="57">
        <f>MEXtabs!M122</f>
        <v>150</v>
      </c>
      <c r="N47" s="58">
        <f>MEXtabs!N122</f>
        <v>4</v>
      </c>
      <c r="O47" s="58">
        <f>MEXtabs!O122</f>
        <v>1.6</v>
      </c>
      <c r="P47" s="59"/>
      <c r="Q47" s="59">
        <f>MEXtabs!Q122</f>
        <v>1.3834337181000833</v>
      </c>
      <c r="R47" s="58">
        <f>MEXtabs!R122</f>
        <v>89.066000000000003</v>
      </c>
      <c r="S47" s="58">
        <f>MEXtabs!S122</f>
        <v>0.44635409247702507</v>
      </c>
      <c r="T47" s="59">
        <f>MEXtabs!T122</f>
        <v>43.691969444983592</v>
      </c>
      <c r="U47" s="58">
        <f>MEXtabs!U122</f>
        <v>1.4054920152834574</v>
      </c>
    </row>
    <row r="48" spans="12:21" x14ac:dyDescent="0.2">
      <c r="L48" s="54" t="str">
        <f>MEXtabs!L111</f>
        <v>NXD200</v>
      </c>
      <c r="M48" s="54">
        <f>MEXtabs!M111</f>
        <v>200</v>
      </c>
      <c r="N48" s="55">
        <f>MEXtabs!N111</f>
        <v>9</v>
      </c>
      <c r="O48" s="55"/>
      <c r="P48" s="56">
        <f>P111</f>
        <v>10.533127916478346</v>
      </c>
      <c r="Q48" s="56">
        <f>MEXtabs!Q111</f>
        <v>0.73230337407773993</v>
      </c>
      <c r="R48" s="55">
        <f>MEXtabs!R111</f>
        <v>69.760999999999996</v>
      </c>
      <c r="S48" s="55">
        <f>MEXtabs!S111</f>
        <v>2.8397580737172703</v>
      </c>
      <c r="T48" s="56">
        <f>MEXtabs!T111</f>
        <v>44.064629911769998</v>
      </c>
      <c r="U48" s="55">
        <f>MEXtabs!U111</f>
        <v>1.4217986687755058</v>
      </c>
    </row>
    <row r="49" spans="1:21" x14ac:dyDescent="0.2">
      <c r="L49" s="54" t="str">
        <f>MEXtabs!L115</f>
        <v>NXE200</v>
      </c>
      <c r="M49" s="54">
        <f>MEXtabs!M115</f>
        <v>200</v>
      </c>
      <c r="N49" s="55">
        <f>MEXtabs!N115</f>
        <v>4</v>
      </c>
      <c r="O49" s="55">
        <f>MEXtabs!O115</f>
        <v>0.5</v>
      </c>
      <c r="P49" s="56"/>
      <c r="Q49" s="56">
        <f>MEXtabs!Q115</f>
        <v>1.2072306039939562</v>
      </c>
      <c r="R49" s="55">
        <f>MEXtabs!R115</f>
        <v>82.81</v>
      </c>
      <c r="S49" s="55">
        <f>MEXtabs!S115</f>
        <v>2.1995254892104836</v>
      </c>
      <c r="T49" s="56">
        <f>MEXtabs!T115</f>
        <v>43.783577929116746</v>
      </c>
      <c r="U49" s="55">
        <f>MEXtabs!U115</f>
        <v>1.4026432736483385</v>
      </c>
    </row>
    <row r="50" spans="1:21" x14ac:dyDescent="0.2">
      <c r="L50" s="54" t="str">
        <f>MEXtabs!L119</f>
        <v>NXF200</v>
      </c>
      <c r="M50" s="54">
        <f>MEXtabs!M119</f>
        <v>200</v>
      </c>
      <c r="N50" s="55">
        <f>MEXtabs!N119</f>
        <v>4</v>
      </c>
      <c r="O50" s="55">
        <f>MEXtabs!O119</f>
        <v>1</v>
      </c>
      <c r="P50" s="56"/>
      <c r="Q50" s="56">
        <f>MEXtabs!Q119</f>
        <v>1.6296937192778045</v>
      </c>
      <c r="R50" s="55">
        <f>MEXtabs!R119</f>
        <v>94.739000000000004</v>
      </c>
      <c r="S50" s="55">
        <f>MEXtabs!S119</f>
        <v>1.5623962575185277</v>
      </c>
      <c r="T50" s="56">
        <f>MEXtabs!T119</f>
        <v>43.690424941977597</v>
      </c>
      <c r="U50" s="55">
        <f>MEXtabs!U119</f>
        <v>1.4008934679176386</v>
      </c>
    </row>
    <row r="51" spans="1:21" x14ac:dyDescent="0.2">
      <c r="L51" s="54" t="str">
        <f>MEXtabs!L123</f>
        <v>NXG200</v>
      </c>
      <c r="M51" s="54">
        <f>MEXtabs!M123</f>
        <v>200</v>
      </c>
      <c r="N51" s="55">
        <f>MEXtabs!N123</f>
        <v>4</v>
      </c>
      <c r="O51" s="55">
        <f>MEXtabs!O123</f>
        <v>1.6</v>
      </c>
      <c r="P51" s="56"/>
      <c r="Q51" s="56">
        <f>MEXtabs!Q123</f>
        <v>2.0015314501377075</v>
      </c>
      <c r="R51" s="55">
        <f>MEXtabs!R123</f>
        <v>105.252</v>
      </c>
      <c r="S51" s="55">
        <f>MEXtabs!S123</f>
        <v>1.161270390157437</v>
      </c>
      <c r="T51" s="56">
        <f>MEXtabs!T123</f>
        <v>43.576098970172843</v>
      </c>
      <c r="U51" s="55">
        <f>MEXtabs!U123</f>
        <v>1.4075237818776838</v>
      </c>
    </row>
    <row r="52" spans="1:21" x14ac:dyDescent="0.2">
      <c r="L52" s="54" t="str">
        <f>MEXtabs!L127</f>
        <v>NXH200</v>
      </c>
      <c r="M52" s="54">
        <f>MEXtabs!M127</f>
        <v>200</v>
      </c>
      <c r="N52" s="55">
        <f>MEXtabs!N127</f>
        <v>4</v>
      </c>
      <c r="O52" s="55">
        <f>MEXtabs!O127</f>
        <v>3</v>
      </c>
      <c r="P52" s="56"/>
      <c r="Q52" s="56">
        <f>MEXtabs!Q127</f>
        <v>2.5415199349414408</v>
      </c>
      <c r="R52" s="55">
        <f>MEXtabs!R127</f>
        <v>120.14700000000001</v>
      </c>
      <c r="S52" s="55">
        <f>MEXtabs!S127</f>
        <v>0.64561033299149728</v>
      </c>
      <c r="T52" s="56">
        <f>MEXtabs!T127</f>
        <v>43.485617129878449</v>
      </c>
      <c r="U52" s="55">
        <f>MEXtabs!U127</f>
        <v>1.6171626618857007</v>
      </c>
    </row>
    <row r="53" spans="1:21" x14ac:dyDescent="0.2">
      <c r="L53" s="51" t="str">
        <f>MEXtabs!L116</f>
        <v>NXE250</v>
      </c>
      <c r="M53" s="51">
        <f>MEXtabs!M116</f>
        <v>250</v>
      </c>
      <c r="N53" s="52">
        <f>MEXtabs!N116</f>
        <v>4</v>
      </c>
      <c r="O53" s="52">
        <f>MEXtabs!O116</f>
        <v>0.5</v>
      </c>
      <c r="P53" s="53"/>
      <c r="Q53" s="53">
        <f>MEXtabs!Q116</f>
        <v>1.6128041668984248</v>
      </c>
      <c r="R53" s="52">
        <f>MEXtabs!R116</f>
        <v>92.84</v>
      </c>
      <c r="S53" s="52">
        <f>MEXtabs!S116</f>
        <v>2.9839444517896849</v>
      </c>
      <c r="T53" s="53">
        <f>MEXtabs!T116</f>
        <v>43.729792205959406</v>
      </c>
      <c r="U53" s="52">
        <f>MEXtabs!U116</f>
        <v>1.4219800569599053</v>
      </c>
    </row>
    <row r="54" spans="1:21" x14ac:dyDescent="0.2">
      <c r="L54" s="54" t="str">
        <f>L120</f>
        <v>NXF250</v>
      </c>
      <c r="M54" s="54">
        <f t="shared" ref="M54:U54" si="6">M120</f>
        <v>250</v>
      </c>
      <c r="N54" s="54">
        <f t="shared" si="6"/>
        <v>4</v>
      </c>
      <c r="O54" s="55">
        <f t="shared" si="6"/>
        <v>1</v>
      </c>
      <c r="P54" s="54"/>
      <c r="Q54" s="56">
        <f t="shared" si="6"/>
        <v>2.1356721844076167</v>
      </c>
      <c r="R54" s="54">
        <f t="shared" si="6"/>
        <v>107.324</v>
      </c>
      <c r="S54" s="55">
        <f t="shared" si="6"/>
        <v>2.256630293676301</v>
      </c>
      <c r="T54" s="56">
        <f t="shared" si="6"/>
        <v>43.548136413860959</v>
      </c>
      <c r="U54" s="55">
        <f t="shared" ref="U54" si="7">U120</f>
        <v>1.5783296641458362</v>
      </c>
    </row>
    <row r="55" spans="1:21" x14ac:dyDescent="0.2">
      <c r="L55" s="54" t="str">
        <f>MEXtabs!L124</f>
        <v>NXG250</v>
      </c>
      <c r="M55" s="54">
        <f>MEXtabs!M124</f>
        <v>250</v>
      </c>
      <c r="N55" s="55">
        <f>MEXtabs!N124</f>
        <v>4</v>
      </c>
      <c r="O55" s="55">
        <f>MEXtabs!O124</f>
        <v>1.6</v>
      </c>
      <c r="P55" s="56"/>
      <c r="Q55" s="56">
        <f>MEXtabs!Q124</f>
        <v>2.5711570771389516</v>
      </c>
      <c r="R55" s="55">
        <f>MEXtabs!R124</f>
        <v>120.09699999999999</v>
      </c>
      <c r="S55" s="55">
        <f>MEXtabs!S124</f>
        <v>1.7673175031153652</v>
      </c>
      <c r="T55" s="56">
        <f>MEXtabs!T124</f>
        <v>43.515276381229619</v>
      </c>
      <c r="U55" s="55">
        <f>MEXtabs!U124</f>
        <v>1.4181606726849658</v>
      </c>
    </row>
    <row r="56" spans="1:21" x14ac:dyDescent="0.2">
      <c r="L56" s="54" t="str">
        <f>MEXtabs!L128</f>
        <v>NXH250</v>
      </c>
      <c r="M56" s="54">
        <f>MEXtabs!M128</f>
        <v>250</v>
      </c>
      <c r="N56" s="55">
        <f>MEXtabs!N128</f>
        <v>4</v>
      </c>
      <c r="O56" s="55">
        <f>MEXtabs!O128</f>
        <v>3</v>
      </c>
      <c r="P56" s="56"/>
      <c r="Q56" s="56">
        <f>MEXtabs!Q128</f>
        <v>3.1622519161675675</v>
      </c>
      <c r="R56" s="55">
        <f>MEXtabs!R128</f>
        <v>137.45500000000001</v>
      </c>
      <c r="S56" s="55">
        <f>MEXtabs!S128</f>
        <v>1.1620531992136187</v>
      </c>
      <c r="T56" s="56">
        <f>MEXtabs!T128</f>
        <v>43.394068454781625</v>
      </c>
      <c r="U56" s="55">
        <f>MEXtabs!U128</f>
        <v>1.4254744464091886</v>
      </c>
    </row>
    <row r="57" spans="1:21" x14ac:dyDescent="0.2">
      <c r="L57" s="57" t="str">
        <f>MEXtabs!L132</f>
        <v>NXI250</v>
      </c>
      <c r="M57" s="57">
        <f>MEXtabs!M132</f>
        <v>250</v>
      </c>
      <c r="N57" s="58">
        <f>MEXtabs!N132</f>
        <v>4</v>
      </c>
      <c r="O57" s="58">
        <f>MEXtabs!O132</f>
        <v>5</v>
      </c>
      <c r="P57" s="59"/>
      <c r="Q57" s="59">
        <f>MEXtabs!Q132</f>
        <v>3.5951513428636979</v>
      </c>
      <c r="R57" s="58">
        <f>MEXtabs!R132</f>
        <v>149.50700000000001</v>
      </c>
      <c r="S57" s="58">
        <f>MEXtabs!S132</f>
        <v>0.73253944460465958</v>
      </c>
      <c r="T57" s="59">
        <f>MEXtabs!T132</f>
        <v>43.262222819513056</v>
      </c>
      <c r="U57" s="58">
        <f>MEXtabs!U132</f>
        <v>1.4978090522586553</v>
      </c>
    </row>
    <row r="58" spans="1:21" x14ac:dyDescent="0.2">
      <c r="L58" s="54" t="str">
        <f>MEXtabs!L121</f>
        <v>NXF280</v>
      </c>
      <c r="M58" s="54">
        <f>MEXtabs!M121</f>
        <v>280</v>
      </c>
      <c r="N58" s="55">
        <f>MEXtabs!N121</f>
        <v>4</v>
      </c>
      <c r="O58" s="55">
        <f>MEXtabs!O121</f>
        <v>1</v>
      </c>
      <c r="P58" s="56"/>
      <c r="Q58" s="56">
        <f>MEXtabs!Q121</f>
        <v>2.4331518775712206</v>
      </c>
      <c r="R58" s="55">
        <f>MEXtabs!R121</f>
        <v>114.61199999999999</v>
      </c>
      <c r="S58" s="55">
        <f>MEXtabs!S121</f>
        <v>2.5003101308056395</v>
      </c>
      <c r="T58" s="56">
        <f>MEXtabs!T121</f>
        <v>43.547872255342405</v>
      </c>
      <c r="U58" s="55">
        <f>MEXtabs!U121</f>
        <v>1.4412339486185484</v>
      </c>
    </row>
    <row r="59" spans="1:21" x14ac:dyDescent="0.2">
      <c r="L59" s="54" t="str">
        <f>MEXtabs!L125</f>
        <v>NXG280</v>
      </c>
      <c r="M59" s="54">
        <f>MEXtabs!M125</f>
        <v>280</v>
      </c>
      <c r="N59" s="55">
        <f>MEXtabs!N125</f>
        <v>4</v>
      </c>
      <c r="O59" s="55">
        <f>MEXtabs!O125</f>
        <v>1.6</v>
      </c>
      <c r="P59" s="56"/>
      <c r="Q59" s="56">
        <f>MEXtabs!Q125</f>
        <v>2.8808623211292477</v>
      </c>
      <c r="R59" s="55">
        <f>MEXtabs!R125</f>
        <v>128.495</v>
      </c>
      <c r="S59" s="55">
        <f>MEXtabs!S125</f>
        <v>2.0034609575348217</v>
      </c>
      <c r="T59" s="56">
        <f>MEXtabs!T125</f>
        <v>43.417032551541674</v>
      </c>
      <c r="U59" s="55">
        <f>MEXtabs!U125</f>
        <v>1.4111545812287998</v>
      </c>
    </row>
    <row r="60" spans="1:21" x14ac:dyDescent="0.2">
      <c r="L60" s="54" t="str">
        <f>MEXtabs!L129</f>
        <v>NXH280</v>
      </c>
      <c r="M60" s="54">
        <f>MEXtabs!M129</f>
        <v>280</v>
      </c>
      <c r="N60" s="55">
        <f>MEXtabs!N129</f>
        <v>4</v>
      </c>
      <c r="O60" s="55">
        <f>MEXtabs!O129</f>
        <v>3</v>
      </c>
      <c r="P60" s="56"/>
      <c r="Q60" s="56">
        <f>MEXtabs!Q129</f>
        <v>3.5006101210159413</v>
      </c>
      <c r="R60" s="55">
        <f>MEXtabs!R129</f>
        <v>147.05000000000001</v>
      </c>
      <c r="S60" s="55">
        <f>MEXtabs!S129</f>
        <v>1.3697465155541448</v>
      </c>
      <c r="T60" s="56">
        <f>MEXtabs!T129</f>
        <v>43.332123291107912</v>
      </c>
      <c r="U60" s="55">
        <f>MEXtabs!U129</f>
        <v>1.4391668160769495</v>
      </c>
    </row>
    <row r="61" spans="1:21" x14ac:dyDescent="0.2">
      <c r="L61" s="54" t="str">
        <f>MEXtabs!L133</f>
        <v>NXI280</v>
      </c>
      <c r="M61" s="54">
        <f>MEXtabs!M133</f>
        <v>280</v>
      </c>
      <c r="N61" s="55">
        <f>MEXtabs!N133</f>
        <v>4</v>
      </c>
      <c r="O61" s="55">
        <f>MEXtabs!O133</f>
        <v>5</v>
      </c>
      <c r="P61" s="56"/>
      <c r="Q61" s="56">
        <f>MEXtabs!Q133</f>
        <v>3.9334817438945446</v>
      </c>
      <c r="R61" s="55">
        <f>MEXtabs!R133</f>
        <v>159.91800000000001</v>
      </c>
      <c r="S61" s="55">
        <f>MEXtabs!S133</f>
        <v>0.89372013414397466</v>
      </c>
      <c r="T61" s="56">
        <f>MEXtabs!T133</f>
        <v>43.249584769166603</v>
      </c>
      <c r="U61" s="55">
        <f>MEXtabs!U133</f>
        <v>1.4139174246736019</v>
      </c>
    </row>
    <row r="62" spans="1:21" x14ac:dyDescent="0.2">
      <c r="A62" s="1"/>
      <c r="B62" s="1"/>
      <c r="C62" s="47"/>
      <c r="D62" s="47"/>
      <c r="E62" s="2"/>
      <c r="F62" s="2"/>
      <c r="G62" s="2"/>
      <c r="H62" s="47"/>
      <c r="I62" s="2"/>
      <c r="J62" s="47"/>
      <c r="L62" s="51" t="str">
        <f>MEXtabs!L126</f>
        <v>NXG300</v>
      </c>
      <c r="M62" s="51">
        <f>MEXtabs!M126</f>
        <v>300</v>
      </c>
      <c r="N62" s="52">
        <f>MEXtabs!N126</f>
        <v>4</v>
      </c>
      <c r="O62" s="52">
        <f>MEXtabs!O126</f>
        <v>1.6</v>
      </c>
      <c r="P62" s="53"/>
      <c r="Q62" s="53">
        <f>MEXtabs!Q126</f>
        <v>3.0951576375640011</v>
      </c>
      <c r="R62" s="52">
        <f>MEXtabs!R126</f>
        <v>133.916</v>
      </c>
      <c r="S62" s="52">
        <f>MEXtabs!S126</f>
        <v>2.3987129167731491</v>
      </c>
      <c r="T62" s="53">
        <f>MEXtabs!T126</f>
        <v>43.359289173851359</v>
      </c>
      <c r="U62" s="52">
        <f>MEXtabs!U126</f>
        <v>1.414590838401959</v>
      </c>
    </row>
    <row r="63" spans="1:21" x14ac:dyDescent="0.2">
      <c r="A63" s="1"/>
      <c r="B63" s="1"/>
      <c r="C63" s="47"/>
      <c r="D63" s="47"/>
      <c r="E63" s="2"/>
      <c r="F63" s="2"/>
      <c r="G63" s="2"/>
      <c r="H63" s="47"/>
      <c r="I63" s="2"/>
      <c r="J63" s="47"/>
      <c r="L63" s="54" t="str">
        <f>MEXtabs!L130</f>
        <v>NXH300</v>
      </c>
      <c r="M63" s="54">
        <f>MEXtabs!M130</f>
        <v>300</v>
      </c>
      <c r="N63" s="55">
        <f>MEXtabs!N130</f>
        <v>4</v>
      </c>
      <c r="O63" s="55">
        <f>MEXtabs!O130</f>
        <v>3</v>
      </c>
      <c r="P63" s="56"/>
      <c r="Q63" s="56">
        <f>MEXtabs!Q130</f>
        <v>3.7047905897248823</v>
      </c>
      <c r="R63" s="55">
        <f>MEXtabs!R130</f>
        <v>153.21</v>
      </c>
      <c r="S63" s="55">
        <f>MEXtabs!S130</f>
        <v>1.6752530487373014</v>
      </c>
      <c r="T63" s="56">
        <f>MEXtabs!T130</f>
        <v>43.270125968459105</v>
      </c>
      <c r="U63" s="55">
        <f>MEXtabs!U130</f>
        <v>1.5466709629247668</v>
      </c>
    </row>
    <row r="64" spans="1:21" x14ac:dyDescent="0.2">
      <c r="A64" s="1"/>
      <c r="B64" s="1"/>
      <c r="C64" s="47"/>
      <c r="D64" s="47"/>
      <c r="E64" s="2"/>
      <c r="F64" s="2"/>
      <c r="G64" s="2"/>
      <c r="H64" s="47"/>
      <c r="I64" s="2"/>
      <c r="J64" s="47"/>
      <c r="L64" s="57" t="str">
        <f>MEXtabs!L134</f>
        <v>NXI300</v>
      </c>
      <c r="M64" s="57">
        <f>MEXtabs!M134</f>
        <v>300</v>
      </c>
      <c r="N64" s="58">
        <f>MEXtabs!N134</f>
        <v>4</v>
      </c>
      <c r="O64" s="58">
        <f>MEXtabs!O134</f>
        <v>5</v>
      </c>
      <c r="P64" s="59"/>
      <c r="Q64" s="59">
        <f>MEXtabs!Q134</f>
        <v>4.1453765509423093</v>
      </c>
      <c r="R64" s="58">
        <f>MEXtabs!R134</f>
        <v>166.58099999999999</v>
      </c>
      <c r="S64" s="58">
        <f>MEXtabs!S134</f>
        <v>1.1161618553466861</v>
      </c>
      <c r="T64" s="59">
        <f>MEXtabs!T134</f>
        <v>43.133978014768623</v>
      </c>
      <c r="U64" s="58">
        <f>MEXtabs!U134</f>
        <v>1.4145458293129558</v>
      </c>
    </row>
    <row r="65" spans="1:24" x14ac:dyDescent="0.2">
      <c r="A65" s="1"/>
      <c r="B65" s="1"/>
      <c r="C65" s="47"/>
      <c r="D65" s="47"/>
      <c r="E65" s="2"/>
      <c r="F65" s="2"/>
      <c r="G65" s="2"/>
      <c r="H65" s="47"/>
      <c r="I65" s="2"/>
      <c r="J65" s="47"/>
      <c r="L65" s="54" t="str">
        <f>MEXtabs!L131</f>
        <v>NXH320</v>
      </c>
      <c r="M65" s="54">
        <f>MEXtabs!M131</f>
        <v>320</v>
      </c>
      <c r="N65" s="55">
        <f>MEXtabs!N131</f>
        <v>4</v>
      </c>
      <c r="O65" s="55">
        <f>MEXtabs!O131</f>
        <v>3</v>
      </c>
      <c r="P65" s="56"/>
      <c r="Q65" s="56">
        <f>MEXtabs!Q131</f>
        <v>3.8972650748324895</v>
      </c>
      <c r="R65" s="55">
        <f>MEXtabs!R131</f>
        <v>159.21700000000001</v>
      </c>
      <c r="S65" s="55">
        <f>MEXtabs!S131</f>
        <v>1.6172868838821155</v>
      </c>
      <c r="T65" s="56">
        <f>MEXtabs!T131</f>
        <v>43.131780217598909</v>
      </c>
      <c r="U65" s="55">
        <f>MEXtabs!U131</f>
        <v>1.4420495738183201</v>
      </c>
    </row>
    <row r="66" spans="1:24" x14ac:dyDescent="0.2">
      <c r="A66" s="1"/>
      <c r="B66" s="1"/>
      <c r="C66" s="47"/>
      <c r="D66" s="47"/>
      <c r="E66" s="2"/>
      <c r="F66" s="2"/>
      <c r="G66" s="2"/>
      <c r="H66" s="47"/>
      <c r="I66" s="2"/>
      <c r="J66" s="47"/>
      <c r="L66" s="57" t="str">
        <f>MEXtabs!L135</f>
        <v>NXI320</v>
      </c>
      <c r="M66" s="57">
        <f>MEXtabs!M135</f>
        <v>320</v>
      </c>
      <c r="N66" s="58">
        <f>MEXtabs!N135</f>
        <v>4</v>
      </c>
      <c r="O66" s="58">
        <f>MEXtabs!O135</f>
        <v>5</v>
      </c>
      <c r="P66" s="59"/>
      <c r="Q66" s="59">
        <f>MEXtabs!Q135</f>
        <v>4.335531420085327</v>
      </c>
      <c r="R66" s="58">
        <f>MEXtabs!R135</f>
        <v>173.059</v>
      </c>
      <c r="S66" s="58">
        <f>MEXtabs!S135</f>
        <v>1.0975355711916286</v>
      </c>
      <c r="T66" s="59">
        <f>MEXtabs!T135</f>
        <v>43.048524810446899</v>
      </c>
      <c r="U66" s="58">
        <f>MEXtabs!U135</f>
        <v>1.4067494629095421</v>
      </c>
    </row>
    <row r="67" spans="1:24" x14ac:dyDescent="0.2">
      <c r="L67" s="51" t="str">
        <f>MEXtabs!L136</f>
        <v>NXG250*</v>
      </c>
      <c r="M67" s="51">
        <f>MEXtabs!M136</f>
        <v>250</v>
      </c>
      <c r="N67" s="52">
        <f>MEXtabs!N136</f>
        <v>4</v>
      </c>
      <c r="O67" s="52">
        <f>MEXtabs!O136</f>
        <v>1.6</v>
      </c>
      <c r="P67" s="53"/>
      <c r="Q67" s="53">
        <f>MEXtabs!Q136</f>
        <v>2.5711570771389516</v>
      </c>
      <c r="R67" s="51">
        <f>MEXtabs!R136</f>
        <v>120.09699999999999</v>
      </c>
      <c r="S67" s="52">
        <f>MEXtabs!S136</f>
        <v>1.7714880064571976</v>
      </c>
      <c r="T67" s="53">
        <f>MEXtabs!T136</f>
        <v>43.344264021661864</v>
      </c>
      <c r="U67" s="52">
        <f>MEXtabs!U136</f>
        <v>1.4048290696996866</v>
      </c>
    </row>
    <row r="68" spans="1:24" x14ac:dyDescent="0.2">
      <c r="L68" s="54" t="str">
        <f>MEXtabs!L137</f>
        <v>NXH280*</v>
      </c>
      <c r="M68" s="54">
        <f>MEXtabs!M137</f>
        <v>280</v>
      </c>
      <c r="N68" s="55">
        <f>MEXtabs!N137</f>
        <v>4</v>
      </c>
      <c r="O68" s="55">
        <f>MEXtabs!O137</f>
        <v>3</v>
      </c>
      <c r="P68" s="56"/>
      <c r="Q68" s="56">
        <f>MEXtabs!Q137</f>
        <v>3.5006101210159413</v>
      </c>
      <c r="R68" s="54">
        <f>MEXtabs!R137</f>
        <v>147.05000000000001</v>
      </c>
      <c r="S68" s="55">
        <f>MEXtabs!S137</f>
        <v>1.3701660046939879</v>
      </c>
      <c r="T68" s="56">
        <f>MEXtabs!T137</f>
        <v>43.332753138987364</v>
      </c>
      <c r="U68" s="55">
        <f>MEXtabs!U137</f>
        <v>1.4124182113524919</v>
      </c>
    </row>
    <row r="69" spans="1:24" x14ac:dyDescent="0.2">
      <c r="L69" s="57" t="str">
        <f>MEXtabs!L138</f>
        <v>NXH300*</v>
      </c>
      <c r="M69" s="57">
        <f>MEXtabs!M138</f>
        <v>300</v>
      </c>
      <c r="N69" s="58">
        <f>MEXtabs!N138</f>
        <v>4</v>
      </c>
      <c r="O69" s="58">
        <f>MEXtabs!O138</f>
        <v>3</v>
      </c>
      <c r="P69" s="59"/>
      <c r="Q69" s="59">
        <f>MEXtabs!Q138</f>
        <v>3.7047905897248823</v>
      </c>
      <c r="R69" s="57">
        <f>MEXtabs!R138</f>
        <v>153.21</v>
      </c>
      <c r="S69" s="58">
        <f>MEXtabs!S138</f>
        <v>1.675574257628266</v>
      </c>
      <c r="T69" s="59">
        <f>MEXtabs!T138</f>
        <v>43.273786206386291</v>
      </c>
      <c r="U69" s="58">
        <f>MEXtabs!U138</f>
        <v>1.4098918159692015</v>
      </c>
    </row>
    <row r="74" spans="1:24" x14ac:dyDescent="0.2">
      <c r="L74" s="4" t="s">
        <v>102</v>
      </c>
    </row>
    <row r="75" spans="1:24" x14ac:dyDescent="0.2">
      <c r="W75" t="s">
        <v>384</v>
      </c>
    </row>
    <row r="76" spans="1:24" ht="51" x14ac:dyDescent="0.2">
      <c r="L76" s="49" t="s">
        <v>85</v>
      </c>
      <c r="M76" s="49" t="s">
        <v>86</v>
      </c>
      <c r="N76" s="49" t="s">
        <v>87</v>
      </c>
      <c r="O76" s="49" t="s">
        <v>88</v>
      </c>
      <c r="P76" s="49" t="s">
        <v>94</v>
      </c>
      <c r="Q76" s="49" t="s">
        <v>95</v>
      </c>
      <c r="R76" s="49" t="s">
        <v>89</v>
      </c>
      <c r="S76" s="49" t="s">
        <v>90</v>
      </c>
      <c r="T76" s="49" t="s">
        <v>96</v>
      </c>
      <c r="U76" s="49" t="s">
        <v>91</v>
      </c>
      <c r="V76" s="48"/>
      <c r="W76" s="50" t="s">
        <v>93</v>
      </c>
      <c r="X76" s="50" t="s">
        <v>92</v>
      </c>
    </row>
    <row r="77" spans="1:24" x14ac:dyDescent="0.2">
      <c r="L77" s="1" t="s">
        <v>31</v>
      </c>
      <c r="M77" s="1">
        <v>40</v>
      </c>
      <c r="N77" s="47">
        <v>0.5</v>
      </c>
      <c r="O77" s="47"/>
      <c r="P77" s="2">
        <f>MEX!C12</f>
        <v>0.57492783060838692</v>
      </c>
      <c r="Q77" s="2"/>
      <c r="R77" s="47">
        <v>17.956</v>
      </c>
      <c r="S77" s="411">
        <v>1.9268716103181462</v>
      </c>
      <c r="T77" s="2">
        <f>MEX!M12</f>
        <v>47.693535864374525</v>
      </c>
      <c r="U77" s="47">
        <f>2*SQRT(SUMSQ(X77,W77))</f>
        <v>1.5314651857126156</v>
      </c>
      <c r="W77" s="411">
        <v>0.7</v>
      </c>
      <c r="X77" s="47">
        <f>MEX!N12</f>
        <v>0.31039717099619979</v>
      </c>
    </row>
    <row r="78" spans="1:24" x14ac:dyDescent="0.2">
      <c r="L78" s="1" t="s">
        <v>33</v>
      </c>
      <c r="M78" s="1">
        <v>50</v>
      </c>
      <c r="N78" s="47">
        <v>0.5</v>
      </c>
      <c r="O78" s="47"/>
      <c r="P78" s="2">
        <f>MEX!C13</f>
        <v>0.68410318438743511</v>
      </c>
      <c r="Q78" s="2"/>
      <c r="R78" s="47">
        <v>19.5</v>
      </c>
      <c r="S78" s="411">
        <v>2.6952770739921679</v>
      </c>
      <c r="T78" s="2">
        <f>MEX!M13</f>
        <v>47.316194322138813</v>
      </c>
      <c r="U78" s="47">
        <f>2*SQRT(SUMSQ(X78,W78))</f>
        <v>1.409275979947773</v>
      </c>
      <c r="W78" s="411">
        <v>0.7</v>
      </c>
      <c r="X78" s="47">
        <f>MEX!N13</f>
        <v>8.0713672413285018E-2</v>
      </c>
    </row>
    <row r="79" spans="1:24" x14ac:dyDescent="0.2">
      <c r="L79" s="1" t="s">
        <v>36</v>
      </c>
      <c r="M79" s="1">
        <v>60</v>
      </c>
      <c r="N79" s="47">
        <v>0.5</v>
      </c>
      <c r="O79" s="47"/>
      <c r="P79" s="2">
        <f>MEX!C14</f>
        <v>0.78881379165109278</v>
      </c>
      <c r="Q79" s="2"/>
      <c r="R79" s="47">
        <v>20.856999999999999</v>
      </c>
      <c r="S79" s="411">
        <v>3.4163325098100352</v>
      </c>
      <c r="T79" s="2">
        <f>MEX!M14</f>
        <v>46.813271686133454</v>
      </c>
      <c r="U79" s="47">
        <f>2*SQRT(SUMSQ(X79,W79))</f>
        <v>1.5437045866516637</v>
      </c>
      <c r="W79" s="411">
        <v>0.7</v>
      </c>
      <c r="X79" s="47">
        <f>MEX!N14</f>
        <v>0.32520141868132418</v>
      </c>
    </row>
    <row r="80" spans="1:24" x14ac:dyDescent="0.2">
      <c r="L80" s="1" t="s">
        <v>38</v>
      </c>
      <c r="M80" s="1">
        <v>70</v>
      </c>
      <c r="N80" s="47">
        <v>0.5</v>
      </c>
      <c r="O80" s="47"/>
      <c r="P80" s="2">
        <f>MEX!C15</f>
        <v>0.89521104032277998</v>
      </c>
      <c r="Q80" s="2"/>
      <c r="R80" s="47">
        <v>22.146999999999998</v>
      </c>
      <c r="S80" s="411">
        <v>4.0877931084538499</v>
      </c>
      <c r="T80" s="2">
        <f>MEX!M15</f>
        <v>46.58433497953672</v>
      </c>
      <c r="U80" s="47">
        <f>2*SQRT(SUMSQ(X80,W80))</f>
        <v>1.419811453662847</v>
      </c>
      <c r="W80" s="411">
        <v>0.7</v>
      </c>
      <c r="X80" s="47">
        <f>MEX!N15</f>
        <v>0.11817842860713516</v>
      </c>
    </row>
    <row r="81" spans="12:24" x14ac:dyDescent="0.2">
      <c r="L81" s="1" t="s">
        <v>42</v>
      </c>
      <c r="M81" s="1">
        <v>80</v>
      </c>
      <c r="N81" s="47">
        <v>0.5</v>
      </c>
      <c r="O81" s="47"/>
      <c r="P81" s="2">
        <f>MEX!C16</f>
        <v>1.0168942180395382</v>
      </c>
      <c r="Q81" s="2"/>
      <c r="R81" s="47">
        <v>23.48</v>
      </c>
      <c r="S81" s="411">
        <v>4.7437535740075889</v>
      </c>
      <c r="T81" s="2">
        <f>MEX!M16</f>
        <v>46.356066401222279</v>
      </c>
      <c r="U81" s="47">
        <f>2*SQRT(SUMSQ(X81,W81))</f>
        <v>1.450158296727728</v>
      </c>
      <c r="W81" s="411">
        <v>0.7</v>
      </c>
      <c r="X81" s="47">
        <f>MEX!N16</f>
        <v>0.18904965324503065</v>
      </c>
    </row>
    <row r="82" spans="12:24" x14ac:dyDescent="0.2">
      <c r="L82" s="1" t="s">
        <v>44</v>
      </c>
      <c r="M82" s="1">
        <v>90</v>
      </c>
      <c r="N82" s="47">
        <v>0.5</v>
      </c>
      <c r="O82" s="47"/>
      <c r="P82" s="2">
        <f>MEX!C17</f>
        <v>1.1524525686905205</v>
      </c>
      <c r="Q82" s="2"/>
      <c r="R82" s="47">
        <v>24.878</v>
      </c>
      <c r="S82" s="411">
        <v>5.3832626952945777</v>
      </c>
      <c r="T82" s="2">
        <f>MEX!M17</f>
        <v>46.158010183854593</v>
      </c>
      <c r="U82" s="47">
        <f>2*SQRT(SUMSQ(X82,W82))</f>
        <v>1.4321845744595318</v>
      </c>
      <c r="W82" s="411">
        <v>0.7</v>
      </c>
      <c r="X82" s="47">
        <f>MEX!N17</f>
        <v>0.15095749014195234</v>
      </c>
    </row>
    <row r="83" spans="12:24" x14ac:dyDescent="0.2">
      <c r="L83" s="1" t="s">
        <v>46</v>
      </c>
      <c r="M83" s="1">
        <v>100</v>
      </c>
      <c r="N83" s="47">
        <v>0.5</v>
      </c>
      <c r="O83" s="47"/>
      <c r="P83" s="2">
        <f>MEX!C18</f>
        <v>1.3031305701207649</v>
      </c>
      <c r="Q83" s="2"/>
      <c r="R83" s="47">
        <v>26.34</v>
      </c>
      <c r="S83" s="411">
        <v>6.0072442583076713</v>
      </c>
      <c r="T83" s="2">
        <f>MEX!M18</f>
        <v>45.974847556635403</v>
      </c>
      <c r="U83" s="47">
        <f>2*SQRT(SUMSQ(X83,W83))</f>
        <v>1.4127143672543812</v>
      </c>
      <c r="W83" s="411">
        <v>0.7</v>
      </c>
      <c r="X83" s="47">
        <f>MEX!N18</f>
        <v>9.4554063168838617E-2</v>
      </c>
    </row>
    <row r="84" spans="12:24" x14ac:dyDescent="0.2">
      <c r="L84" s="1" t="s">
        <v>291</v>
      </c>
      <c r="M84" s="1">
        <v>40</v>
      </c>
      <c r="N84" s="47">
        <v>1</v>
      </c>
      <c r="O84" s="47"/>
      <c r="P84" s="2">
        <f>MEX!C19</f>
        <v>0.9258920135550176</v>
      </c>
      <c r="Q84" s="2"/>
      <c r="R84" s="47">
        <v>20.93</v>
      </c>
      <c r="S84" s="411">
        <v>1.034243431193558</v>
      </c>
      <c r="T84" s="2">
        <f>MEX!M19</f>
        <v>46.203313821965558</v>
      </c>
      <c r="U84" s="47">
        <f>2*SQRT(SUMSQ(X84,W84))</f>
        <v>1.4416078706253674</v>
      </c>
      <c r="W84" s="411">
        <v>0.7</v>
      </c>
      <c r="X84" s="47">
        <f>MEX!N19</f>
        <v>0.17192531274437639</v>
      </c>
    </row>
    <row r="85" spans="12:24" x14ac:dyDescent="0.2">
      <c r="L85" s="1" t="s">
        <v>292</v>
      </c>
      <c r="M85" s="1">
        <v>50</v>
      </c>
      <c r="N85" s="47">
        <v>1</v>
      </c>
      <c r="O85" s="47"/>
      <c r="P85" s="2">
        <f>MEX!C20</f>
        <v>1.1174180366661788</v>
      </c>
      <c r="Q85" s="2"/>
      <c r="R85" s="47">
        <v>22.646000000000001</v>
      </c>
      <c r="S85" s="411">
        <v>1.5613142122232517</v>
      </c>
      <c r="T85" s="2">
        <f>MEX!M20</f>
        <v>45.914809793111083</v>
      </c>
      <c r="U85" s="47">
        <f>2*SQRT(SUMSQ(X85,W85))</f>
        <v>1.4897003515081115</v>
      </c>
      <c r="W85" s="411">
        <v>0.7</v>
      </c>
      <c r="X85" s="47">
        <f>MEX!N20</f>
        <v>0.25456194594017334</v>
      </c>
    </row>
    <row r="86" spans="12:24" x14ac:dyDescent="0.2">
      <c r="L86" s="1" t="s">
        <v>293</v>
      </c>
      <c r="M86" s="1">
        <v>60</v>
      </c>
      <c r="N86" s="47">
        <v>1</v>
      </c>
      <c r="O86" s="47"/>
      <c r="P86" s="2">
        <f>MEX!C21</f>
        <v>1.2886011015031504</v>
      </c>
      <c r="Q86" s="2"/>
      <c r="R86" s="47">
        <v>24.094999999999999</v>
      </c>
      <c r="S86" s="411">
        <v>2.0865224861762162</v>
      </c>
      <c r="T86" s="2">
        <f>MEX!M21</f>
        <v>45.792090469114378</v>
      </c>
      <c r="U86" s="47">
        <f>2*SQRT(SUMSQ(X86,W86))</f>
        <v>1.4909430730515929</v>
      </c>
      <c r="W86" s="411">
        <v>0.7</v>
      </c>
      <c r="X86" s="47">
        <f>MEX!N21</f>
        <v>0.25637435864401875</v>
      </c>
    </row>
    <row r="87" spans="12:24" x14ac:dyDescent="0.2">
      <c r="L87" s="1" t="s">
        <v>294</v>
      </c>
      <c r="M87" s="1">
        <v>70</v>
      </c>
      <c r="N87" s="47">
        <v>1</v>
      </c>
      <c r="O87" s="47"/>
      <c r="P87" s="2">
        <f>MEX!C22</f>
        <v>1.4584444510077763</v>
      </c>
      <c r="Q87" s="2"/>
      <c r="R87" s="47">
        <v>25.442</v>
      </c>
      <c r="S87" s="411">
        <v>2.6003102271979963</v>
      </c>
      <c r="T87" s="2">
        <f>MEX!M22</f>
        <v>45.625916563366793</v>
      </c>
      <c r="U87" s="47">
        <f>2*SQRT(SUMSQ(X87,W87))</f>
        <v>1.4130543228107475</v>
      </c>
      <c r="W87" s="411">
        <v>0.7</v>
      </c>
      <c r="X87" s="47">
        <f>MEX!N22</f>
        <v>9.581560313192769E-2</v>
      </c>
    </row>
    <row r="88" spans="12:24" x14ac:dyDescent="0.2">
      <c r="L88" s="1" t="s">
        <v>295</v>
      </c>
      <c r="M88" s="1">
        <v>80</v>
      </c>
      <c r="N88" s="47">
        <v>1</v>
      </c>
      <c r="O88" s="47"/>
      <c r="P88" s="2">
        <f>MEX!C23</f>
        <v>1.6431678445072386</v>
      </c>
      <c r="Q88" s="2"/>
      <c r="R88" s="47">
        <v>26.841999999999999</v>
      </c>
      <c r="S88" s="411">
        <v>3.1295609369477901</v>
      </c>
      <c r="T88" s="2">
        <f>MEX!M23</f>
        <v>45.516912000756918</v>
      </c>
      <c r="U88" s="47">
        <f>2*SQRT(SUMSQ(X88,W88))</f>
        <v>1.4292874414335843</v>
      </c>
      <c r="W88" s="411">
        <v>0.7</v>
      </c>
      <c r="X88" s="47">
        <f>MEX!N23</f>
        <v>0.14392931445657767</v>
      </c>
    </row>
    <row r="89" spans="12:24" x14ac:dyDescent="0.2">
      <c r="L89" s="1" t="s">
        <v>296</v>
      </c>
      <c r="M89" s="1">
        <v>90</v>
      </c>
      <c r="N89" s="47">
        <v>1</v>
      </c>
      <c r="O89" s="47"/>
      <c r="P89" s="2">
        <f>MEX!C24</f>
        <v>1.8393319677543469</v>
      </c>
      <c r="Q89" s="2"/>
      <c r="R89" s="47">
        <v>28.32</v>
      </c>
      <c r="S89" s="411">
        <v>3.6672679398537964</v>
      </c>
      <c r="T89" s="2">
        <f>MEX!M24</f>
        <v>45.379279329759093</v>
      </c>
      <c r="U89" s="47">
        <f>2*SQRT(SUMSQ(X89,W89))</f>
        <v>1.4208597684562358</v>
      </c>
      <c r="W89" s="411">
        <v>0.7</v>
      </c>
      <c r="X89" s="47">
        <f>MEX!N24</f>
        <v>0.12128734643142701</v>
      </c>
    </row>
    <row r="90" spans="12:24" x14ac:dyDescent="0.2">
      <c r="L90" s="1" t="s">
        <v>297</v>
      </c>
      <c r="M90" s="1">
        <v>100</v>
      </c>
      <c r="N90" s="47">
        <v>1</v>
      </c>
      <c r="O90" s="47"/>
      <c r="P90" s="2">
        <f>MEX!C25</f>
        <v>2.0480553989194346</v>
      </c>
      <c r="Q90" s="2"/>
      <c r="R90" s="47">
        <v>29.867000000000001</v>
      </c>
      <c r="S90" s="411">
        <v>4.2111287232273407</v>
      </c>
      <c r="T90" s="2">
        <f>MEX!M25</f>
        <v>45.340349958431013</v>
      </c>
      <c r="U90" s="47">
        <f>2*SQRT(SUMSQ(X90,W90))</f>
        <v>1.4193404688614863</v>
      </c>
      <c r="W90" s="411">
        <v>0.7</v>
      </c>
      <c r="X90" s="47">
        <f>MEX!N25</f>
        <v>0.11675547797420903</v>
      </c>
    </row>
    <row r="91" spans="12:24" x14ac:dyDescent="0.2">
      <c r="L91" s="1" t="s">
        <v>32</v>
      </c>
      <c r="M91" s="1">
        <v>40</v>
      </c>
      <c r="N91" s="47">
        <v>4</v>
      </c>
      <c r="O91" s="47"/>
      <c r="P91" s="2">
        <f>MEX!C26</f>
        <v>1.8978864505991633</v>
      </c>
      <c r="Q91" s="2">
        <f>MEX!D26</f>
        <v>6.272293453927999E-2</v>
      </c>
      <c r="R91" s="47">
        <v>27.068000000000001</v>
      </c>
      <c r="S91" s="411">
        <v>0.1822076112575701</v>
      </c>
      <c r="T91" s="2">
        <f>MEX!M26</f>
        <v>44.99892515741616</v>
      </c>
      <c r="U91" s="47">
        <f>2*SQRT(SUMSQ(X91,W91))</f>
        <v>1.4338042016894315</v>
      </c>
      <c r="W91" s="411">
        <v>0.7</v>
      </c>
      <c r="X91" s="47">
        <f>MEX!N26</f>
        <v>0.1547534238573319</v>
      </c>
    </row>
    <row r="92" spans="12:24" x14ac:dyDescent="0.2">
      <c r="L92" s="1" t="s">
        <v>34</v>
      </c>
      <c r="M92" s="1">
        <v>50</v>
      </c>
      <c r="N92" s="47">
        <v>4</v>
      </c>
      <c r="O92" s="47"/>
      <c r="P92" s="2">
        <f>MEX!C27</f>
        <v>2.3884184190002435</v>
      </c>
      <c r="Q92" s="2">
        <f>MEX!D27</f>
        <v>7.9990307372596242E-2</v>
      </c>
      <c r="R92" s="47">
        <v>29.934000000000001</v>
      </c>
      <c r="S92" s="411">
        <v>0.3614711080424986</v>
      </c>
      <c r="T92" s="2">
        <f>MEX!M27</f>
        <v>45.021741124033042</v>
      </c>
      <c r="U92" s="47">
        <f>2*SQRT(SUMSQ(X92,W92))</f>
        <v>1.4219866338412048</v>
      </c>
      <c r="W92" s="411">
        <v>0.7</v>
      </c>
      <c r="X92" s="47">
        <f>MEX!N27</f>
        <v>0.12454515930280188</v>
      </c>
    </row>
    <row r="93" spans="12:24" x14ac:dyDescent="0.2">
      <c r="L93" s="1" t="s">
        <v>37</v>
      </c>
      <c r="M93" s="1">
        <v>60</v>
      </c>
      <c r="N93" s="47">
        <v>4</v>
      </c>
      <c r="O93" s="47"/>
      <c r="P93" s="2">
        <f>MEX!C28</f>
        <v>2.8058625894538358</v>
      </c>
      <c r="Q93" s="2">
        <f>MEX!D28</f>
        <v>9.5799660048102947E-2</v>
      </c>
      <c r="R93" s="47">
        <v>32.250999999999998</v>
      </c>
      <c r="S93" s="411">
        <v>0.57233882338589537</v>
      </c>
      <c r="T93" s="2">
        <f>MEX!M28</f>
        <v>45.047957186376919</v>
      </c>
      <c r="U93" s="47">
        <f>2*SQRT(SUMSQ(X93,W93))</f>
        <v>1.4116061881764499</v>
      </c>
      <c r="W93" s="411">
        <v>0.7</v>
      </c>
      <c r="X93" s="47">
        <f>MEX!N28</f>
        <v>9.03216896681618E-2</v>
      </c>
    </row>
    <row r="94" spans="12:24" x14ac:dyDescent="0.2">
      <c r="L94" s="1" t="s">
        <v>39</v>
      </c>
      <c r="M94" s="1">
        <v>70</v>
      </c>
      <c r="N94" s="47">
        <v>4</v>
      </c>
      <c r="O94" s="47"/>
      <c r="P94" s="2">
        <f>MEX!C29</f>
        <v>3.1929733252964523</v>
      </c>
      <c r="Q94" s="2">
        <f>MEX!D29</f>
        <v>0.11135967269909675</v>
      </c>
      <c r="R94" s="47">
        <v>34.274999999999999</v>
      </c>
      <c r="S94" s="411">
        <v>0.80408604444712184</v>
      </c>
      <c r="T94" s="2">
        <f>MEX!M29</f>
        <v>44.974926824133554</v>
      </c>
      <c r="U94" s="47">
        <f>2*SQRT(SUMSQ(X94,W94))</f>
        <v>1.4210667981440146</v>
      </c>
      <c r="W94" s="411">
        <v>0.7</v>
      </c>
      <c r="X94" s="47">
        <f>MEX!N29</f>
        <v>0.12189221138703006</v>
      </c>
    </row>
    <row r="95" spans="12:24" x14ac:dyDescent="0.2">
      <c r="L95" s="1" t="s">
        <v>43</v>
      </c>
      <c r="M95" s="1">
        <v>80</v>
      </c>
      <c r="N95" s="47">
        <v>4</v>
      </c>
      <c r="O95" s="47"/>
      <c r="P95" s="2">
        <f>MEX!C30</f>
        <v>3.6197123995759788</v>
      </c>
      <c r="Q95" s="2">
        <f>MEX!D30</f>
        <v>0.12923885884326811</v>
      </c>
      <c r="R95" s="47">
        <v>36.328000000000003</v>
      </c>
      <c r="S95" s="411">
        <v>1.0720231883905915</v>
      </c>
      <c r="T95" s="2">
        <f>MEX!M30</f>
        <v>44.884206076157788</v>
      </c>
      <c r="U95" s="47">
        <f>2*SQRT(SUMSQ(X95,W95))</f>
        <v>1.4050303855848547</v>
      </c>
      <c r="W95" s="411">
        <v>0.7</v>
      </c>
      <c r="X95" s="47">
        <f>MEX!N30</f>
        <v>5.9393569552448539E-2</v>
      </c>
    </row>
    <row r="96" spans="12:24" x14ac:dyDescent="0.2">
      <c r="L96" s="1" t="s">
        <v>45</v>
      </c>
      <c r="M96" s="1">
        <v>90</v>
      </c>
      <c r="N96" s="47">
        <v>4</v>
      </c>
      <c r="O96" s="47"/>
      <c r="P96" s="2">
        <f>MEX!C31</f>
        <v>4.0393687541302778</v>
      </c>
      <c r="Q96" s="2">
        <f>MEX!D31</f>
        <v>0.14848211806760514</v>
      </c>
      <c r="R96" s="47">
        <v>38.384999999999998</v>
      </c>
      <c r="S96" s="411">
        <v>1.3708996048300812</v>
      </c>
      <c r="T96" s="2">
        <f>MEX!M31</f>
        <v>44.84083069639663</v>
      </c>
      <c r="U96" s="47">
        <f>2*SQRT(SUMSQ(X96,W96))</f>
        <v>1.4118196011613038</v>
      </c>
      <c r="W96" s="411">
        <v>0.7</v>
      </c>
      <c r="X96" s="47">
        <f>MEX!N31</f>
        <v>9.1151777579023568E-2</v>
      </c>
    </row>
    <row r="97" spans="12:24" x14ac:dyDescent="0.2">
      <c r="L97" s="1" t="s">
        <v>35</v>
      </c>
      <c r="M97" s="1">
        <v>50</v>
      </c>
      <c r="N97" s="47">
        <v>4.5</v>
      </c>
      <c r="O97" s="47"/>
      <c r="P97" s="2">
        <f>MEX!C32</f>
        <v>2.5292585864499295</v>
      </c>
      <c r="Q97" s="2">
        <f>MEX!D32</f>
        <v>8.4996170866672577E-2</v>
      </c>
      <c r="R97" s="47">
        <v>30.623000000000001</v>
      </c>
      <c r="S97" s="411">
        <v>0.30800964535218428</v>
      </c>
      <c r="T97" s="2">
        <f>MEX!M32</f>
        <v>44.909193923534019</v>
      </c>
      <c r="U97" s="47">
        <f>2*SQRT(SUMSQ(X97,W97))</f>
        <v>1.5130712375920568</v>
      </c>
      <c r="W97" s="411">
        <v>0.7</v>
      </c>
      <c r="X97" s="47">
        <f>MEX!N32</f>
        <v>0.28696017582077399</v>
      </c>
    </row>
    <row r="98" spans="12:24" x14ac:dyDescent="0.2">
      <c r="L98" s="1" t="s">
        <v>40</v>
      </c>
      <c r="M98" s="1">
        <v>70</v>
      </c>
      <c r="N98" s="47">
        <v>4.5</v>
      </c>
      <c r="O98" s="47"/>
      <c r="P98" s="2">
        <f>MEX!C33</f>
        <v>3.3915742452383575</v>
      </c>
      <c r="Q98" s="2">
        <f>MEX!D33</f>
        <v>0.11942976937282476</v>
      </c>
      <c r="R98" s="47">
        <v>35.19</v>
      </c>
      <c r="S98" s="411">
        <v>0.70900434167113335</v>
      </c>
      <c r="T98" s="2">
        <f>MEX!M33</f>
        <v>44.93060349187283</v>
      </c>
      <c r="U98" s="47">
        <f>2*SQRT(SUMSQ(X98,W98))</f>
        <v>1.4133923818326815</v>
      </c>
      <c r="W98" s="411">
        <v>0.7</v>
      </c>
      <c r="X98" s="47">
        <f>MEX!N33</f>
        <v>9.7054140847596698E-2</v>
      </c>
    </row>
    <row r="99" spans="12:24" x14ac:dyDescent="0.2">
      <c r="L99" s="1" t="s">
        <v>47</v>
      </c>
      <c r="M99" s="1">
        <v>100</v>
      </c>
      <c r="N99" s="47">
        <v>4.5</v>
      </c>
      <c r="O99" s="47"/>
      <c r="P99" s="2">
        <f>MEX!C34</f>
        <v>4.7352150332082985</v>
      </c>
      <c r="Q99" s="2">
        <f>MEX!D34</f>
        <v>0.18268575344478749</v>
      </c>
      <c r="R99" s="47">
        <v>41.587000000000003</v>
      </c>
      <c r="S99" s="411">
        <v>1.5383545199985422</v>
      </c>
      <c r="T99" s="2">
        <f>MEX!M34</f>
        <v>44.778484986701471</v>
      </c>
      <c r="U99" s="47">
        <f>2*SQRT(SUMSQ(X99,W99))</f>
        <v>1.4040446675332428</v>
      </c>
      <c r="W99" s="411">
        <v>0.7</v>
      </c>
      <c r="X99" s="47">
        <f>MEX!N34</f>
        <v>5.3248071393559616E-2</v>
      </c>
    </row>
    <row r="100" spans="12:24" x14ac:dyDescent="0.2">
      <c r="L100" s="1" t="s">
        <v>50</v>
      </c>
      <c r="M100" s="1">
        <v>120</v>
      </c>
      <c r="N100" s="47">
        <v>4.5</v>
      </c>
      <c r="O100" s="47"/>
      <c r="P100" s="2">
        <f>MEX!C35</f>
        <v>5.5559969759148071</v>
      </c>
      <c r="Q100" s="2">
        <f>MEX!D35</f>
        <v>0.22971681375447262</v>
      </c>
      <c r="R100" s="47">
        <v>45.744</v>
      </c>
      <c r="S100" s="411">
        <v>2.2136133591294311</v>
      </c>
      <c r="T100" s="2">
        <f>MEX!M35</f>
        <v>44.639950752706113</v>
      </c>
      <c r="U100" s="47">
        <f>2*SQRT(SUMSQ(X100,W100))</f>
        <v>1.4134053534065081</v>
      </c>
      <c r="W100" s="411">
        <v>0.7</v>
      </c>
      <c r="X100" s="47">
        <f>MEX!N35</f>
        <v>9.7101355600959879E-2</v>
      </c>
    </row>
    <row r="101" spans="12:24" x14ac:dyDescent="0.2">
      <c r="L101" s="1" t="s">
        <v>54</v>
      </c>
      <c r="M101" s="1">
        <v>140</v>
      </c>
      <c r="N101" s="47">
        <v>4.5</v>
      </c>
      <c r="O101" s="47"/>
      <c r="P101" s="2">
        <f>MEX!C36</f>
        <v>6.3330445132980557</v>
      </c>
      <c r="Q101" s="2">
        <f>MEX!D36</f>
        <v>0.28214314856452327</v>
      </c>
      <c r="R101" s="47">
        <v>49.868000000000002</v>
      </c>
      <c r="S101" s="411">
        <v>2.9682801649107224</v>
      </c>
      <c r="T101" s="2">
        <f>MEX!M36</f>
        <v>44.472387610906146</v>
      </c>
      <c r="U101" s="47">
        <f>2*SQRT(SUMSQ(X101,W101))</f>
        <v>1.4506522576503247</v>
      </c>
      <c r="W101" s="411">
        <v>0.7</v>
      </c>
      <c r="X101" s="47">
        <f>MEX!N36</f>
        <v>0.18999471875948548</v>
      </c>
    </row>
    <row r="102" spans="12:24" x14ac:dyDescent="0.2">
      <c r="L102" s="1" t="s">
        <v>41</v>
      </c>
      <c r="M102" s="1">
        <v>70</v>
      </c>
      <c r="N102" s="47">
        <v>6</v>
      </c>
      <c r="O102" s="47"/>
      <c r="P102" s="2">
        <f>MEX!C37</f>
        <v>3.9520687461764625</v>
      </c>
      <c r="Q102" s="2">
        <f>MEX!D37</f>
        <v>0.14140515813491988</v>
      </c>
      <c r="R102" s="47">
        <v>37.509</v>
      </c>
      <c r="S102" s="411">
        <v>0.50733597196581537</v>
      </c>
      <c r="T102" s="2">
        <f>MEX!M37</f>
        <v>44.834642207686024</v>
      </c>
      <c r="U102" s="47">
        <f>2*SQRT(SUMSQ(X102,W102))</f>
        <v>1.5176303105731503</v>
      </c>
      <c r="W102" s="411">
        <v>0.7</v>
      </c>
      <c r="X102" s="47">
        <f>MEX!N37</f>
        <v>0.29291712120084284</v>
      </c>
    </row>
    <row r="103" spans="12:24" x14ac:dyDescent="0.2">
      <c r="L103" s="1" t="s">
        <v>48</v>
      </c>
      <c r="M103" s="1">
        <v>100</v>
      </c>
      <c r="N103" s="47">
        <v>6</v>
      </c>
      <c r="O103" s="47"/>
      <c r="P103" s="2">
        <f>MEX!C38</f>
        <v>5.4850226957751094</v>
      </c>
      <c r="Q103" s="2">
        <f>MEX!D38</f>
        <v>0.221397651099389</v>
      </c>
      <c r="R103" s="47">
        <v>44.582999999999998</v>
      </c>
      <c r="S103" s="411">
        <v>1.1930132213047684</v>
      </c>
      <c r="T103" s="2">
        <f>MEX!M38</f>
        <v>44.731165114354809</v>
      </c>
      <c r="U103" s="47">
        <f>2*SQRT(SUMSQ(X103,W103))</f>
        <v>1.4424580662728919</v>
      </c>
      <c r="W103" s="411">
        <v>0.7</v>
      </c>
      <c r="X103" s="47">
        <f>MEX!N38</f>
        <v>0.17369892987273311</v>
      </c>
    </row>
    <row r="104" spans="12:24" x14ac:dyDescent="0.2">
      <c r="L104" s="1" t="s">
        <v>51</v>
      </c>
      <c r="M104" s="1">
        <v>120</v>
      </c>
      <c r="N104" s="47">
        <v>6</v>
      </c>
      <c r="O104" s="47"/>
      <c r="P104" s="2">
        <f>MEX!C39</f>
        <v>6.3769778478391608</v>
      </c>
      <c r="Q104" s="2">
        <f>MEX!D39</f>
        <v>0.28062311390349393</v>
      </c>
      <c r="R104" s="47">
        <v>48.945</v>
      </c>
      <c r="S104" s="411">
        <v>1.7719286135797616</v>
      </c>
      <c r="T104" s="2">
        <f>MEX!M39</f>
        <v>44.596340368679414</v>
      </c>
      <c r="U104" s="47">
        <f>2*SQRT(SUMSQ(X104,W104))</f>
        <v>1.4061150802800539</v>
      </c>
      <c r="W104" s="411">
        <v>0.7</v>
      </c>
      <c r="X104" s="47">
        <f>MEX!N39</f>
        <v>6.5497364433583949E-2</v>
      </c>
    </row>
    <row r="105" spans="12:24" x14ac:dyDescent="0.2">
      <c r="L105" s="1" t="s">
        <v>55</v>
      </c>
      <c r="M105" s="1">
        <v>140</v>
      </c>
      <c r="N105" s="47">
        <v>6</v>
      </c>
      <c r="O105" s="47"/>
      <c r="P105" s="2">
        <f>MEX!C40</f>
        <v>7.1952322413084104</v>
      </c>
      <c r="Q105" s="2">
        <f>MEX!D40</f>
        <v>0.34467534185441145</v>
      </c>
      <c r="R105" s="47">
        <v>53.139000000000003</v>
      </c>
      <c r="S105" s="411">
        <v>2.4336719317072095</v>
      </c>
      <c r="T105" s="2">
        <f>MEX!M40</f>
        <v>44.43867098352041</v>
      </c>
      <c r="U105" s="47">
        <f>2*SQRT(SUMSQ(X105,W105))</f>
        <v>1.4082816454668357</v>
      </c>
      <c r="W105" s="411">
        <v>0.7</v>
      </c>
      <c r="X105" s="47">
        <f>MEX!N40</f>
        <v>7.6251545818394037E-2</v>
      </c>
    </row>
    <row r="106" spans="12:24" x14ac:dyDescent="0.2">
      <c r="L106" s="1" t="s">
        <v>59</v>
      </c>
      <c r="M106" s="1">
        <v>150</v>
      </c>
      <c r="N106" s="47">
        <v>6</v>
      </c>
      <c r="O106" s="47"/>
      <c r="P106" s="2">
        <f>MEX!C41</f>
        <v>7.58221629670666</v>
      </c>
      <c r="Q106" s="2">
        <f>MEX!D41</f>
        <v>0.37860748947727846</v>
      </c>
      <c r="R106" s="47">
        <v>55.186999999999998</v>
      </c>
      <c r="S106" s="411">
        <v>2.7968174376841981</v>
      </c>
      <c r="T106" s="2">
        <f>MEX!M41</f>
        <v>44.399662164670268</v>
      </c>
      <c r="U106" s="47">
        <f>2*SQRT(SUMSQ(X106,W106))</f>
        <v>1.4039651657126611</v>
      </c>
      <c r="W106" s="411">
        <v>0.7</v>
      </c>
      <c r="X106" s="47">
        <f>MEX!N41</f>
        <v>5.2721405839042786E-2</v>
      </c>
    </row>
    <row r="107" spans="12:24" x14ac:dyDescent="0.2">
      <c r="L107" s="1" t="s">
        <v>49</v>
      </c>
      <c r="M107" s="1">
        <v>100</v>
      </c>
      <c r="N107" s="47">
        <v>9</v>
      </c>
      <c r="O107" s="47"/>
      <c r="P107" s="2">
        <f>MEX!C42</f>
        <v>6.6136409012352111</v>
      </c>
      <c r="Q107" s="2">
        <f>MEX!D42</f>
        <v>0.29051611469154731</v>
      </c>
      <c r="R107" s="47">
        <v>49.084000000000003</v>
      </c>
      <c r="S107" s="411">
        <v>0.79054994032354275</v>
      </c>
      <c r="T107" s="2">
        <f>MEX!M42</f>
        <v>44.632603356945602</v>
      </c>
      <c r="U107" s="47">
        <f>2*SQRT(SUMSQ(X107,W107))</f>
        <v>1.4403549584723627</v>
      </c>
      <c r="W107" s="411">
        <v>0.7</v>
      </c>
      <c r="X107" s="47">
        <f>MEX!N42</f>
        <v>0.16927965500608885</v>
      </c>
    </row>
    <row r="108" spans="12:24" x14ac:dyDescent="0.2">
      <c r="L108" s="1" t="s">
        <v>52</v>
      </c>
      <c r="M108" s="1">
        <v>120</v>
      </c>
      <c r="N108" s="47">
        <v>9</v>
      </c>
      <c r="O108" s="47"/>
      <c r="P108" s="2">
        <f>MEX!C43</f>
        <v>7.588179482309295</v>
      </c>
      <c r="Q108" s="2">
        <f>MEX!D43</f>
        <v>0.36809931938124019</v>
      </c>
      <c r="R108" s="47">
        <v>53.752000000000002</v>
      </c>
      <c r="S108" s="411">
        <v>1.2349139271951406</v>
      </c>
      <c r="T108" s="2">
        <f>MEX!M43</f>
        <v>44.507133371596417</v>
      </c>
      <c r="U108" s="47">
        <f>2*SQRT(SUMSQ(X108,W108))</f>
        <v>1.4107132067323704</v>
      </c>
      <c r="W108" s="411">
        <v>0.7</v>
      </c>
      <c r="X108" s="47">
        <f>MEX!N43</f>
        <v>8.6763690056855386E-2</v>
      </c>
    </row>
    <row r="109" spans="12:24" x14ac:dyDescent="0.2">
      <c r="L109" s="1" t="s">
        <v>56</v>
      </c>
      <c r="M109" s="1">
        <v>140</v>
      </c>
      <c r="N109" s="47">
        <v>9</v>
      </c>
      <c r="O109" s="47"/>
      <c r="P109" s="2">
        <f>MEX!C44</f>
        <v>8.4359614589862257</v>
      </c>
      <c r="Q109" s="2">
        <f>MEX!D44</f>
        <v>0.45081671702125536</v>
      </c>
      <c r="R109" s="47">
        <v>58.063000000000002</v>
      </c>
      <c r="S109" s="411">
        <v>1.7579510853719673</v>
      </c>
      <c r="T109" s="2">
        <f>MEX!M44</f>
        <v>44.384979291011668</v>
      </c>
      <c r="U109" s="47">
        <f>2*SQRT(SUMSQ(X109,W109))</f>
        <v>1.4142613521154321</v>
      </c>
      <c r="W109" s="411">
        <v>0.7</v>
      </c>
      <c r="X109" s="47">
        <f>MEX!N44</f>
        <v>0.10016882260385546</v>
      </c>
    </row>
    <row r="110" spans="12:24" x14ac:dyDescent="0.2">
      <c r="L110" s="1" t="s">
        <v>60</v>
      </c>
      <c r="M110" s="1">
        <v>150</v>
      </c>
      <c r="N110" s="47">
        <v>9</v>
      </c>
      <c r="O110" s="47"/>
      <c r="P110" s="2">
        <f>MEX!C45</f>
        <v>8.831676949720114</v>
      </c>
      <c r="Q110" s="2">
        <f>MEX!D45</f>
        <v>0.49291798086961647</v>
      </c>
      <c r="R110" s="47">
        <v>60.128</v>
      </c>
      <c r="S110" s="411">
        <v>2.0497082996137928</v>
      </c>
      <c r="T110" s="2">
        <f>MEX!M45</f>
        <v>44.335713004340583</v>
      </c>
      <c r="U110" s="47">
        <f>2*SQRT(SUMSQ(X110,W110))</f>
        <v>1.4182343973048246</v>
      </c>
      <c r="W110" s="411">
        <v>0.7</v>
      </c>
      <c r="X110" s="47">
        <f>MEX!N45</f>
        <v>0.11334549582866051</v>
      </c>
    </row>
    <row r="111" spans="12:24" x14ac:dyDescent="0.2">
      <c r="L111" s="1" t="s">
        <v>64</v>
      </c>
      <c r="M111" s="1">
        <v>200</v>
      </c>
      <c r="N111" s="47">
        <v>9</v>
      </c>
      <c r="O111" s="47"/>
      <c r="P111" s="2">
        <f>MEX!C46</f>
        <v>10.533127916478346</v>
      </c>
      <c r="Q111" s="2">
        <f>MEX!D46</f>
        <v>0.73230337407773993</v>
      </c>
      <c r="R111" s="47">
        <v>69.760999999999996</v>
      </c>
      <c r="S111" s="411">
        <v>2.8397580737172703</v>
      </c>
      <c r="T111" s="2">
        <f>MEX!M46</f>
        <v>44.064629911769998</v>
      </c>
      <c r="U111" s="47">
        <f>2*SQRT(SUMSQ(X111,W111))</f>
        <v>1.4217986687755058</v>
      </c>
      <c r="W111" s="411">
        <v>0.7</v>
      </c>
      <c r="X111" s="47">
        <f>MEX!N46</f>
        <v>0.12400751442130487</v>
      </c>
    </row>
    <row r="112" spans="12:24" x14ac:dyDescent="0.2">
      <c r="L112" s="1" t="s">
        <v>53</v>
      </c>
      <c r="M112" s="1">
        <v>120</v>
      </c>
      <c r="N112" s="47">
        <v>4</v>
      </c>
      <c r="O112" s="47">
        <v>0.5</v>
      </c>
      <c r="P112" s="2">
        <f>MEX!C47</f>
        <v>10.310491894063471</v>
      </c>
      <c r="Q112" s="2">
        <f>MEX!D47</f>
        <v>0.6348381723836316</v>
      </c>
      <c r="R112" s="47">
        <v>65</v>
      </c>
      <c r="S112" s="411">
        <v>0.7386386201048456</v>
      </c>
      <c r="T112" s="2">
        <f>MEX!M47</f>
        <v>44.240487322441858</v>
      </c>
      <c r="U112" s="47">
        <f>2*SQRT(SUMSQ(X112,W112))</f>
        <v>1.4415304522257479</v>
      </c>
      <c r="W112" s="411">
        <v>0.7</v>
      </c>
      <c r="X112" s="47">
        <f>MEX!N47</f>
        <v>0.17176295052642271</v>
      </c>
    </row>
    <row r="113" spans="12:24" x14ac:dyDescent="0.2">
      <c r="L113" s="1" t="s">
        <v>57</v>
      </c>
      <c r="M113" s="1">
        <v>140</v>
      </c>
      <c r="N113" s="47">
        <v>4</v>
      </c>
      <c r="O113" s="47">
        <v>0.5</v>
      </c>
      <c r="P113" s="2"/>
      <c r="Q113" s="2">
        <f>MEX!D48</f>
        <v>0.76915213495507195</v>
      </c>
      <c r="R113" s="47">
        <v>69.849999999999994</v>
      </c>
      <c r="S113" s="411">
        <v>1.1570271375335528</v>
      </c>
      <c r="T113" s="2">
        <f>MEX!M48</f>
        <v>44.18764444505527</v>
      </c>
      <c r="U113" s="47">
        <f>2*SQRT(SUMSQ(X113,W113))</f>
        <v>1.4485562449477845</v>
      </c>
      <c r="W113" s="411">
        <v>0.7</v>
      </c>
      <c r="X113" s="47">
        <f>MEX!N48</f>
        <v>0.18595375418180343</v>
      </c>
    </row>
    <row r="114" spans="12:24" x14ac:dyDescent="0.2">
      <c r="L114" s="1" t="s">
        <v>61</v>
      </c>
      <c r="M114" s="1">
        <v>150</v>
      </c>
      <c r="N114" s="47">
        <v>4</v>
      </c>
      <c r="O114" s="47">
        <v>0.5</v>
      </c>
      <c r="P114" s="2"/>
      <c r="Q114" s="2">
        <f>MEX!D49</f>
        <v>0.83812332024006297</v>
      </c>
      <c r="R114" s="47">
        <v>72.150000000000006</v>
      </c>
      <c r="S114" s="411">
        <v>1.4007852924159909</v>
      </c>
      <c r="T114" s="2">
        <f>MEX!M49</f>
        <v>44.039866906401102</v>
      </c>
      <c r="U114" s="47">
        <f>2*SQRT(SUMSQ(X114,W114))</f>
        <v>1.4253057707983681</v>
      </c>
      <c r="W114" s="411">
        <v>0.7</v>
      </c>
      <c r="X114" s="47">
        <f>MEX!N49</f>
        <v>0.13369418486898602</v>
      </c>
    </row>
    <row r="115" spans="12:24" x14ac:dyDescent="0.2">
      <c r="L115" s="1" t="s">
        <v>65</v>
      </c>
      <c r="M115" s="1">
        <v>200</v>
      </c>
      <c r="N115" s="47">
        <v>4</v>
      </c>
      <c r="O115" s="47">
        <v>0.5</v>
      </c>
      <c r="P115" s="2"/>
      <c r="Q115" s="2">
        <f>MEX!D50</f>
        <v>1.2072306039939562</v>
      </c>
      <c r="R115" s="47">
        <v>82.81</v>
      </c>
      <c r="S115" s="411">
        <v>2.1995254892104836</v>
      </c>
      <c r="T115" s="2">
        <f>MEX!M50</f>
        <v>43.783577929116746</v>
      </c>
      <c r="U115" s="47">
        <f>2*SQRT(SUMSQ(X115,W115))</f>
        <v>1.4026432736483385</v>
      </c>
      <c r="W115" s="411">
        <v>0.7</v>
      </c>
      <c r="X115" s="47">
        <f>MEX!N50</f>
        <v>4.3035314309669198E-2</v>
      </c>
    </row>
    <row r="116" spans="12:24" x14ac:dyDescent="0.2">
      <c r="L116" s="1" t="s">
        <v>69</v>
      </c>
      <c r="M116" s="1">
        <v>250</v>
      </c>
      <c r="N116" s="47">
        <v>4</v>
      </c>
      <c r="O116" s="47">
        <v>0.5</v>
      </c>
      <c r="P116" s="2"/>
      <c r="Q116" s="2">
        <f>MEX!D51</f>
        <v>1.6128041668984248</v>
      </c>
      <c r="R116" s="47">
        <v>92.84</v>
      </c>
      <c r="S116" s="411">
        <v>2.9839444517896849</v>
      </c>
      <c r="T116" s="2">
        <f>MEX!M51</f>
        <v>43.729792205959406</v>
      </c>
      <c r="U116" s="47">
        <f>2*SQRT(SUMSQ(X116,W116))</f>
        <v>1.4219800569599053</v>
      </c>
      <c r="W116" s="411">
        <v>0.7</v>
      </c>
      <c r="X116" s="47">
        <f>MEX!N51</f>
        <v>0.12452638514758195</v>
      </c>
    </row>
    <row r="117" spans="12:24" x14ac:dyDescent="0.2">
      <c r="L117" s="1" t="s">
        <v>58</v>
      </c>
      <c r="M117" s="1">
        <v>140</v>
      </c>
      <c r="N117" s="47">
        <v>4</v>
      </c>
      <c r="O117" s="47">
        <v>1</v>
      </c>
      <c r="P117" s="2"/>
      <c r="Q117" s="2">
        <f>MEX!D52</f>
        <v>1.0269176732121137</v>
      </c>
      <c r="R117" s="47">
        <v>78.519000000000005</v>
      </c>
      <c r="S117" s="411">
        <v>0.60047089607443416</v>
      </c>
      <c r="T117" s="2">
        <f>MEX!M52</f>
        <v>43.911575134422748</v>
      </c>
      <c r="U117" s="47">
        <f>2*SQRT(SUMSQ(X117,W117))</f>
        <v>1.4212809322501858</v>
      </c>
      <c r="W117" s="411">
        <v>0.7</v>
      </c>
      <c r="X117" s="47">
        <f>MEX!N52</f>
        <v>0.12251478316713191</v>
      </c>
    </row>
    <row r="118" spans="12:24" x14ac:dyDescent="0.2">
      <c r="L118" s="1" t="s">
        <v>62</v>
      </c>
      <c r="M118" s="1">
        <v>150</v>
      </c>
      <c r="N118" s="47">
        <v>4</v>
      </c>
      <c r="O118" s="47">
        <v>1</v>
      </c>
      <c r="P118" s="2"/>
      <c r="Q118" s="2">
        <f>MEX!D53</f>
        <v>1.1251186734176981</v>
      </c>
      <c r="R118" s="47">
        <v>81.358000000000004</v>
      </c>
      <c r="S118" s="411">
        <v>0.89307152687818481</v>
      </c>
      <c r="T118" s="2">
        <f>MEX!M53</f>
        <v>43.934594021953615</v>
      </c>
      <c r="U118" s="47">
        <f>2*SQRT(SUMSQ(X118,W118))</f>
        <v>1.5486644686534112</v>
      </c>
      <c r="W118" s="411">
        <v>0.7</v>
      </c>
      <c r="X118" s="47">
        <f>MEX!N53</f>
        <v>0.33104442166783032</v>
      </c>
    </row>
    <row r="119" spans="12:24" x14ac:dyDescent="0.2">
      <c r="L119" s="1" t="s">
        <v>66</v>
      </c>
      <c r="M119" s="1">
        <v>200</v>
      </c>
      <c r="N119" s="47">
        <v>4</v>
      </c>
      <c r="O119" s="47">
        <v>1</v>
      </c>
      <c r="P119" s="2"/>
      <c r="Q119" s="2">
        <f>MEX!D54</f>
        <v>1.6296937192778045</v>
      </c>
      <c r="R119" s="47">
        <v>94.739000000000004</v>
      </c>
      <c r="S119" s="411">
        <v>1.5623962575185277</v>
      </c>
      <c r="T119" s="2">
        <f>MEX!M54</f>
        <v>43.690424941977597</v>
      </c>
      <c r="U119" s="47">
        <f>2*SQRT(SUMSQ(X119,W119))</f>
        <v>1.4008934679176386</v>
      </c>
      <c r="W119" s="411">
        <v>0.7</v>
      </c>
      <c r="X119" s="47">
        <f>MEX!N54</f>
        <v>2.5012539126946752E-2</v>
      </c>
    </row>
    <row r="120" spans="12:24" x14ac:dyDescent="0.2">
      <c r="L120" s="1" t="s">
        <v>70</v>
      </c>
      <c r="M120" s="1">
        <v>250</v>
      </c>
      <c r="N120" s="47">
        <v>4</v>
      </c>
      <c r="O120" s="47">
        <v>1</v>
      </c>
      <c r="P120" s="2"/>
      <c r="Q120" s="2">
        <f>MEX!D55</f>
        <v>2.1356721844076167</v>
      </c>
      <c r="R120" s="47">
        <v>107.324</v>
      </c>
      <c r="S120" s="411">
        <v>2.256630293676301</v>
      </c>
      <c r="T120" s="2">
        <f>MEX!M55</f>
        <v>43.548136413860959</v>
      </c>
      <c r="U120" s="47">
        <f>2*SQRT(SUMSQ(X120,W120))</f>
        <v>1.5783296641458362</v>
      </c>
      <c r="W120" s="411">
        <v>0.7</v>
      </c>
      <c r="X120" s="47">
        <f>MEX!N55</f>
        <v>0.36439145459337696</v>
      </c>
    </row>
    <row r="121" spans="12:24" x14ac:dyDescent="0.2">
      <c r="L121" s="1" t="s">
        <v>74</v>
      </c>
      <c r="M121" s="1">
        <v>280</v>
      </c>
      <c r="N121" s="47">
        <v>4</v>
      </c>
      <c r="O121" s="47">
        <v>1</v>
      </c>
      <c r="P121" s="2"/>
      <c r="Q121" s="2">
        <f>MEX!D56</f>
        <v>2.4331518775712206</v>
      </c>
      <c r="R121" s="47">
        <v>114.61199999999999</v>
      </c>
      <c r="S121" s="411">
        <v>2.5003101308056395</v>
      </c>
      <c r="T121" s="2">
        <f>MEX!M56</f>
        <v>43.547872255342405</v>
      </c>
      <c r="U121" s="47">
        <f>2*SQRT(SUMSQ(X121,W121))</f>
        <v>1.4412339486185484</v>
      </c>
      <c r="W121" s="411">
        <v>0.7</v>
      </c>
      <c r="X121" s="47">
        <f>MEX!N56</f>
        <v>0.17113977814246797</v>
      </c>
    </row>
    <row r="122" spans="12:24" x14ac:dyDescent="0.2">
      <c r="L122" s="1" t="s">
        <v>63</v>
      </c>
      <c r="M122" s="1">
        <v>150</v>
      </c>
      <c r="N122" s="47">
        <v>4</v>
      </c>
      <c r="O122" s="47">
        <v>1.6</v>
      </c>
      <c r="P122" s="2"/>
      <c r="Q122" s="2">
        <f>MEX!D57</f>
        <v>1.3834337181000833</v>
      </c>
      <c r="R122" s="47">
        <v>89.066000000000003</v>
      </c>
      <c r="S122" s="411">
        <v>0.44635409247702507</v>
      </c>
      <c r="T122" s="2">
        <f>MEX!M57</f>
        <v>43.691969444983592</v>
      </c>
      <c r="U122" s="47">
        <f>2*SQRT(SUMSQ(X122,W122))</f>
        <v>1.4054920152834574</v>
      </c>
      <c r="W122" s="411">
        <v>0.7</v>
      </c>
      <c r="X122" s="47">
        <f>MEX!N57</f>
        <v>6.2064089910257907E-2</v>
      </c>
    </row>
    <row r="123" spans="12:24" x14ac:dyDescent="0.2">
      <c r="L123" s="1" t="s">
        <v>67</v>
      </c>
      <c r="M123" s="1">
        <v>200</v>
      </c>
      <c r="N123" s="47">
        <v>4</v>
      </c>
      <c r="O123" s="47">
        <v>1.6</v>
      </c>
      <c r="P123" s="2"/>
      <c r="Q123" s="2">
        <f>MEX!D58</f>
        <v>2.0015314501377075</v>
      </c>
      <c r="R123" s="47">
        <v>105.252</v>
      </c>
      <c r="S123" s="411">
        <v>1.161270390157437</v>
      </c>
      <c r="T123" s="2">
        <f>MEX!M58</f>
        <v>43.576098970172843</v>
      </c>
      <c r="U123" s="47">
        <f>2*SQRT(SUMSQ(X123,W123))</f>
        <v>1.4075237818776838</v>
      </c>
      <c r="W123" s="411">
        <v>0.7</v>
      </c>
      <c r="X123" s="47">
        <f>MEX!N58</f>
        <v>7.2669107176395728E-2</v>
      </c>
    </row>
    <row r="124" spans="12:24" x14ac:dyDescent="0.2">
      <c r="L124" s="1" t="s">
        <v>71</v>
      </c>
      <c r="M124" s="1">
        <v>250</v>
      </c>
      <c r="N124" s="47">
        <v>4</v>
      </c>
      <c r="O124" s="47">
        <v>1.6</v>
      </c>
      <c r="P124" s="2"/>
      <c r="Q124" s="2">
        <f>MEX!D59</f>
        <v>2.5711570771389516</v>
      </c>
      <c r="R124" s="47">
        <v>120.09699999999999</v>
      </c>
      <c r="S124" s="411">
        <v>1.7673175031153652</v>
      </c>
      <c r="T124" s="2">
        <f>MEX!M59</f>
        <v>43.515276381229619</v>
      </c>
      <c r="U124" s="47">
        <f>2*SQRT(SUMSQ(X124,W124))</f>
        <v>1.4181606726849658</v>
      </c>
      <c r="W124" s="411">
        <v>0.7</v>
      </c>
      <c r="X124" s="47">
        <f>MEX!N59</f>
        <v>0.11311464709562943</v>
      </c>
    </row>
    <row r="125" spans="12:24" x14ac:dyDescent="0.2">
      <c r="L125" s="1" t="s">
        <v>75</v>
      </c>
      <c r="M125" s="1">
        <v>280</v>
      </c>
      <c r="N125" s="47">
        <v>4</v>
      </c>
      <c r="O125" s="47">
        <v>1.6</v>
      </c>
      <c r="P125" s="2"/>
      <c r="Q125" s="2">
        <f>MEX!D60</f>
        <v>2.8808623211292477</v>
      </c>
      <c r="R125" s="47">
        <v>128.495</v>
      </c>
      <c r="S125" s="411">
        <v>2.0034609575348217</v>
      </c>
      <c r="T125" s="2">
        <f>MEX!M60</f>
        <v>43.417032551541674</v>
      </c>
      <c r="U125" s="47">
        <f>2*SQRT(SUMSQ(X125,W125))</f>
        <v>1.4111545812287998</v>
      </c>
      <c r="W125" s="411">
        <v>0.7</v>
      </c>
      <c r="X125" s="47">
        <f>MEX!N60</f>
        <v>8.8539895136358696E-2</v>
      </c>
    </row>
    <row r="126" spans="12:24" x14ac:dyDescent="0.2">
      <c r="L126" s="1" t="s">
        <v>78</v>
      </c>
      <c r="M126" s="1">
        <v>300</v>
      </c>
      <c r="N126" s="47">
        <v>4</v>
      </c>
      <c r="O126" s="47">
        <v>1.6</v>
      </c>
      <c r="P126" s="2"/>
      <c r="Q126" s="2">
        <f>MEX!D61</f>
        <v>3.0951576375640011</v>
      </c>
      <c r="R126" s="47">
        <v>133.916</v>
      </c>
      <c r="S126" s="411">
        <v>2.3987129167731491</v>
      </c>
      <c r="T126" s="2">
        <f>MEX!M61</f>
        <v>43.359289173851359</v>
      </c>
      <c r="U126" s="47">
        <f>2*SQRT(SUMSQ(X126,W126))</f>
        <v>1.414590838401959</v>
      </c>
      <c r="W126" s="411">
        <v>0.7</v>
      </c>
      <c r="X126" s="47">
        <f>MEX!N61</f>
        <v>0.10132526843137067</v>
      </c>
    </row>
    <row r="127" spans="12:24" x14ac:dyDescent="0.2">
      <c r="L127" s="1" t="s">
        <v>68</v>
      </c>
      <c r="M127" s="1">
        <v>200</v>
      </c>
      <c r="N127" s="47">
        <v>4</v>
      </c>
      <c r="O127" s="47">
        <v>3</v>
      </c>
      <c r="P127" s="2"/>
      <c r="Q127" s="2">
        <f>MEX!D62</f>
        <v>2.5415199349414408</v>
      </c>
      <c r="R127" s="47">
        <v>120.14700000000001</v>
      </c>
      <c r="S127" s="411">
        <v>0.64561033299149728</v>
      </c>
      <c r="T127" s="2">
        <f>MEX!M62</f>
        <v>43.485617129878449</v>
      </c>
      <c r="U127" s="47">
        <f>2*SQRT(SUMSQ(X127,W127))</f>
        <v>1.6171626618857007</v>
      </c>
      <c r="W127" s="411">
        <v>0.7</v>
      </c>
      <c r="X127" s="47">
        <f>MEX!N62</f>
        <v>0.40472678284159969</v>
      </c>
    </row>
    <row r="128" spans="12:24" x14ac:dyDescent="0.2">
      <c r="L128" s="1" t="s">
        <v>72</v>
      </c>
      <c r="M128" s="1">
        <v>250</v>
      </c>
      <c r="N128" s="47">
        <v>4</v>
      </c>
      <c r="O128" s="47">
        <v>3</v>
      </c>
      <c r="P128" s="2"/>
      <c r="Q128" s="2">
        <f>MEX!D63</f>
        <v>3.1622519161675675</v>
      </c>
      <c r="R128" s="47">
        <v>137.45500000000001</v>
      </c>
      <c r="S128" s="411">
        <v>1.1620531992136187</v>
      </c>
      <c r="T128" s="2">
        <f>MEX!M63</f>
        <v>43.394068454781625</v>
      </c>
      <c r="U128" s="47">
        <f>2*SQRT(SUMSQ(X128,W128))</f>
        <v>1.4254744464091886</v>
      </c>
      <c r="W128" s="411">
        <v>0.7</v>
      </c>
      <c r="X128" s="47">
        <f>MEX!N63</f>
        <v>0.13414301823574637</v>
      </c>
    </row>
    <row r="129" spans="12:24" x14ac:dyDescent="0.2">
      <c r="L129" s="1" t="s">
        <v>76</v>
      </c>
      <c r="M129" s="1">
        <v>280</v>
      </c>
      <c r="N129" s="47">
        <v>4</v>
      </c>
      <c r="O129" s="47">
        <v>3</v>
      </c>
      <c r="P129" s="2"/>
      <c r="Q129" s="2">
        <f>MEX!D64</f>
        <v>3.5006101210159413</v>
      </c>
      <c r="R129" s="47">
        <v>147.05000000000001</v>
      </c>
      <c r="S129" s="411">
        <v>1.3697465155541448</v>
      </c>
      <c r="T129" s="2">
        <f>MEX!M64</f>
        <v>43.332123291107912</v>
      </c>
      <c r="U129" s="47">
        <f>2*SQRT(SUMSQ(X129,W129))</f>
        <v>1.4391668160769495</v>
      </c>
      <c r="W129" s="411">
        <v>0.7</v>
      </c>
      <c r="X129" s="47">
        <f>MEX!N64</f>
        <v>0.1667341630388513</v>
      </c>
    </row>
    <row r="130" spans="12:24" x14ac:dyDescent="0.2">
      <c r="L130" s="1" t="s">
        <v>79</v>
      </c>
      <c r="M130" s="1">
        <v>300</v>
      </c>
      <c r="N130" s="47">
        <v>4</v>
      </c>
      <c r="O130" s="47">
        <v>3</v>
      </c>
      <c r="P130" s="2"/>
      <c r="Q130" s="2">
        <f>MEX!D65</f>
        <v>3.7047905897248823</v>
      </c>
      <c r="R130" s="47">
        <v>153.21</v>
      </c>
      <c r="S130" s="411">
        <v>1.6752530487373014</v>
      </c>
      <c r="T130" s="2">
        <f>MEX!M65</f>
        <v>43.270125968459105</v>
      </c>
      <c r="U130" s="47">
        <f>2*SQRT(SUMSQ(X130,W130))</f>
        <v>1.5466709629247668</v>
      </c>
      <c r="W130" s="411">
        <v>0.7</v>
      </c>
      <c r="X130" s="47">
        <f>MEX!N65</f>
        <v>0.32870620147581092</v>
      </c>
    </row>
    <row r="131" spans="12:24" x14ac:dyDescent="0.2">
      <c r="L131" s="1" t="s">
        <v>81</v>
      </c>
      <c r="M131" s="1">
        <v>320</v>
      </c>
      <c r="N131" s="47">
        <v>4</v>
      </c>
      <c r="O131" s="47">
        <v>3</v>
      </c>
      <c r="P131" s="2"/>
      <c r="Q131" s="2">
        <f>MEX!D66</f>
        <v>3.8972650748324895</v>
      </c>
      <c r="R131" s="47">
        <v>159.21700000000001</v>
      </c>
      <c r="S131" s="411">
        <v>1.6172868838821155</v>
      </c>
      <c r="T131" s="2">
        <f>MEX!M66</f>
        <v>43.131780217598909</v>
      </c>
      <c r="U131" s="47">
        <f>2*SQRT(SUMSQ(X131,W131))</f>
        <v>1.4420495738183201</v>
      </c>
      <c r="W131" s="411">
        <v>0.7</v>
      </c>
      <c r="X131" s="47">
        <f>MEX!N66</f>
        <v>0.17284890319987489</v>
      </c>
    </row>
    <row r="132" spans="12:24" x14ac:dyDescent="0.2">
      <c r="L132" s="1" t="s">
        <v>73</v>
      </c>
      <c r="M132" s="1">
        <v>250</v>
      </c>
      <c r="N132" s="47">
        <v>4</v>
      </c>
      <c r="O132" s="47">
        <v>5</v>
      </c>
      <c r="P132" s="2"/>
      <c r="Q132" s="2">
        <f>MEX!D67</f>
        <v>3.5951513428636979</v>
      </c>
      <c r="R132" s="47">
        <v>149.50700000000001</v>
      </c>
      <c r="S132" s="411">
        <v>0.73253944460465958</v>
      </c>
      <c r="T132" s="2">
        <f>MEX!M67</f>
        <v>43.262222819513056</v>
      </c>
      <c r="U132" s="47">
        <f>2*SQRT(SUMSQ(X132,W132))</f>
        <v>1.4978090522586553</v>
      </c>
      <c r="W132" s="411">
        <v>0.7</v>
      </c>
      <c r="X132" s="47">
        <f>MEX!N67</f>
        <v>0.26619164009598967</v>
      </c>
    </row>
    <row r="133" spans="12:24" x14ac:dyDescent="0.2">
      <c r="L133" s="1" t="s">
        <v>77</v>
      </c>
      <c r="M133" s="1">
        <v>280</v>
      </c>
      <c r="N133" s="47">
        <v>4</v>
      </c>
      <c r="O133" s="47">
        <v>5</v>
      </c>
      <c r="P133" s="2"/>
      <c r="Q133" s="2">
        <f>MEX!D68</f>
        <v>3.9334817438945446</v>
      </c>
      <c r="R133" s="47">
        <v>159.91800000000001</v>
      </c>
      <c r="S133" s="411">
        <v>0.89372013414397466</v>
      </c>
      <c r="T133" s="2">
        <f>MEX!M68</f>
        <v>43.249584769166603</v>
      </c>
      <c r="U133" s="47">
        <f>2*SQRT(SUMSQ(X133,W133))</f>
        <v>1.4139174246736019</v>
      </c>
      <c r="W133" s="411">
        <v>0.7</v>
      </c>
      <c r="X133" s="47">
        <f>MEX!N68</f>
        <v>9.8947566664914804E-2</v>
      </c>
    </row>
    <row r="134" spans="12:24" x14ac:dyDescent="0.2">
      <c r="L134" s="1" t="s">
        <v>80</v>
      </c>
      <c r="M134" s="1">
        <v>300</v>
      </c>
      <c r="N134" s="47">
        <v>4</v>
      </c>
      <c r="O134" s="47">
        <v>5</v>
      </c>
      <c r="P134" s="2"/>
      <c r="Q134" s="2">
        <f>MEX!D69</f>
        <v>4.1453765509423093</v>
      </c>
      <c r="R134" s="47">
        <v>166.58099999999999</v>
      </c>
      <c r="S134" s="411">
        <v>1.1161618553466861</v>
      </c>
      <c r="T134" s="2">
        <f>MEX!M69</f>
        <v>43.133978014768623</v>
      </c>
      <c r="U134" s="47">
        <f>2*SQRT(SUMSQ(X134,W134))</f>
        <v>1.4145458293129558</v>
      </c>
      <c r="W134" s="411">
        <v>0.7</v>
      </c>
      <c r="X134" s="47">
        <f>MEX!N69</f>
        <v>0.1011680572447128</v>
      </c>
    </row>
    <row r="135" spans="12:24" x14ac:dyDescent="0.2">
      <c r="L135" s="1" t="s">
        <v>82</v>
      </c>
      <c r="M135" s="1">
        <v>320</v>
      </c>
      <c r="N135" s="47">
        <v>4</v>
      </c>
      <c r="O135" s="47">
        <v>5</v>
      </c>
      <c r="P135" s="2"/>
      <c r="Q135" s="2">
        <f>MEX!D70</f>
        <v>4.335531420085327</v>
      </c>
      <c r="R135" s="47">
        <v>173.059</v>
      </c>
      <c r="S135" s="411">
        <v>1.0975355711916286</v>
      </c>
      <c r="T135" s="2">
        <f>MEX!M70</f>
        <v>43.048524810446899</v>
      </c>
      <c r="U135" s="47">
        <f>2*SQRT(SUMSQ(X135,W135))</f>
        <v>1.4067494629095421</v>
      </c>
      <c r="W135" s="411">
        <v>0.7</v>
      </c>
      <c r="X135" s="47">
        <f>MEX!N70</f>
        <v>6.8818695490915391E-2</v>
      </c>
    </row>
    <row r="136" spans="12:24" x14ac:dyDescent="0.2">
      <c r="L136" s="28" t="s">
        <v>101</v>
      </c>
      <c r="M136" s="1">
        <v>250</v>
      </c>
      <c r="N136" s="47">
        <v>4</v>
      </c>
      <c r="O136" s="47">
        <v>1.6</v>
      </c>
      <c r="P136" s="2"/>
      <c r="Q136" s="2">
        <f>MEX!D71</f>
        <v>2.5711570771389516</v>
      </c>
      <c r="R136" s="47">
        <v>120.09699999999999</v>
      </c>
      <c r="S136" s="411">
        <v>1.7714880064571976</v>
      </c>
      <c r="T136" s="2">
        <f>MEX!M71</f>
        <v>43.344264021661864</v>
      </c>
      <c r="U136" s="47">
        <f>2*SQRT(SUMSQ(X136,W136))</f>
        <v>1.4048290696996866</v>
      </c>
      <c r="W136" s="411">
        <v>0.7</v>
      </c>
      <c r="X136" s="47">
        <f>MEX!N71</f>
        <v>5.8190882175145953E-2</v>
      </c>
    </row>
    <row r="137" spans="12:24" x14ac:dyDescent="0.2">
      <c r="L137" s="28" t="s">
        <v>100</v>
      </c>
      <c r="M137" s="1">
        <v>280</v>
      </c>
      <c r="N137" s="47">
        <v>4</v>
      </c>
      <c r="O137" s="47">
        <v>3</v>
      </c>
      <c r="P137" s="2"/>
      <c r="Q137" s="2">
        <f>MEX!D72</f>
        <v>3.5006101210159413</v>
      </c>
      <c r="R137" s="47">
        <v>147.05000000000001</v>
      </c>
      <c r="S137" s="411">
        <v>1.3701660046939879</v>
      </c>
      <c r="T137" s="2">
        <f>MEX!M72</f>
        <v>43.332753138987364</v>
      </c>
      <c r="U137" s="47">
        <f>2*SQRT(SUMSQ(X137,W137))</f>
        <v>1.4124182113524919</v>
      </c>
      <c r="W137" s="411">
        <v>0.7</v>
      </c>
      <c r="X137" s="47">
        <f>MEX!N72</f>
        <v>9.3441430532945222E-2</v>
      </c>
    </row>
    <row r="138" spans="12:24" x14ac:dyDescent="0.2">
      <c r="L138" s="28" t="s">
        <v>99</v>
      </c>
      <c r="M138" s="1">
        <v>300</v>
      </c>
      <c r="N138" s="47">
        <v>4</v>
      </c>
      <c r="O138" s="47">
        <v>3</v>
      </c>
      <c r="P138" s="2"/>
      <c r="Q138" s="2">
        <f>MEX!D73</f>
        <v>3.7047905897248823</v>
      </c>
      <c r="R138" s="47">
        <v>153.21</v>
      </c>
      <c r="S138" s="411">
        <v>1.675574257628266</v>
      </c>
      <c r="T138" s="2">
        <f>MEX!M73</f>
        <v>43.273786206386291</v>
      </c>
      <c r="U138" s="47">
        <f>2*SQRT(SUMSQ(X138,W138))</f>
        <v>1.4098918159692015</v>
      </c>
      <c r="W138" s="411">
        <v>0.7</v>
      </c>
      <c r="X138" s="47">
        <f>MEX!N73</f>
        <v>8.3359061800341791E-2</v>
      </c>
    </row>
    <row r="140" spans="12:24" x14ac:dyDescent="0.2">
      <c r="S140" s="411"/>
      <c r="T140" t="str">
        <f>"= hardcoded (for this project)"</f>
        <v>= hardcoded (for this project)</v>
      </c>
    </row>
  </sheetData>
  <pageMargins left="0.70866141732283472" right="0.70866141732283472" top="0.74803149606299213" bottom="0.74803149606299213" header="0.31496062992125984" footer="0.31496062992125984"/>
  <pageSetup paperSize="9" scale="4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T413"/>
  <sheetViews>
    <sheetView tabSelected="1" zoomScaleNormal="100" workbookViewId="0">
      <selection activeCell="Z12" sqref="Z12"/>
    </sheetView>
  </sheetViews>
  <sheetFormatPr defaultRowHeight="12.75" x14ac:dyDescent="0.2"/>
  <cols>
    <col min="1" max="1" width="4.42578125" customWidth="1"/>
    <col min="2" max="2" width="4.28515625" customWidth="1"/>
    <col min="3" max="3" width="4.42578125" customWidth="1"/>
    <col min="4" max="4" width="4.28515625" customWidth="1"/>
    <col min="5" max="5" width="4.42578125" customWidth="1"/>
    <col min="6" max="6" width="4.28515625" customWidth="1"/>
    <col min="7" max="7" width="4.42578125" customWidth="1"/>
    <col min="8" max="8" width="4.28515625" customWidth="1"/>
    <col min="9" max="9" width="4.42578125" customWidth="1"/>
    <col min="10" max="10" width="4.28515625" customWidth="1"/>
    <col min="11" max="11" width="4.42578125" customWidth="1"/>
    <col min="12" max="12" width="4.28515625" customWidth="1"/>
    <col min="13" max="13" width="4.42578125" customWidth="1"/>
    <col min="14" max="14" width="5.140625" customWidth="1"/>
    <col min="15" max="20" width="4.42578125" customWidth="1"/>
    <col min="21" max="24" width="5" customWidth="1"/>
  </cols>
  <sheetData>
    <row r="1" spans="1:20" ht="12" customHeight="1" x14ac:dyDescent="0.2"/>
    <row r="6" spans="1:20" ht="8.25" customHeight="1" x14ac:dyDescent="0.2"/>
    <row r="7" spans="1:20" ht="12.75" customHeight="1" x14ac:dyDescent="0.2">
      <c r="A7" s="294" t="s">
        <v>322</v>
      </c>
      <c r="B7" s="294"/>
      <c r="C7" s="294"/>
      <c r="D7" s="294"/>
      <c r="E7" s="294"/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294"/>
      <c r="S7" s="294"/>
      <c r="T7" s="294"/>
    </row>
    <row r="8" spans="1:20" x14ac:dyDescent="0.2">
      <c r="A8" s="295" t="s">
        <v>139</v>
      </c>
      <c r="B8" s="295"/>
      <c r="C8" s="295"/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</row>
    <row r="9" spans="1:20" x14ac:dyDescent="0.2">
      <c r="A9" s="296" t="s">
        <v>140</v>
      </c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</row>
    <row r="10" spans="1:20" ht="21.75" customHeight="1" x14ac:dyDescent="0.2">
      <c r="A10" s="297" t="s">
        <v>323</v>
      </c>
      <c r="B10" s="298"/>
      <c r="C10" s="298"/>
      <c r="D10" s="298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8"/>
      <c r="S10" s="298"/>
      <c r="T10" s="298"/>
    </row>
    <row r="11" spans="1:20" ht="22.5" customHeight="1" x14ac:dyDescent="0.25">
      <c r="A11" s="63"/>
      <c r="B11" s="63"/>
      <c r="C11" s="63"/>
      <c r="D11" s="63"/>
      <c r="E11" s="63"/>
      <c r="F11" s="63"/>
      <c r="G11" s="63"/>
      <c r="H11" s="63"/>
      <c r="I11" s="63"/>
      <c r="J11" s="64"/>
      <c r="K11" s="65"/>
      <c r="L11" s="63"/>
      <c r="M11" s="63"/>
      <c r="N11" s="66"/>
      <c r="O11" s="63"/>
      <c r="P11" s="63"/>
      <c r="S11" s="128"/>
      <c r="T11" s="128" t="s">
        <v>248</v>
      </c>
    </row>
    <row r="12" spans="1:20" ht="15.75" x14ac:dyDescent="0.2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6"/>
      <c r="O12" s="63"/>
      <c r="P12" s="63"/>
      <c r="T12" s="128" t="str">
        <f>Client!B4</f>
        <v>None</v>
      </c>
    </row>
    <row r="13" spans="1:20" ht="15.75" x14ac:dyDescent="0.25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8"/>
      <c r="S13" s="68"/>
      <c r="T13" s="67" t="str">
        <f>Client!B5&amp;"/"&amp;TEXT(Client!B47,"00")</f>
        <v>Job_ID_01/01</v>
      </c>
    </row>
    <row r="14" spans="1:20" ht="15" x14ac:dyDescent="0.2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8"/>
      <c r="S14" s="68"/>
    </row>
    <row r="15" spans="1:20" ht="18.75" x14ac:dyDescent="0.3">
      <c r="A15" s="299" t="s">
        <v>141</v>
      </c>
      <c r="B15" s="299"/>
      <c r="C15" s="299"/>
      <c r="D15" s="299"/>
      <c r="E15" s="299"/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299"/>
      <c r="R15" s="299"/>
      <c r="S15" s="299"/>
      <c r="T15" s="299"/>
    </row>
    <row r="16" spans="1:20" ht="15" customHeight="1" x14ac:dyDescent="0.25">
      <c r="A16" s="287" t="s">
        <v>355</v>
      </c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7"/>
      <c r="N16" s="287"/>
      <c r="O16" s="287"/>
      <c r="P16" s="287"/>
      <c r="Q16" s="287"/>
      <c r="R16" s="287"/>
      <c r="S16" s="287"/>
      <c r="T16" s="287"/>
    </row>
    <row r="17" spans="1:20" ht="15" customHeight="1" x14ac:dyDescent="0.25">
      <c r="A17" s="287" t="s">
        <v>220</v>
      </c>
      <c r="B17" s="287"/>
      <c r="C17" s="287"/>
      <c r="D17" s="287"/>
      <c r="E17" s="287"/>
      <c r="F17" s="287"/>
      <c r="G17" s="287"/>
      <c r="H17" s="287"/>
      <c r="I17" s="287"/>
      <c r="J17" s="287"/>
      <c r="K17" s="287"/>
      <c r="L17" s="287"/>
      <c r="M17" s="287"/>
      <c r="N17" s="287"/>
      <c r="O17" s="287"/>
      <c r="P17" s="287"/>
      <c r="Q17" s="287"/>
      <c r="R17" s="287"/>
      <c r="S17" s="287"/>
      <c r="T17" s="287"/>
    </row>
    <row r="18" spans="1:20" ht="15" customHeight="1" x14ac:dyDescent="0.2"/>
    <row r="19" spans="1:20" ht="15" x14ac:dyDescent="0.25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8"/>
      <c r="S19" s="68"/>
    </row>
    <row r="20" spans="1:20" ht="15.75" x14ac:dyDescent="0.25">
      <c r="A20" s="70" t="s">
        <v>1</v>
      </c>
      <c r="B20" s="71"/>
      <c r="C20" s="71"/>
      <c r="D20" s="71"/>
      <c r="E20" s="71"/>
      <c r="F20" s="71"/>
      <c r="G20" s="72" t="str">
        <f>Client!B6</f>
        <v>Name_of_Client</v>
      </c>
      <c r="H20" s="71"/>
      <c r="I20" s="71"/>
      <c r="J20" s="71"/>
      <c r="K20" s="71"/>
      <c r="L20" s="71"/>
      <c r="M20" s="71"/>
      <c r="N20" s="71"/>
      <c r="O20" s="71"/>
      <c r="P20" s="71"/>
      <c r="Q20" s="63"/>
      <c r="R20" s="68"/>
      <c r="S20" s="68"/>
    </row>
    <row r="21" spans="1:20" ht="15.75" x14ac:dyDescent="0.25">
      <c r="A21" s="70"/>
      <c r="B21" s="71"/>
      <c r="C21" s="71"/>
      <c r="D21" s="71"/>
      <c r="E21" s="71"/>
      <c r="F21" s="71"/>
      <c r="G21" s="72" t="str">
        <f>Client!B7</f>
        <v>100 Street Name</v>
      </c>
      <c r="H21" s="71"/>
      <c r="I21" s="71"/>
      <c r="J21" s="71"/>
      <c r="K21" s="71"/>
      <c r="L21" s="71"/>
      <c r="M21" s="71"/>
      <c r="N21" s="71"/>
      <c r="O21" s="71"/>
      <c r="P21" s="71"/>
      <c r="Q21" s="63"/>
      <c r="R21" s="68"/>
      <c r="S21" s="68"/>
    </row>
    <row r="22" spans="1:20" ht="15.75" x14ac:dyDescent="0.25">
      <c r="A22" s="70"/>
      <c r="B22" s="71"/>
      <c r="C22" s="71"/>
      <c r="D22" s="71"/>
      <c r="E22" s="71"/>
      <c r="F22" s="71"/>
      <c r="G22" s="72" t="str">
        <f>Client!B8</f>
        <v>Suburb 2000 NSW</v>
      </c>
      <c r="H22" s="71"/>
      <c r="I22" s="71"/>
      <c r="J22" s="71"/>
      <c r="K22" s="71"/>
      <c r="L22" s="71"/>
      <c r="M22" s="71"/>
      <c r="N22" s="71"/>
      <c r="O22" s="71"/>
      <c r="P22" s="71"/>
      <c r="Q22" s="63"/>
      <c r="R22" s="68"/>
      <c r="S22" s="68"/>
    </row>
    <row r="23" spans="1:20" ht="15.75" x14ac:dyDescent="0.25">
      <c r="A23" s="70"/>
      <c r="B23" s="71"/>
      <c r="C23" s="71"/>
      <c r="D23" s="71"/>
      <c r="E23" s="71"/>
      <c r="F23" s="71"/>
      <c r="G23" s="71" t="str">
        <f xml:space="preserve"> IF(Client!B9="","",Client!B9)</f>
        <v/>
      </c>
      <c r="H23" s="71"/>
      <c r="I23" s="71"/>
      <c r="J23" s="71"/>
      <c r="K23" s="71"/>
      <c r="L23" s="71"/>
      <c r="M23" s="71"/>
      <c r="N23" s="71"/>
      <c r="O23" s="71"/>
      <c r="P23" s="71"/>
      <c r="Q23" s="63"/>
      <c r="R23" s="68"/>
      <c r="S23" s="68"/>
    </row>
    <row r="24" spans="1:20" ht="15.75" x14ac:dyDescent="0.25">
      <c r="A24" s="70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63"/>
      <c r="R24" s="68"/>
      <c r="S24" s="68"/>
    </row>
    <row r="25" spans="1:20" ht="15.75" x14ac:dyDescent="0.25">
      <c r="A25" s="70" t="s">
        <v>356</v>
      </c>
      <c r="B25" s="71"/>
      <c r="C25" s="71"/>
      <c r="D25" s="71"/>
      <c r="E25" s="71"/>
      <c r="F25" s="71"/>
      <c r="G25" s="71" t="str">
        <f>Client!B29&amp;", serial number " &amp;Client!B30</f>
        <v>IBA FC65-G, serial number 457</v>
      </c>
      <c r="H25" s="71"/>
      <c r="I25" s="71"/>
      <c r="J25" s="71"/>
      <c r="K25" s="71"/>
      <c r="L25" s="71"/>
      <c r="M25" s="71"/>
      <c r="N25" s="71"/>
      <c r="O25" s="71"/>
      <c r="P25" s="71"/>
      <c r="Q25" s="63"/>
      <c r="R25" s="68"/>
      <c r="S25" s="68"/>
    </row>
    <row r="26" spans="1:20" ht="15.75" x14ac:dyDescent="0.25">
      <c r="A26" s="70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63"/>
      <c r="R26" s="68"/>
      <c r="S26" s="68"/>
    </row>
    <row r="27" spans="1:20" ht="15.75" x14ac:dyDescent="0.25">
      <c r="A27" s="70" t="s">
        <v>133</v>
      </c>
      <c r="B27" s="71"/>
      <c r="C27" s="71"/>
      <c r="D27" s="71"/>
      <c r="E27" s="71"/>
      <c r="F27" s="71"/>
      <c r="G27" s="71" t="str" cm="1">
        <f t="array" ref="G27">make_Date_range(Client!B49,Client!C49)</f>
        <v>2-6 July 2021</v>
      </c>
      <c r="H27" s="71"/>
      <c r="I27" s="71"/>
      <c r="J27" s="71"/>
      <c r="K27" s="71"/>
      <c r="L27" s="71"/>
      <c r="M27" s="71"/>
      <c r="N27" s="71"/>
      <c r="O27" s="71"/>
      <c r="P27" s="71"/>
      <c r="Q27" s="63"/>
      <c r="R27" s="68"/>
      <c r="S27" s="68"/>
    </row>
    <row r="28" spans="1:20" ht="15.75" x14ac:dyDescent="0.25">
      <c r="A28" s="70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63"/>
      <c r="R28" s="68"/>
      <c r="S28" s="68"/>
    </row>
    <row r="29" spans="1:20" ht="15.75" customHeight="1" x14ac:dyDescent="0.25">
      <c r="A29" s="70" t="s">
        <v>22</v>
      </c>
      <c r="B29" s="71"/>
      <c r="C29" s="71"/>
      <c r="D29" s="71"/>
      <c r="E29" s="71"/>
      <c r="F29" s="71"/>
      <c r="G29" s="72" t="str">
        <f>Client!B50</f>
        <v>Not previously calibrated at ARPANSA</v>
      </c>
      <c r="H29" s="71"/>
      <c r="I29" s="71"/>
      <c r="J29" s="69"/>
      <c r="K29" s="71"/>
      <c r="L29" s="71"/>
      <c r="M29" s="71"/>
      <c r="N29" s="71"/>
      <c r="O29" s="71"/>
      <c r="P29" s="71"/>
      <c r="R29" s="68"/>
      <c r="S29" s="68"/>
      <c r="T29" s="291" t="str">
        <f>Intro!D4&amp;" "&amp;Intro!D5</f>
        <v xml:space="preserve">IRC-FORM-2100J (ARPANSA-FORM-1856) </v>
      </c>
    </row>
    <row r="30" spans="1:20" ht="15.75" x14ac:dyDescent="0.25">
      <c r="A30" s="70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R30" s="68"/>
      <c r="S30" s="68"/>
      <c r="T30" s="291"/>
    </row>
    <row r="31" spans="1:20" ht="15.75" x14ac:dyDescent="0.25">
      <c r="A31" s="70" t="str">
        <f>IF(Client!L52,"Test and report by","Test by")</f>
        <v>Test and report by</v>
      </c>
      <c r="B31" s="71"/>
      <c r="C31" s="71"/>
      <c r="D31" s="71"/>
      <c r="E31" s="71"/>
      <c r="F31" s="71"/>
      <c r="G31" s="72" t="str">
        <f xml:space="preserve"> Client!B51</f>
        <v>Duncan Butler</v>
      </c>
      <c r="H31" s="71"/>
      <c r="I31" s="71"/>
      <c r="J31" s="71"/>
      <c r="K31" s="71"/>
      <c r="L31" s="71"/>
      <c r="M31" s="71"/>
      <c r="N31" s="71"/>
      <c r="O31" s="71"/>
      <c r="P31" s="71"/>
      <c r="R31" s="68"/>
      <c r="S31" s="68"/>
      <c r="T31" s="291"/>
    </row>
    <row r="32" spans="1:20" ht="15.75" customHeight="1" x14ac:dyDescent="0.25">
      <c r="A32" s="70" t="str">
        <f>IF(Client!L52,"","Report by")</f>
        <v/>
      </c>
      <c r="B32" s="71"/>
      <c r="C32" s="71"/>
      <c r="D32" s="71"/>
      <c r="E32" s="71"/>
      <c r="F32" s="71"/>
      <c r="G32" s="71" t="str">
        <f>IF(Client!L52,"",Client!B52)</f>
        <v/>
      </c>
      <c r="H32" s="71"/>
      <c r="I32" s="71"/>
      <c r="J32" s="71"/>
      <c r="K32" s="71"/>
      <c r="L32" s="71"/>
      <c r="M32" s="71"/>
      <c r="N32" s="71"/>
      <c r="O32" s="71"/>
      <c r="P32" s="71"/>
      <c r="R32" s="68"/>
      <c r="S32" s="68"/>
      <c r="T32" s="291"/>
    </row>
    <row r="33" spans="1:20" ht="15.75" x14ac:dyDescent="0.25">
      <c r="A33" s="70" t="s">
        <v>132</v>
      </c>
      <c r="B33" s="71"/>
      <c r="C33" s="71"/>
      <c r="D33" s="71"/>
      <c r="E33" s="71"/>
      <c r="F33" s="71"/>
      <c r="G33" s="71" t="str" cm="1">
        <f t="array" ref="G33">date_to_text(Client!B48)</f>
        <v>7 July 2021</v>
      </c>
      <c r="H33" s="71"/>
      <c r="I33" s="71"/>
      <c r="J33" s="71"/>
      <c r="K33" s="71"/>
      <c r="L33" s="71"/>
      <c r="M33" s="71"/>
      <c r="N33" s="71"/>
      <c r="O33" s="71"/>
      <c r="P33" s="71"/>
      <c r="R33" s="68"/>
      <c r="S33" s="68"/>
      <c r="T33" s="291"/>
    </row>
    <row r="34" spans="1:20" ht="15.75" x14ac:dyDescent="0.25">
      <c r="A34" s="70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R34" s="68"/>
      <c r="S34" s="68"/>
      <c r="T34" s="291"/>
    </row>
    <row r="35" spans="1:20" ht="15.75" x14ac:dyDescent="0.25">
      <c r="A35" s="71" t="s">
        <v>142</v>
      </c>
      <c r="B35" s="71"/>
      <c r="C35" s="71"/>
      <c r="D35" s="71"/>
      <c r="E35" s="71"/>
      <c r="F35" s="71"/>
      <c r="G35" s="71" t="s">
        <v>143</v>
      </c>
      <c r="H35" s="71"/>
      <c r="I35" s="71"/>
      <c r="J35" s="71"/>
      <c r="K35" s="71"/>
      <c r="L35" s="71"/>
      <c r="M35" s="71"/>
      <c r="N35" s="71"/>
      <c r="O35" s="71"/>
      <c r="P35" s="71"/>
      <c r="R35" s="68"/>
      <c r="S35" s="68"/>
      <c r="T35" s="291"/>
    </row>
    <row r="36" spans="1:20" ht="15.75" x14ac:dyDescent="0.25">
      <c r="A36" s="70" t="s">
        <v>144</v>
      </c>
      <c r="B36" s="71"/>
      <c r="C36" s="71"/>
      <c r="D36" s="71"/>
      <c r="E36" s="71"/>
      <c r="F36" s="71"/>
      <c r="G36" s="129" t="s">
        <v>327</v>
      </c>
      <c r="H36" s="71"/>
      <c r="I36" s="71"/>
      <c r="J36" s="71"/>
      <c r="K36" s="71"/>
      <c r="L36" s="71"/>
      <c r="M36" s="71"/>
      <c r="N36" s="71"/>
      <c r="O36" s="71"/>
      <c r="P36" s="71"/>
      <c r="R36" s="68"/>
      <c r="S36" s="68"/>
      <c r="T36" s="291"/>
    </row>
    <row r="37" spans="1:20" ht="15.75" customHeight="1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R37" s="68"/>
      <c r="S37" s="68"/>
      <c r="T37" s="291"/>
    </row>
    <row r="38" spans="1:20" ht="27.75" customHeight="1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63"/>
      <c r="R38" s="68"/>
      <c r="S38" s="68"/>
      <c r="T38" s="291"/>
    </row>
    <row r="39" spans="1:20" ht="15.75" x14ac:dyDescent="0.25">
      <c r="A39" s="71" t="s">
        <v>145</v>
      </c>
      <c r="B39" s="71"/>
      <c r="C39" s="73"/>
      <c r="D39" s="73"/>
      <c r="E39" s="73"/>
      <c r="F39" s="73"/>
      <c r="G39" s="73"/>
      <c r="H39" s="74" t="s">
        <v>146</v>
      </c>
      <c r="I39" s="71"/>
      <c r="J39" s="71"/>
      <c r="K39" s="71"/>
      <c r="L39" s="71"/>
      <c r="N39" s="67" t="s">
        <v>147</v>
      </c>
      <c r="O39" s="338"/>
      <c r="P39" s="338"/>
      <c r="Q39" s="338"/>
      <c r="R39" s="338"/>
      <c r="S39" s="63"/>
      <c r="T39" s="291"/>
    </row>
    <row r="40" spans="1:20" ht="15.75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63"/>
      <c r="R40" s="68"/>
      <c r="S40" s="68"/>
      <c r="T40" s="291"/>
    </row>
    <row r="41" spans="1:20" ht="15.75" x14ac:dyDescent="0.25">
      <c r="A41" s="72" t="str">
        <f>Client!B53</f>
        <v>Duncan Butler, Director, Primary Standards Dosimetry Laboratory</v>
      </c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63"/>
      <c r="R41" s="68"/>
      <c r="S41" s="68"/>
      <c r="T41" s="291"/>
    </row>
    <row r="42" spans="1:20" ht="15.75" x14ac:dyDescent="0.25">
      <c r="A42" s="71" t="s">
        <v>148</v>
      </c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63"/>
      <c r="R42" s="68"/>
      <c r="S42" s="68"/>
    </row>
    <row r="43" spans="1:20" ht="15" x14ac:dyDescent="0.25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</row>
    <row r="46" spans="1:20" ht="15" x14ac:dyDescent="0.25">
      <c r="M46" s="75"/>
    </row>
    <row r="47" spans="1:20" ht="9.9499999999999993" customHeight="1" x14ac:dyDescent="0.2"/>
    <row r="48" spans="1:20" ht="8.1" customHeight="1" x14ac:dyDescent="0.2">
      <c r="N48" s="76" t="s">
        <v>149</v>
      </c>
    </row>
    <row r="49" spans="1:20" ht="8.1" customHeight="1" x14ac:dyDescent="0.2">
      <c r="N49" s="76" t="s">
        <v>150</v>
      </c>
    </row>
    <row r="50" spans="1:20" ht="8.1" customHeight="1" x14ac:dyDescent="0.2">
      <c r="E50" s="77" t="s">
        <v>301</v>
      </c>
      <c r="N50" s="76" t="s">
        <v>151</v>
      </c>
    </row>
    <row r="51" spans="1:20" ht="8.1" customHeight="1" x14ac:dyDescent="0.2">
      <c r="E51" s="77" t="s">
        <v>152</v>
      </c>
      <c r="N51" s="76" t="s">
        <v>153</v>
      </c>
    </row>
    <row r="52" spans="1:20" ht="8.1" customHeight="1" x14ac:dyDescent="0.2">
      <c r="C52" s="77"/>
      <c r="E52" s="77" t="s">
        <v>154</v>
      </c>
      <c r="N52" s="76" t="s">
        <v>155</v>
      </c>
    </row>
    <row r="53" spans="1:20" ht="8.1" customHeight="1" x14ac:dyDescent="0.2">
      <c r="E53" s="77" t="s">
        <v>156</v>
      </c>
      <c r="N53" s="76" t="s">
        <v>157</v>
      </c>
    </row>
    <row r="54" spans="1:20" ht="13.5" customHeight="1" x14ac:dyDescent="0.2">
      <c r="E54" s="78" t="s">
        <v>334</v>
      </c>
      <c r="N54" s="79" t="s">
        <v>158</v>
      </c>
    </row>
    <row r="55" spans="1:20" ht="22.5" customHeight="1" x14ac:dyDescent="0.2">
      <c r="A55" s="272"/>
      <c r="B55" s="272"/>
      <c r="C55" s="272"/>
      <c r="D55" s="272"/>
      <c r="E55" s="272"/>
      <c r="F55" s="272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272"/>
      <c r="R55" s="272"/>
      <c r="S55" s="272"/>
      <c r="T55" s="272"/>
    </row>
    <row r="56" spans="1:20" x14ac:dyDescent="0.2">
      <c r="A56" s="90" t="str">
        <f>"Calibration No.: "&amp;$T$13</f>
        <v>Calibration No.: Job_ID_01/01</v>
      </c>
      <c r="B56" s="88"/>
      <c r="C56" s="88"/>
      <c r="D56" s="88"/>
      <c r="E56" s="88"/>
      <c r="F56" s="88"/>
      <c r="G56" s="88"/>
      <c r="H56" s="88"/>
      <c r="I56" s="89" t="str">
        <f>$G$33</f>
        <v>7 July 2021</v>
      </c>
      <c r="J56" s="88"/>
      <c r="K56" s="88"/>
      <c r="L56" s="88"/>
      <c r="M56" s="88"/>
      <c r="N56" s="90" t="s">
        <v>159</v>
      </c>
      <c r="O56" s="91"/>
      <c r="P56" s="271"/>
      <c r="Q56" s="91"/>
      <c r="R56" s="91"/>
      <c r="S56" s="91"/>
      <c r="T56" s="91" t="s">
        <v>238</v>
      </c>
    </row>
    <row r="57" spans="1:20" x14ac:dyDescent="0.2">
      <c r="A57" s="87"/>
      <c r="B57" s="88"/>
      <c r="C57" s="88"/>
      <c r="D57" s="88"/>
      <c r="E57" s="88"/>
      <c r="F57" s="88"/>
      <c r="G57" s="88"/>
      <c r="H57" s="88"/>
      <c r="I57" s="89"/>
      <c r="J57" s="88"/>
      <c r="K57" s="88"/>
      <c r="L57" s="88"/>
      <c r="M57" s="88"/>
      <c r="N57" s="90"/>
      <c r="O57" s="91"/>
      <c r="P57" s="91"/>
      <c r="Q57" s="91"/>
      <c r="R57" s="91"/>
      <c r="S57" s="91"/>
      <c r="T57" s="91"/>
    </row>
    <row r="58" spans="1:20" ht="15.75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</row>
    <row r="59" spans="1:20" ht="15.75" x14ac:dyDescent="0.25">
      <c r="A59" s="290" t="s">
        <v>160</v>
      </c>
      <c r="B59" s="290"/>
      <c r="C59" s="290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0"/>
      <c r="R59" s="290"/>
      <c r="S59" s="290"/>
      <c r="T59" s="290"/>
    </row>
    <row r="60" spans="1:20" ht="15.75" x14ac:dyDescent="0.25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0"/>
      <c r="P60" s="80"/>
      <c r="Q60" s="80"/>
    </row>
    <row r="61" spans="1:20" ht="15.75" x14ac:dyDescent="0.25">
      <c r="A61" s="82" t="str">
        <f ca="1">Client!Q2</f>
        <v>Chamber description – IBA FC65-G</v>
      </c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0"/>
      <c r="P61" s="80"/>
      <c r="Q61" s="80"/>
    </row>
    <row r="62" spans="1:20" ht="15.75" x14ac:dyDescent="0.25">
      <c r="A62" s="83" t="s">
        <v>161</v>
      </c>
      <c r="B62" s="81" t="str">
        <f ca="1">Client!Q3&amp;Client!Z3</f>
        <v>Farmer-type with graphite walls of nominal thickness 0.073 g/cm².</v>
      </c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0"/>
      <c r="P62" s="80"/>
      <c r="Q62" s="80"/>
    </row>
    <row r="63" spans="1:20" ht="15.75" x14ac:dyDescent="0.25">
      <c r="A63" s="83" t="s">
        <v>161</v>
      </c>
      <c r="B63" s="81" t="str">
        <f ca="1">Client!Q4</f>
        <v>The nominal cavity volume is 0.65 cc (length 23.1 mm and radius 3.1 mm).</v>
      </c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0"/>
      <c r="P63" s="80"/>
      <c r="Q63" s="80"/>
    </row>
    <row r="64" spans="1:20" ht="15.75" x14ac:dyDescent="0.25">
      <c r="A64" s="83" t="s">
        <v>161</v>
      </c>
      <c r="B64" s="81" t="str">
        <f ca="1">Client!Q5</f>
        <v>The central electrode is aluminium.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0"/>
      <c r="P64" s="80"/>
      <c r="Q64" s="80"/>
    </row>
    <row r="65" spans="1:20" ht="15.75" x14ac:dyDescent="0.25">
      <c r="A65" s="83" t="s">
        <v>161</v>
      </c>
      <c r="B65" s="81" t="str">
        <f ca="1">Client!Q6</f>
        <v>The buildup cap is Delrin.</v>
      </c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0"/>
      <c r="P65" s="80"/>
      <c r="Q65" s="80"/>
    </row>
    <row r="66" spans="1:20" ht="15.75" x14ac:dyDescent="0.25">
      <c r="A66" s="83" t="s">
        <v>161</v>
      </c>
      <c r="B66" s="81" t="str">
        <f ca="1">Client!Q7</f>
        <v>The chamber is waterproof.</v>
      </c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0"/>
      <c r="P66" s="80"/>
      <c r="Q66" s="80"/>
    </row>
    <row r="67" spans="1:20" ht="15.75" x14ac:dyDescent="0.25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0"/>
      <c r="P67" s="80"/>
      <c r="Q67" s="80"/>
    </row>
    <row r="68" spans="1:20" ht="15.75" x14ac:dyDescent="0.25">
      <c r="A68" s="82" t="s">
        <v>162</v>
      </c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0"/>
      <c r="P68" s="80"/>
      <c r="Q68" s="80"/>
    </row>
    <row r="69" spans="1:20" ht="15.75" x14ac:dyDescent="0.25">
      <c r="A69" s="83" t="s">
        <v>161</v>
      </c>
      <c r="B69" s="72" t="str">
        <f>Client!B34</f>
        <v>Buildup cap</v>
      </c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0"/>
      <c r="P69" s="80"/>
      <c r="Q69" s="80"/>
    </row>
    <row r="70" spans="1:20" ht="15.75" x14ac:dyDescent="0.25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0"/>
      <c r="P70" s="80"/>
      <c r="Q70" s="80"/>
    </row>
    <row r="71" spans="1:20" ht="15.75" x14ac:dyDescent="0.25">
      <c r="A71" s="82" t="s">
        <v>163</v>
      </c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0"/>
      <c r="P71" s="80"/>
      <c r="Q71" s="80"/>
    </row>
    <row r="72" spans="1:20" ht="15.75" x14ac:dyDescent="0.25">
      <c r="A72" s="83" t="s">
        <v>161</v>
      </c>
      <c r="B72" s="81" t="s">
        <v>353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0"/>
      <c r="P72" s="80"/>
      <c r="Q72" s="80"/>
    </row>
    <row r="73" spans="1:20" ht="15.75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</row>
    <row r="74" spans="1:20" ht="15.75" x14ac:dyDescent="0.25">
      <c r="A74" s="84" t="s">
        <v>164</v>
      </c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</row>
    <row r="75" spans="1:20" ht="48.75" customHeight="1" x14ac:dyDescent="0.2">
      <c r="A75" s="83" t="s">
        <v>161</v>
      </c>
      <c r="B75" s="293" t="s">
        <v>351</v>
      </c>
      <c r="C75" s="293"/>
      <c r="D75" s="293"/>
      <c r="E75" s="293"/>
      <c r="F75" s="293"/>
      <c r="G75" s="293"/>
      <c r="H75" s="293"/>
      <c r="I75" s="293"/>
      <c r="J75" s="293"/>
      <c r="K75" s="293"/>
      <c r="L75" s="293"/>
      <c r="M75" s="293"/>
      <c r="N75" s="293"/>
      <c r="O75" s="293"/>
      <c r="P75" s="293"/>
      <c r="Q75" s="293"/>
      <c r="R75" s="293"/>
      <c r="S75" s="293"/>
      <c r="T75" s="293"/>
    </row>
    <row r="76" spans="1:20" ht="15.75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80"/>
    </row>
    <row r="77" spans="1:20" ht="15.75" x14ac:dyDescent="0.25">
      <c r="A77" s="111" t="s">
        <v>198</v>
      </c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80"/>
    </row>
    <row r="78" spans="1:20" ht="65.25" customHeight="1" x14ac:dyDescent="0.2">
      <c r="A78" s="83" t="s">
        <v>161</v>
      </c>
      <c r="B78" s="288" t="s">
        <v>288</v>
      </c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</row>
    <row r="79" spans="1:20" ht="33" customHeight="1" x14ac:dyDescent="0.2">
      <c r="A79" s="83" t="s">
        <v>161</v>
      </c>
      <c r="B79" s="288" t="s">
        <v>165</v>
      </c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</row>
    <row r="81" spans="1:20" ht="15.75" x14ac:dyDescent="0.2">
      <c r="A81" s="84" t="s">
        <v>166</v>
      </c>
    </row>
    <row r="82" spans="1:20" ht="15.75" x14ac:dyDescent="0.2">
      <c r="A82" s="83" t="s">
        <v>161</v>
      </c>
      <c r="B82" s="293" t="s">
        <v>257</v>
      </c>
      <c r="C82" s="293"/>
      <c r="D82" s="293"/>
      <c r="E82" s="293"/>
      <c r="F82" s="293"/>
      <c r="G82" s="293"/>
      <c r="H82" s="293"/>
      <c r="I82" s="293"/>
      <c r="J82" s="293"/>
      <c r="K82" s="293"/>
      <c r="L82" s="293"/>
      <c r="M82" s="293"/>
      <c r="N82" s="293"/>
      <c r="O82" s="293"/>
      <c r="P82" s="293"/>
      <c r="Q82" s="293"/>
    </row>
    <row r="83" spans="1:20" ht="15.75" x14ac:dyDescent="0.2">
      <c r="A83" s="84"/>
    </row>
    <row r="84" spans="1:20" ht="15.75" x14ac:dyDescent="0.2">
      <c r="A84" s="84" t="s">
        <v>167</v>
      </c>
    </row>
    <row r="85" spans="1:20" ht="15.75" x14ac:dyDescent="0.2">
      <c r="A85" s="83" t="s">
        <v>161</v>
      </c>
      <c r="B85" s="293" t="s">
        <v>257</v>
      </c>
      <c r="C85" s="293"/>
      <c r="D85" s="293"/>
      <c r="E85" s="293"/>
      <c r="F85" s="293"/>
      <c r="G85" s="293"/>
      <c r="H85" s="293"/>
      <c r="I85" s="293"/>
      <c r="J85" s="293"/>
      <c r="K85" s="293"/>
      <c r="L85" s="293"/>
      <c r="M85" s="293"/>
      <c r="N85" s="293"/>
      <c r="O85" s="293"/>
      <c r="P85" s="293"/>
      <c r="Q85" s="293"/>
    </row>
    <row r="86" spans="1:20" ht="15.75" x14ac:dyDescent="0.2">
      <c r="A86" s="83"/>
      <c r="B86" s="125"/>
      <c r="C86" s="125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</row>
    <row r="87" spans="1:20" ht="15.75" x14ac:dyDescent="0.2">
      <c r="A87" s="84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</row>
    <row r="88" spans="1:20" ht="15" customHeight="1" x14ac:dyDescent="0.2">
      <c r="A88" s="168" t="s">
        <v>219</v>
      </c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</row>
    <row r="89" spans="1:20" ht="43.5" customHeight="1" x14ac:dyDescent="0.2">
      <c r="A89" s="83" t="s">
        <v>161</v>
      </c>
      <c r="B89" s="289" t="s">
        <v>354</v>
      </c>
      <c r="C89" s="289"/>
      <c r="D89" s="289"/>
      <c r="E89" s="289"/>
      <c r="F89" s="289"/>
      <c r="G89" s="289"/>
      <c r="H89" s="289"/>
      <c r="I89" s="289"/>
      <c r="J89" s="289"/>
      <c r="K89" s="289"/>
      <c r="L89" s="289"/>
      <c r="M89" s="289"/>
      <c r="N89" s="289"/>
      <c r="O89" s="289"/>
      <c r="P89" s="289"/>
      <c r="Q89" s="289"/>
      <c r="R89" s="289"/>
      <c r="S89" s="289"/>
      <c r="T89" s="289"/>
    </row>
    <row r="90" spans="1:20" ht="15" customHeight="1" x14ac:dyDescent="0.2">
      <c r="A90" s="84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</row>
    <row r="91" spans="1:20" ht="15.75" x14ac:dyDescent="0.2">
      <c r="A91" s="84" t="s">
        <v>168</v>
      </c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</row>
    <row r="92" spans="1:20" ht="63.95" customHeight="1" x14ac:dyDescent="0.2">
      <c r="A92" s="85" t="s">
        <v>169</v>
      </c>
      <c r="B92" s="288" t="s">
        <v>170</v>
      </c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</row>
    <row r="93" spans="1:20" ht="15" customHeight="1" x14ac:dyDescent="0.2">
      <c r="A93" s="84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</row>
    <row r="94" spans="1:20" ht="15" customHeight="1" x14ac:dyDescent="0.2"/>
    <row r="95" spans="1:20" ht="18.75" customHeight="1" x14ac:dyDescent="0.2"/>
    <row r="96" spans="1:20" ht="17.25" customHeight="1" thickBot="1" x14ac:dyDescent="0.25"/>
    <row r="97" spans="1:20" ht="12.75" customHeight="1" x14ac:dyDescent="0.2">
      <c r="A97" s="163" t="str">
        <f>"Calibration No.: "&amp;$T$13</f>
        <v>Calibration No.: Job_ID_01/01</v>
      </c>
      <c r="B97" s="164"/>
      <c r="C97" s="164"/>
      <c r="D97" s="164"/>
      <c r="E97" s="164"/>
      <c r="F97" s="164"/>
      <c r="G97" s="164"/>
      <c r="H97" s="164"/>
      <c r="I97" s="165" t="str">
        <f>$G$33</f>
        <v>7 July 2021</v>
      </c>
      <c r="J97" s="164"/>
      <c r="K97" s="164"/>
      <c r="L97" s="164"/>
      <c r="M97" s="164"/>
      <c r="N97" s="163" t="s">
        <v>159</v>
      </c>
      <c r="O97" s="166"/>
      <c r="P97" s="269"/>
      <c r="Q97" s="166"/>
      <c r="R97" s="166"/>
      <c r="S97" s="166"/>
      <c r="T97" s="166" t="s">
        <v>237</v>
      </c>
    </row>
    <row r="103" spans="1:20" ht="31.5" customHeight="1" x14ac:dyDescent="0.3">
      <c r="A103" s="283" t="s">
        <v>298</v>
      </c>
      <c r="B103" s="283"/>
      <c r="C103" s="283"/>
      <c r="D103" s="283"/>
      <c r="E103" s="283"/>
      <c r="F103" s="283"/>
      <c r="G103" s="283"/>
      <c r="H103" s="283"/>
      <c r="I103" s="283"/>
      <c r="J103" s="283"/>
      <c r="K103" s="283"/>
      <c r="L103" s="283"/>
      <c r="M103" s="283"/>
      <c r="N103" s="283"/>
      <c r="O103" s="283"/>
      <c r="P103" s="283"/>
      <c r="Q103" s="283"/>
      <c r="R103" s="283"/>
      <c r="S103" s="283"/>
      <c r="T103" s="283"/>
    </row>
    <row r="104" spans="1:20" ht="15" x14ac:dyDescent="0.25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</row>
    <row r="105" spans="1:20" s="83" customFormat="1" ht="18" customHeight="1" x14ac:dyDescent="0.25">
      <c r="A105" s="160" t="s">
        <v>1</v>
      </c>
      <c r="B105" s="114"/>
      <c r="C105" s="114"/>
      <c r="D105" s="114"/>
      <c r="E105" s="114"/>
      <c r="F105" s="3"/>
      <c r="G105" s="115" t="str">
        <f>G20</f>
        <v>Name_of_Client</v>
      </c>
      <c r="H105" s="114"/>
      <c r="I105" s="114"/>
      <c r="J105" s="114"/>
      <c r="K105" s="113"/>
      <c r="L105" s="113"/>
      <c r="M105" s="113"/>
      <c r="N105" s="113"/>
      <c r="O105" s="113"/>
      <c r="P105" s="113"/>
      <c r="Q105" s="113"/>
      <c r="R105" s="122"/>
    </row>
    <row r="106" spans="1:20" s="83" customFormat="1" ht="18" customHeight="1" x14ac:dyDescent="0.25">
      <c r="A106" s="160" t="s">
        <v>356</v>
      </c>
      <c r="B106" s="114"/>
      <c r="C106" s="114"/>
      <c r="D106" s="114"/>
      <c r="E106" s="114"/>
      <c r="F106" s="3"/>
      <c r="G106" s="115" t="str">
        <f>G25</f>
        <v>IBA FC65-G, serial number 457</v>
      </c>
      <c r="H106" s="114"/>
      <c r="I106" s="114"/>
      <c r="J106" s="114"/>
      <c r="K106" s="113"/>
      <c r="L106" s="113"/>
      <c r="M106" s="113"/>
      <c r="N106" s="113"/>
      <c r="O106" s="113"/>
      <c r="P106" s="113"/>
      <c r="Q106" s="113"/>
      <c r="R106" s="122"/>
    </row>
    <row r="107" spans="1:20" s="83" customFormat="1" ht="18" customHeight="1" x14ac:dyDescent="0.25">
      <c r="A107" s="114" t="s">
        <v>365</v>
      </c>
      <c r="B107" s="114"/>
      <c r="C107" s="114"/>
      <c r="D107" s="114"/>
      <c r="E107" s="114"/>
      <c r="F107" s="3"/>
      <c r="G107" s="114" t="str">
        <f>Client!V10&amp;" on the guard electrode"</f>
        <v>-242 V on the guard electrode</v>
      </c>
      <c r="H107" s="114"/>
      <c r="I107" s="114"/>
      <c r="J107" s="114"/>
      <c r="K107" s="113"/>
      <c r="L107" s="113"/>
      <c r="M107" s="113"/>
      <c r="N107" s="113"/>
      <c r="O107" s="113"/>
      <c r="P107" s="113"/>
      <c r="Q107" s="113"/>
      <c r="R107" s="122"/>
    </row>
    <row r="108" spans="1:20" s="83" customFormat="1" ht="18" customHeight="1" x14ac:dyDescent="0.25">
      <c r="A108" s="114" t="s">
        <v>171</v>
      </c>
      <c r="B108" s="114"/>
      <c r="C108" s="114"/>
      <c r="D108" s="114"/>
      <c r="E108" s="114"/>
      <c r="F108" s="3"/>
      <c r="G108" s="161" t="str">
        <f>Client!Q13</f>
        <v>Positive (Central Electrode Negative)</v>
      </c>
      <c r="H108" s="114"/>
      <c r="I108" s="114"/>
      <c r="J108" s="114"/>
      <c r="K108" s="113"/>
      <c r="L108" s="113"/>
      <c r="M108" s="113"/>
      <c r="N108" s="113"/>
      <c r="O108" s="113"/>
      <c r="P108" s="113"/>
      <c r="Q108" s="113"/>
      <c r="R108" s="122"/>
    </row>
    <row r="109" spans="1:20" s="83" customFormat="1" ht="18" customHeight="1" x14ac:dyDescent="0.25">
      <c r="A109" s="114" t="s">
        <v>131</v>
      </c>
      <c r="B109" s="114"/>
      <c r="C109" s="114"/>
      <c r="D109" s="114"/>
      <c r="E109" s="114"/>
      <c r="F109" s="3"/>
      <c r="G109" s="114" t="str">
        <f ca="1">Client!Q8</f>
        <v>The geometrical centre of the cavity</v>
      </c>
      <c r="H109" s="114"/>
      <c r="I109" s="114"/>
      <c r="J109" s="114"/>
      <c r="K109" s="113"/>
      <c r="L109" s="113"/>
      <c r="M109" s="113"/>
      <c r="N109" s="113"/>
      <c r="O109" s="113"/>
      <c r="P109" s="113"/>
      <c r="Q109" s="113"/>
      <c r="R109" s="122"/>
    </row>
    <row r="110" spans="1:20" s="83" customFormat="1" ht="18" customHeight="1" x14ac:dyDescent="0.25">
      <c r="A110" s="114" t="s">
        <v>172</v>
      </c>
      <c r="B110" s="114"/>
      <c r="C110" s="114"/>
      <c r="D110" s="114"/>
      <c r="E110" s="114"/>
      <c r="F110" s="3"/>
      <c r="G110" s="114" t="s">
        <v>173</v>
      </c>
      <c r="H110" s="114"/>
      <c r="I110" s="114"/>
      <c r="J110" s="114"/>
      <c r="K110" s="113"/>
      <c r="L110" s="113"/>
      <c r="M110" s="113"/>
      <c r="N110" s="113"/>
      <c r="O110" s="113"/>
      <c r="P110" s="113"/>
      <c r="Q110" s="113"/>
      <c r="R110" s="122"/>
    </row>
    <row r="111" spans="1:20" s="83" customFormat="1" ht="18" customHeight="1" x14ac:dyDescent="0.25">
      <c r="A111" s="114"/>
      <c r="B111" s="114"/>
      <c r="C111" s="114"/>
      <c r="D111" s="114"/>
      <c r="E111" s="114"/>
      <c r="F111" s="3"/>
      <c r="G111" s="114" t="s">
        <v>174</v>
      </c>
      <c r="H111" s="114"/>
      <c r="I111" s="114"/>
      <c r="J111" s="114"/>
      <c r="K111" s="113"/>
      <c r="L111" s="113"/>
      <c r="M111" s="113"/>
      <c r="N111" s="113"/>
      <c r="O111" s="113"/>
      <c r="P111" s="113"/>
      <c r="Q111" s="113"/>
      <c r="R111" s="122"/>
    </row>
    <row r="112" spans="1:20" s="83" customFormat="1" ht="18" customHeight="1" x14ac:dyDescent="0.25">
      <c r="A112" s="114"/>
      <c r="B112" s="114"/>
      <c r="C112" s="114"/>
      <c r="D112" s="114"/>
      <c r="E112" s="114"/>
      <c r="F112" s="3"/>
      <c r="G112" s="114" t="s">
        <v>175</v>
      </c>
      <c r="H112" s="114"/>
      <c r="I112" s="114"/>
      <c r="J112" s="114"/>
      <c r="K112" s="113"/>
      <c r="L112" s="113"/>
      <c r="M112" s="113"/>
      <c r="N112" s="113"/>
      <c r="O112" s="113"/>
      <c r="P112" s="113"/>
      <c r="Q112" s="113"/>
      <c r="R112" s="122"/>
    </row>
    <row r="113" spans="1:20" s="83" customFormat="1" ht="18" customHeight="1" x14ac:dyDescent="0.25">
      <c r="A113" s="114"/>
      <c r="B113" s="114"/>
      <c r="C113" s="114"/>
      <c r="D113" s="114"/>
      <c r="E113" s="114"/>
      <c r="F113" s="3"/>
      <c r="G113" s="114" t="s">
        <v>176</v>
      </c>
      <c r="H113" s="114"/>
      <c r="I113" s="114"/>
      <c r="J113" s="114"/>
      <c r="K113" s="113"/>
      <c r="L113" s="113"/>
      <c r="M113" s="113"/>
      <c r="N113" s="113"/>
      <c r="O113" s="113"/>
      <c r="P113" s="113"/>
      <c r="Q113" s="113"/>
      <c r="R113" s="122"/>
    </row>
    <row r="114" spans="1:20" s="83" customFormat="1" ht="18" customHeight="1" x14ac:dyDescent="0.25">
      <c r="A114" s="114"/>
      <c r="B114" s="114"/>
      <c r="C114" s="114"/>
      <c r="D114" s="114"/>
      <c r="E114" s="114"/>
      <c r="F114" s="3"/>
      <c r="G114" s="114" t="s">
        <v>177</v>
      </c>
      <c r="H114" s="114"/>
      <c r="I114" s="114"/>
      <c r="J114" s="114"/>
      <c r="K114" s="113"/>
      <c r="L114" s="113"/>
      <c r="M114" s="113"/>
      <c r="N114" s="113"/>
      <c r="O114" s="113"/>
      <c r="P114" s="113"/>
      <c r="Q114" s="113"/>
      <c r="R114" s="122"/>
    </row>
    <row r="115" spans="1:20" s="83" customFormat="1" ht="18" customHeight="1" x14ac:dyDescent="0.25">
      <c r="A115" s="114" t="s">
        <v>178</v>
      </c>
      <c r="B115" s="114"/>
      <c r="C115" s="114"/>
      <c r="D115" s="114"/>
      <c r="E115" s="114"/>
      <c r="F115" s="3"/>
      <c r="G115" s="114" t="s">
        <v>179</v>
      </c>
      <c r="H115" s="114"/>
      <c r="I115" s="114"/>
      <c r="J115" s="114"/>
      <c r="K115" s="113"/>
      <c r="L115" s="113"/>
      <c r="M115" s="113"/>
      <c r="N115" s="113"/>
      <c r="O115" s="113"/>
      <c r="P115" s="113"/>
      <c r="Q115" s="113"/>
      <c r="R115" s="122"/>
    </row>
    <row r="116" spans="1:20" s="83" customFormat="1" ht="18" customHeight="1" x14ac:dyDescent="0.25">
      <c r="A116" s="114" t="s">
        <v>180</v>
      </c>
      <c r="B116" s="162"/>
      <c r="C116" s="114"/>
      <c r="D116" s="114"/>
      <c r="E116" s="114"/>
      <c r="F116" s="3"/>
      <c r="G116" s="114" t="s">
        <v>181</v>
      </c>
      <c r="H116" s="114"/>
      <c r="I116" s="114"/>
      <c r="J116" s="114"/>
      <c r="K116" s="113"/>
      <c r="L116" s="113"/>
      <c r="M116" s="113"/>
      <c r="N116" s="113"/>
      <c r="O116" s="113"/>
      <c r="P116" s="113"/>
      <c r="Q116" s="113"/>
      <c r="R116" s="122"/>
    </row>
    <row r="117" spans="1:20" s="83" customFormat="1" ht="18" customHeight="1" x14ac:dyDescent="0.25">
      <c r="A117" s="114" t="s">
        <v>182</v>
      </c>
      <c r="B117" s="162"/>
      <c r="C117" s="114"/>
      <c r="D117" s="114"/>
      <c r="E117" s="114"/>
      <c r="F117" s="3"/>
      <c r="G117" s="115" t="s">
        <v>183</v>
      </c>
      <c r="H117" s="114"/>
      <c r="I117" s="114"/>
      <c r="J117" s="114"/>
      <c r="K117" s="113"/>
      <c r="L117" s="113"/>
      <c r="M117" s="113"/>
      <c r="N117" s="113"/>
      <c r="O117" s="113"/>
      <c r="P117" s="113"/>
      <c r="Q117" s="113"/>
      <c r="R117" s="122"/>
    </row>
    <row r="118" spans="1:20" s="83" customFormat="1" ht="18" customHeight="1" x14ac:dyDescent="0.25">
      <c r="A118" s="114" t="s">
        <v>184</v>
      </c>
      <c r="B118" s="162"/>
      <c r="C118" s="114"/>
      <c r="D118" s="114"/>
      <c r="E118" s="114"/>
      <c r="F118" s="3"/>
      <c r="G118" s="114" t="str">
        <f>G27</f>
        <v>2-6 July 2021</v>
      </c>
      <c r="H118" s="114"/>
      <c r="I118" s="114"/>
      <c r="J118" s="114"/>
      <c r="K118" s="113"/>
      <c r="L118" s="113"/>
      <c r="M118" s="113"/>
      <c r="N118" s="113"/>
      <c r="O118" s="113"/>
      <c r="P118" s="113"/>
      <c r="Q118" s="113"/>
      <c r="R118" s="122"/>
    </row>
    <row r="119" spans="1:20" s="83" customFormat="1" ht="18" customHeight="1" x14ac:dyDescent="0.25">
      <c r="A119" s="114" t="s">
        <v>352</v>
      </c>
      <c r="B119" s="114"/>
      <c r="C119" s="114"/>
      <c r="D119" s="114"/>
      <c r="E119" s="114"/>
      <c r="F119" s="114"/>
      <c r="G119" s="114"/>
      <c r="H119" s="114"/>
      <c r="I119" s="114"/>
      <c r="J119" s="114"/>
      <c r="K119" s="113"/>
      <c r="L119" s="113"/>
      <c r="M119" s="113"/>
      <c r="N119" s="113"/>
      <c r="O119" s="113"/>
      <c r="P119" s="113"/>
      <c r="Q119" s="113"/>
      <c r="R119" s="122"/>
    </row>
    <row r="120" spans="1:20" s="83" customFormat="1" ht="18" customHeight="1" x14ac:dyDescent="0.2">
      <c r="A120" s="113"/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22"/>
    </row>
    <row r="121" spans="1:20" ht="15.75" x14ac:dyDescent="0.25">
      <c r="A121" s="63"/>
      <c r="B121" s="63"/>
      <c r="C121" s="63"/>
      <c r="D121" s="63"/>
      <c r="E121" s="63"/>
      <c r="F121" s="63"/>
      <c r="G121" s="63"/>
      <c r="H121" s="63"/>
      <c r="I121" s="63"/>
      <c r="J121" s="112" t="s">
        <v>349</v>
      </c>
      <c r="K121" s="63"/>
      <c r="L121" s="63"/>
      <c r="M121" s="63"/>
      <c r="N121" s="63"/>
      <c r="O121" s="63"/>
      <c r="P121" s="63"/>
      <c r="Q121" s="63"/>
      <c r="R121" s="69"/>
    </row>
    <row r="122" spans="1:20" ht="59.25" customHeight="1" x14ac:dyDescent="0.2">
      <c r="A122" s="304" t="s">
        <v>85</v>
      </c>
      <c r="B122" s="304"/>
      <c r="C122" s="308" t="s">
        <v>86</v>
      </c>
      <c r="D122" s="308"/>
      <c r="E122" s="308" t="s">
        <v>337</v>
      </c>
      <c r="F122" s="308"/>
      <c r="G122" s="308" t="s">
        <v>338</v>
      </c>
      <c r="H122" s="308"/>
      <c r="I122" s="308" t="s">
        <v>339</v>
      </c>
      <c r="J122" s="308"/>
      <c r="K122" s="304" t="s">
        <v>339</v>
      </c>
      <c r="L122" s="304"/>
      <c r="M122" s="304" t="s">
        <v>340</v>
      </c>
      <c r="N122" s="304"/>
      <c r="O122" s="304" t="s">
        <v>341</v>
      </c>
      <c r="P122" s="304"/>
      <c r="Q122" s="400" t="s">
        <v>348</v>
      </c>
      <c r="R122" s="304"/>
      <c r="S122" s="302" t="s">
        <v>342</v>
      </c>
      <c r="T122" s="303"/>
    </row>
    <row r="123" spans="1:20" ht="16.5" customHeight="1" x14ac:dyDescent="0.2">
      <c r="A123" s="405"/>
      <c r="B123" s="405"/>
      <c r="C123" s="300" t="s">
        <v>335</v>
      </c>
      <c r="D123" s="301"/>
      <c r="E123" s="300" t="s">
        <v>241</v>
      </c>
      <c r="F123" s="301"/>
      <c r="G123" s="300" t="s">
        <v>242</v>
      </c>
      <c r="H123" s="301"/>
      <c r="I123" s="300" t="s">
        <v>241</v>
      </c>
      <c r="J123" s="301"/>
      <c r="K123" s="284" t="s">
        <v>242</v>
      </c>
      <c r="L123" s="285"/>
      <c r="M123" s="284" t="s">
        <v>336</v>
      </c>
      <c r="N123" s="285"/>
      <c r="O123" s="284" t="s">
        <v>20</v>
      </c>
      <c r="P123" s="285"/>
      <c r="Q123" s="284" t="s">
        <v>2</v>
      </c>
      <c r="R123" s="285"/>
      <c r="S123" s="300" t="s">
        <v>27</v>
      </c>
      <c r="T123" s="301"/>
    </row>
    <row r="124" spans="1:20" ht="20.25" customHeight="1" x14ac:dyDescent="0.2">
      <c r="A124" s="401" t="str">
        <f>MEXtabs!A8</f>
        <v>NXA50</v>
      </c>
      <c r="B124" s="402"/>
      <c r="C124" s="403">
        <f>MEXtabs!B8</f>
        <v>50</v>
      </c>
      <c r="D124" s="403"/>
      <c r="E124" s="398">
        <f>MEXtabs!C8</f>
        <v>4</v>
      </c>
      <c r="F124" s="398"/>
      <c r="G124" s="403"/>
      <c r="H124" s="403"/>
      <c r="I124" s="404">
        <f>MEXtabs!E8</f>
        <v>2.3884184190002435</v>
      </c>
      <c r="J124" s="404"/>
      <c r="K124" s="406">
        <f>MEXtabs!F8</f>
        <v>7.9990307372596242E-2</v>
      </c>
      <c r="L124" s="406"/>
      <c r="M124" s="407">
        <f>MEXtabs!G8</f>
        <v>29.934000000000001</v>
      </c>
      <c r="N124" s="407"/>
      <c r="O124" s="407">
        <f>MEXtabs!H8</f>
        <v>0.3614711080424986</v>
      </c>
      <c r="P124" s="407"/>
      <c r="Q124" s="406">
        <f>MEXtabs!I8</f>
        <v>45.021741124033042</v>
      </c>
      <c r="R124" s="406"/>
      <c r="S124" s="398">
        <f>MEXtabs!J8</f>
        <v>1.4219866338412048</v>
      </c>
      <c r="T124" s="398"/>
    </row>
    <row r="125" spans="1:20" ht="20.25" customHeight="1" x14ac:dyDescent="0.2">
      <c r="A125" s="394" t="str">
        <f>MEXtabs!A9</f>
        <v>NXA70</v>
      </c>
      <c r="B125" s="395"/>
      <c r="C125" s="385">
        <f>MEXtabs!B9</f>
        <v>70</v>
      </c>
      <c r="D125" s="385"/>
      <c r="E125" s="386">
        <f>MEXtabs!C9</f>
        <v>4</v>
      </c>
      <c r="F125" s="386"/>
      <c r="G125" s="385"/>
      <c r="H125" s="385"/>
      <c r="I125" s="397">
        <f>MEXtabs!E9</f>
        <v>3.1929733252964523</v>
      </c>
      <c r="J125" s="397"/>
      <c r="K125" s="387">
        <f>MEXtabs!F9</f>
        <v>0.11135967269909675</v>
      </c>
      <c r="L125" s="387"/>
      <c r="M125" s="388">
        <f>MEXtabs!G9</f>
        <v>34.274999999999999</v>
      </c>
      <c r="N125" s="388"/>
      <c r="O125" s="388">
        <f>MEXtabs!H9</f>
        <v>0.80408604444712184</v>
      </c>
      <c r="P125" s="388"/>
      <c r="Q125" s="387">
        <f>MEXtabs!I9</f>
        <v>44.974926824133554</v>
      </c>
      <c r="R125" s="387"/>
      <c r="S125" s="386">
        <f>MEXtabs!J9</f>
        <v>1.4210667981440146</v>
      </c>
      <c r="T125" s="386"/>
    </row>
    <row r="126" spans="1:20" ht="20.25" customHeight="1" x14ac:dyDescent="0.2">
      <c r="A126" s="389" t="str">
        <f>MEXtabs!A10</f>
        <v>NXB100</v>
      </c>
      <c r="B126" s="390"/>
      <c r="C126" s="391">
        <f>MEXtabs!B10</f>
        <v>100</v>
      </c>
      <c r="D126" s="391"/>
      <c r="E126" s="382">
        <f>MEXtabs!C10</f>
        <v>4.5</v>
      </c>
      <c r="F126" s="382"/>
      <c r="G126" s="391"/>
      <c r="H126" s="391"/>
      <c r="I126" s="396">
        <f>MEXtabs!E10</f>
        <v>4.7352150332082985</v>
      </c>
      <c r="J126" s="396"/>
      <c r="K126" s="392">
        <f>MEXtabs!F10</f>
        <v>0.18268575344478749</v>
      </c>
      <c r="L126" s="392"/>
      <c r="M126" s="393">
        <f>MEXtabs!G10</f>
        <v>41.587000000000003</v>
      </c>
      <c r="N126" s="393"/>
      <c r="O126" s="393">
        <f>MEXtabs!H10</f>
        <v>1.5383545199985422</v>
      </c>
      <c r="P126" s="393"/>
      <c r="Q126" s="392">
        <f>MEXtabs!I10</f>
        <v>44.778484986701471</v>
      </c>
      <c r="R126" s="392"/>
      <c r="S126" s="382">
        <f>MEXtabs!J10</f>
        <v>1.4040446675332428</v>
      </c>
      <c r="T126" s="382"/>
    </row>
    <row r="127" spans="1:20" ht="20.25" customHeight="1" x14ac:dyDescent="0.2">
      <c r="A127" s="394" t="str">
        <f>MEXtabs!A11</f>
        <v>NXC120</v>
      </c>
      <c r="B127" s="395"/>
      <c r="C127" s="385">
        <f>MEXtabs!B11</f>
        <v>120</v>
      </c>
      <c r="D127" s="385"/>
      <c r="E127" s="386">
        <f>MEXtabs!C11</f>
        <v>6</v>
      </c>
      <c r="F127" s="386"/>
      <c r="G127" s="385"/>
      <c r="H127" s="385"/>
      <c r="I127" s="397">
        <f>MEXtabs!E11</f>
        <v>6.3769778478391608</v>
      </c>
      <c r="J127" s="397"/>
      <c r="K127" s="387">
        <f>MEXtabs!F11</f>
        <v>0.28062311390349393</v>
      </c>
      <c r="L127" s="387"/>
      <c r="M127" s="388">
        <f>MEXtabs!G11</f>
        <v>48.945</v>
      </c>
      <c r="N127" s="388"/>
      <c r="O127" s="388">
        <f>MEXtabs!H11</f>
        <v>1.7719286135797616</v>
      </c>
      <c r="P127" s="388"/>
      <c r="Q127" s="387">
        <f>MEXtabs!I11</f>
        <v>44.596340368679414</v>
      </c>
      <c r="R127" s="387"/>
      <c r="S127" s="386">
        <f>MEXtabs!J11</f>
        <v>1.4061150802800539</v>
      </c>
      <c r="T127" s="386"/>
    </row>
    <row r="128" spans="1:20" ht="20.25" customHeight="1" x14ac:dyDescent="0.2">
      <c r="A128" s="389" t="str">
        <f>MEXtabs!A12</f>
        <v>NXD140</v>
      </c>
      <c r="B128" s="390"/>
      <c r="C128" s="391">
        <f>MEXtabs!B12</f>
        <v>140</v>
      </c>
      <c r="D128" s="391"/>
      <c r="E128" s="382">
        <f>MEXtabs!C12</f>
        <v>9</v>
      </c>
      <c r="F128" s="382"/>
      <c r="G128" s="391"/>
      <c r="H128" s="391"/>
      <c r="I128" s="396">
        <f>MEXtabs!E12</f>
        <v>8.4359614589862257</v>
      </c>
      <c r="J128" s="396"/>
      <c r="K128" s="392">
        <f>MEXtabs!F12</f>
        <v>0.45081671702125536</v>
      </c>
      <c r="L128" s="392"/>
      <c r="M128" s="393">
        <f>MEXtabs!G12</f>
        <v>58.063000000000002</v>
      </c>
      <c r="N128" s="393"/>
      <c r="O128" s="393">
        <f>MEXtabs!H12</f>
        <v>1.7579510853719673</v>
      </c>
      <c r="P128" s="393"/>
      <c r="Q128" s="392">
        <f>MEXtabs!I12</f>
        <v>44.384979291011668</v>
      </c>
      <c r="R128" s="392"/>
      <c r="S128" s="382">
        <f>MEXtabs!J12</f>
        <v>1.4142613521154321</v>
      </c>
      <c r="T128" s="382"/>
    </row>
    <row r="129" spans="1:20" ht="20.25" customHeight="1" x14ac:dyDescent="0.2">
      <c r="A129" s="394" t="str">
        <f>MEXtabs!A13</f>
        <v>NXE150</v>
      </c>
      <c r="B129" s="395"/>
      <c r="C129" s="385">
        <f>MEXtabs!B13</f>
        <v>150</v>
      </c>
      <c r="D129" s="385"/>
      <c r="E129" s="386">
        <f>MEXtabs!C13</f>
        <v>4</v>
      </c>
      <c r="F129" s="386"/>
      <c r="G129" s="386">
        <f>MEXtabs!D13</f>
        <v>0.5</v>
      </c>
      <c r="H129" s="386"/>
      <c r="I129" s="385"/>
      <c r="J129" s="385"/>
      <c r="K129" s="387">
        <f>MEXtabs!F13</f>
        <v>0.83812332024006297</v>
      </c>
      <c r="L129" s="387"/>
      <c r="M129" s="388">
        <f>MEXtabs!G13</f>
        <v>72.150000000000006</v>
      </c>
      <c r="N129" s="388"/>
      <c r="O129" s="388">
        <f>MEXtabs!H13</f>
        <v>1.4007852924159909</v>
      </c>
      <c r="P129" s="388"/>
      <c r="Q129" s="387">
        <f>MEXtabs!I13</f>
        <v>44.039866906401102</v>
      </c>
      <c r="R129" s="387"/>
      <c r="S129" s="386">
        <f>MEXtabs!J13</f>
        <v>1.4253057707983681</v>
      </c>
      <c r="T129" s="386"/>
    </row>
    <row r="130" spans="1:20" ht="20.25" customHeight="1" x14ac:dyDescent="0.2">
      <c r="A130" s="389" t="str">
        <f>MEXtabs!A14</f>
        <v>NXF200</v>
      </c>
      <c r="B130" s="390"/>
      <c r="C130" s="391">
        <f>MEXtabs!B14</f>
        <v>200</v>
      </c>
      <c r="D130" s="391"/>
      <c r="E130" s="382">
        <f>MEXtabs!C14</f>
        <v>4</v>
      </c>
      <c r="F130" s="382"/>
      <c r="G130" s="382">
        <f>MEXtabs!D14</f>
        <v>1</v>
      </c>
      <c r="H130" s="382"/>
      <c r="I130" s="391"/>
      <c r="J130" s="391"/>
      <c r="K130" s="392">
        <f>MEXtabs!F14</f>
        <v>1.6296937192778045</v>
      </c>
      <c r="L130" s="392"/>
      <c r="M130" s="393">
        <f>MEXtabs!G14</f>
        <v>94.739000000000004</v>
      </c>
      <c r="N130" s="393"/>
      <c r="O130" s="393">
        <f>MEXtabs!H14</f>
        <v>1.5623962575185277</v>
      </c>
      <c r="P130" s="393"/>
      <c r="Q130" s="392">
        <f>MEXtabs!I14</f>
        <v>43.690424941977597</v>
      </c>
      <c r="R130" s="392"/>
      <c r="S130" s="382">
        <f>MEXtabs!J14</f>
        <v>1.4008934679176386</v>
      </c>
      <c r="T130" s="382"/>
    </row>
    <row r="131" spans="1:20" ht="20.25" customHeight="1" x14ac:dyDescent="0.2">
      <c r="A131" s="394" t="str">
        <f>MEXtabs!A15</f>
        <v>NXG250</v>
      </c>
      <c r="B131" s="395"/>
      <c r="C131" s="385">
        <f>MEXtabs!B15</f>
        <v>250</v>
      </c>
      <c r="D131" s="385"/>
      <c r="E131" s="386">
        <f>MEXtabs!C15</f>
        <v>4</v>
      </c>
      <c r="F131" s="386"/>
      <c r="G131" s="386">
        <f>MEXtabs!D15</f>
        <v>1.6</v>
      </c>
      <c r="H131" s="386"/>
      <c r="I131" s="385"/>
      <c r="J131" s="385"/>
      <c r="K131" s="387">
        <f>MEXtabs!F15</f>
        <v>2.5711570771389516</v>
      </c>
      <c r="L131" s="387"/>
      <c r="M131" s="388">
        <f>MEXtabs!G15</f>
        <v>120.09699999999999</v>
      </c>
      <c r="N131" s="388"/>
      <c r="O131" s="388">
        <f>MEXtabs!H15</f>
        <v>1.7673175031153652</v>
      </c>
      <c r="P131" s="388"/>
      <c r="Q131" s="387">
        <f>MEXtabs!I15</f>
        <v>43.515276381229619</v>
      </c>
      <c r="R131" s="387"/>
      <c r="S131" s="386">
        <f>MEXtabs!J15</f>
        <v>1.4181606726849658</v>
      </c>
      <c r="T131" s="386"/>
    </row>
    <row r="132" spans="1:20" ht="20.25" customHeight="1" x14ac:dyDescent="0.2">
      <c r="A132" s="389" t="str">
        <f>MEXtabs!A16</f>
        <v>NXH280</v>
      </c>
      <c r="B132" s="390"/>
      <c r="C132" s="391">
        <f>MEXtabs!B16</f>
        <v>280</v>
      </c>
      <c r="D132" s="391"/>
      <c r="E132" s="382">
        <f>MEXtabs!C16</f>
        <v>4</v>
      </c>
      <c r="F132" s="382"/>
      <c r="G132" s="382">
        <f>MEXtabs!D16</f>
        <v>3</v>
      </c>
      <c r="H132" s="382"/>
      <c r="I132" s="391"/>
      <c r="J132" s="391"/>
      <c r="K132" s="392">
        <f>MEXtabs!F16</f>
        <v>3.5006101210159413</v>
      </c>
      <c r="L132" s="392"/>
      <c r="M132" s="393">
        <f>MEXtabs!G16</f>
        <v>147.05000000000001</v>
      </c>
      <c r="N132" s="393"/>
      <c r="O132" s="393">
        <f>MEXtabs!H16</f>
        <v>1.3697465155541448</v>
      </c>
      <c r="P132" s="393"/>
      <c r="Q132" s="392">
        <f>MEXtabs!I16</f>
        <v>43.332123291107912</v>
      </c>
      <c r="R132" s="392"/>
      <c r="S132" s="382">
        <f>MEXtabs!J16</f>
        <v>1.4391668160769495</v>
      </c>
      <c r="T132" s="382"/>
    </row>
    <row r="133" spans="1:20" ht="20.25" customHeight="1" x14ac:dyDescent="0.2">
      <c r="A133" s="383" t="str">
        <f>MEXtabs!A17</f>
        <v>NXH300</v>
      </c>
      <c r="B133" s="384"/>
      <c r="C133" s="385">
        <f>MEXtabs!B17</f>
        <v>300</v>
      </c>
      <c r="D133" s="385"/>
      <c r="E133" s="386">
        <f>MEXtabs!C17</f>
        <v>4</v>
      </c>
      <c r="F133" s="386"/>
      <c r="G133" s="386">
        <f>MEXtabs!D17</f>
        <v>3</v>
      </c>
      <c r="H133" s="386"/>
      <c r="I133" s="385"/>
      <c r="J133" s="385"/>
      <c r="K133" s="387">
        <f>MEXtabs!F17</f>
        <v>3.7047905897248823</v>
      </c>
      <c r="L133" s="387"/>
      <c r="M133" s="388">
        <f>MEXtabs!G17</f>
        <v>153.21</v>
      </c>
      <c r="N133" s="388"/>
      <c r="O133" s="388">
        <f>MEXtabs!H17</f>
        <v>1.6752530487373014</v>
      </c>
      <c r="P133" s="388"/>
      <c r="Q133" s="387">
        <f>MEXtabs!I17</f>
        <v>43.270125968459105</v>
      </c>
      <c r="R133" s="387"/>
      <c r="S133" s="386">
        <f>MEXtabs!J17</f>
        <v>1.5466709629247668</v>
      </c>
      <c r="T133" s="386"/>
    </row>
    <row r="134" spans="1:20" ht="15" x14ac:dyDescent="0.2">
      <c r="A134" s="306" t="str">
        <f>MEXtabs!A18</f>
        <v>NXH300*</v>
      </c>
      <c r="B134" s="307"/>
      <c r="C134" s="305">
        <f>MEXtabs!B18</f>
        <v>300</v>
      </c>
      <c r="D134" s="305"/>
      <c r="E134" s="292">
        <f>MEXtabs!C18</f>
        <v>4</v>
      </c>
      <c r="F134" s="292"/>
      <c r="G134" s="292">
        <f>MEXtabs!D18</f>
        <v>3</v>
      </c>
      <c r="H134" s="292"/>
      <c r="I134" s="305"/>
      <c r="J134" s="305"/>
      <c r="K134" s="310">
        <f>MEXtabs!F18</f>
        <v>3.7047905897248823</v>
      </c>
      <c r="L134" s="310"/>
      <c r="M134" s="286">
        <f>MEXtabs!G18</f>
        <v>153.21</v>
      </c>
      <c r="N134" s="286"/>
      <c r="O134" s="286">
        <f>MEXtabs!H18</f>
        <v>1.675574257628266</v>
      </c>
      <c r="P134" s="286"/>
      <c r="Q134" s="310">
        <f>MEXtabs!I18</f>
        <v>43.273786206386291</v>
      </c>
      <c r="R134" s="310"/>
      <c r="S134" s="292">
        <f>MEXtabs!J18</f>
        <v>1.4098918159692015</v>
      </c>
      <c r="T134" s="292"/>
    </row>
    <row r="135" spans="1:20" ht="15" x14ac:dyDescent="0.25">
      <c r="A135" s="63" t="s">
        <v>185</v>
      </c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9"/>
    </row>
    <row r="136" spans="1:20" ht="15" x14ac:dyDescent="0.25">
      <c r="A136" s="63" t="s">
        <v>186</v>
      </c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9"/>
    </row>
    <row r="137" spans="1:20" ht="15" x14ac:dyDescent="0.25">
      <c r="A137" s="63" t="s">
        <v>343</v>
      </c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9"/>
    </row>
    <row r="138" spans="1:20" ht="15" x14ac:dyDescent="0.25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9"/>
    </row>
    <row r="139" spans="1:20" ht="16.5" customHeight="1" x14ac:dyDescent="0.25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5" t="str">
        <f>"Calibrated by "&amp;Client!B51</f>
        <v>Calibrated by Duncan Butler</v>
      </c>
      <c r="M139" s="65"/>
      <c r="N139" s="65"/>
      <c r="O139" s="65"/>
      <c r="P139" s="65"/>
      <c r="Q139" s="65"/>
      <c r="R139" s="86"/>
      <c r="S139" s="40"/>
    </row>
    <row r="140" spans="1:20" ht="15.75" thickBot="1" x14ac:dyDescent="0.3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9"/>
    </row>
    <row r="141" spans="1:20" ht="13.5" customHeight="1" x14ac:dyDescent="0.2">
      <c r="A141" s="163" t="str">
        <f>"Calibration No.: "&amp;$T$13</f>
        <v>Calibration No.: Job_ID_01/01</v>
      </c>
      <c r="B141" s="164"/>
      <c r="C141" s="164"/>
      <c r="D141" s="164"/>
      <c r="E141" s="164"/>
      <c r="F141" s="164"/>
      <c r="G141" s="164"/>
      <c r="H141" s="164"/>
      <c r="I141" s="165" t="str">
        <f>$G$33</f>
        <v>7 July 2021</v>
      </c>
      <c r="J141" s="164"/>
      <c r="K141" s="164"/>
      <c r="L141" s="164"/>
      <c r="M141" s="164"/>
      <c r="N141" s="163" t="s">
        <v>159</v>
      </c>
      <c r="O141" s="166"/>
      <c r="P141" s="269"/>
      <c r="Q141" s="166"/>
      <c r="R141" s="166"/>
      <c r="S141" s="166"/>
      <c r="T141" s="166" t="s">
        <v>236</v>
      </c>
    </row>
    <row r="142" spans="1:20" ht="80.25" customHeight="1" x14ac:dyDescent="0.25">
      <c r="A142" s="63"/>
      <c r="B142" s="63"/>
      <c r="C142" s="63"/>
      <c r="D142" s="63"/>
      <c r="E142" s="63"/>
      <c r="F142" s="63"/>
      <c r="G142" s="63"/>
      <c r="H142" s="63"/>
      <c r="I142" s="63"/>
      <c r="J142" s="112" t="s">
        <v>350</v>
      </c>
      <c r="K142" s="63"/>
      <c r="L142" s="63"/>
      <c r="M142" s="63"/>
      <c r="N142" s="63"/>
      <c r="O142" s="63"/>
      <c r="P142" s="63"/>
      <c r="Q142" s="63"/>
      <c r="R142" s="69"/>
    </row>
    <row r="143" spans="1:20" ht="59.25" customHeight="1" x14ac:dyDescent="0.2">
      <c r="A143" s="377" t="s">
        <v>85</v>
      </c>
      <c r="B143" s="377"/>
      <c r="C143" s="378" t="s">
        <v>86</v>
      </c>
      <c r="D143" s="378"/>
      <c r="E143" s="378" t="s">
        <v>337</v>
      </c>
      <c r="F143" s="378"/>
      <c r="G143" s="378" t="s">
        <v>337</v>
      </c>
      <c r="H143" s="378"/>
      <c r="I143" s="378" t="s">
        <v>339</v>
      </c>
      <c r="J143" s="378"/>
      <c r="K143" s="377" t="s">
        <v>339</v>
      </c>
      <c r="L143" s="377"/>
      <c r="M143" s="377" t="s">
        <v>340</v>
      </c>
      <c r="N143" s="377"/>
      <c r="O143" s="379" t="s">
        <v>341</v>
      </c>
      <c r="P143" s="380"/>
      <c r="Q143" s="381" t="s">
        <v>344</v>
      </c>
      <c r="R143" s="377"/>
      <c r="S143" s="378" t="s">
        <v>345</v>
      </c>
      <c r="T143" s="378"/>
    </row>
    <row r="144" spans="1:20" ht="14.25" customHeight="1" x14ac:dyDescent="0.2">
      <c r="A144" s="405"/>
      <c r="B144" s="405"/>
      <c r="C144" s="300" t="s">
        <v>335</v>
      </c>
      <c r="D144" s="301"/>
      <c r="E144" s="300" t="s">
        <v>241</v>
      </c>
      <c r="F144" s="301"/>
      <c r="G144" s="300" t="s">
        <v>242</v>
      </c>
      <c r="H144" s="301"/>
      <c r="I144" s="300" t="s">
        <v>241</v>
      </c>
      <c r="J144" s="301"/>
      <c r="K144" s="284" t="s">
        <v>242</v>
      </c>
      <c r="L144" s="285"/>
      <c r="M144" s="284" t="s">
        <v>336</v>
      </c>
      <c r="N144" s="285"/>
      <c r="O144" s="284" t="s">
        <v>20</v>
      </c>
      <c r="P144" s="285"/>
      <c r="Q144" s="284" t="s">
        <v>2</v>
      </c>
      <c r="R144" s="285"/>
      <c r="S144" s="300" t="s">
        <v>27</v>
      </c>
      <c r="T144" s="301"/>
    </row>
    <row r="145" spans="1:20" ht="14.25" customHeight="1" x14ac:dyDescent="0.2">
      <c r="A145" s="358" t="str">
        <f>MEXtabs!L8</f>
        <v>NXJ40</v>
      </c>
      <c r="B145" s="358"/>
      <c r="C145" s="358">
        <f>MEXtabs!M8</f>
        <v>40</v>
      </c>
      <c r="D145" s="358"/>
      <c r="E145" s="359">
        <f>MEXtabs!N8</f>
        <v>0.5</v>
      </c>
      <c r="F145" s="359"/>
      <c r="G145" s="359"/>
      <c r="H145" s="359"/>
      <c r="I145" s="360">
        <f>MEXtabs!P8</f>
        <v>0.57492783060838692</v>
      </c>
      <c r="J145" s="360"/>
      <c r="K145" s="361"/>
      <c r="L145" s="361"/>
      <c r="M145" s="362">
        <f>MEXtabs!R8</f>
        <v>17.956</v>
      </c>
      <c r="N145" s="362"/>
      <c r="O145" s="363">
        <f>MEXtabs!S8</f>
        <v>1.9268716103181462</v>
      </c>
      <c r="P145" s="363"/>
      <c r="Q145" s="361">
        <f>MEXtabs!T8</f>
        <v>47.693535864374525</v>
      </c>
      <c r="R145" s="361"/>
      <c r="S145" s="359">
        <f>MEXtabs!U8</f>
        <v>1.5314651857126156</v>
      </c>
      <c r="T145" s="359"/>
    </row>
    <row r="146" spans="1:20" ht="14.25" customHeight="1" x14ac:dyDescent="0.2">
      <c r="A146" s="352" t="str">
        <f>MEXtabs!L9</f>
        <v>NXK40</v>
      </c>
      <c r="B146" s="352"/>
      <c r="C146" s="352">
        <f>MEXtabs!M9</f>
        <v>40</v>
      </c>
      <c r="D146" s="352"/>
      <c r="E146" s="351">
        <f>MEXtabs!N9</f>
        <v>1</v>
      </c>
      <c r="F146" s="351"/>
      <c r="G146" s="351"/>
      <c r="H146" s="351"/>
      <c r="I146" s="353">
        <f>MEXtabs!P9</f>
        <v>0.9258920135550176</v>
      </c>
      <c r="J146" s="353"/>
      <c r="K146" s="354"/>
      <c r="L146" s="354"/>
      <c r="M146" s="355">
        <f>MEXtabs!R9</f>
        <v>20.93</v>
      </c>
      <c r="N146" s="355"/>
      <c r="O146" s="356">
        <f>MEXtabs!S9</f>
        <v>1.034243431193558</v>
      </c>
      <c r="P146" s="356"/>
      <c r="Q146" s="354">
        <f>MEXtabs!T9</f>
        <v>46.203313821965558</v>
      </c>
      <c r="R146" s="354"/>
      <c r="S146" s="351">
        <f>MEXtabs!U9</f>
        <v>1.4416078706253674</v>
      </c>
      <c r="T146" s="351"/>
    </row>
    <row r="147" spans="1:20" ht="14.25" customHeight="1" x14ac:dyDescent="0.2">
      <c r="A147" s="369" t="str">
        <f>MEXtabs!L10</f>
        <v>NXA40</v>
      </c>
      <c r="B147" s="369"/>
      <c r="C147" s="369">
        <f>MEXtabs!M10</f>
        <v>40</v>
      </c>
      <c r="D147" s="369"/>
      <c r="E147" s="370">
        <f>MEXtabs!N10</f>
        <v>4</v>
      </c>
      <c r="F147" s="370"/>
      <c r="G147" s="370"/>
      <c r="H147" s="370"/>
      <c r="I147" s="371">
        <f>MEXtabs!P10</f>
        <v>1.8978864505991633</v>
      </c>
      <c r="J147" s="371"/>
      <c r="K147" s="372">
        <f>MEXtabs!Q10</f>
        <v>6.272293453927999E-2</v>
      </c>
      <c r="L147" s="372"/>
      <c r="M147" s="373">
        <f>MEXtabs!R10</f>
        <v>27.068000000000001</v>
      </c>
      <c r="N147" s="373"/>
      <c r="O147" s="374">
        <f>MEXtabs!S10</f>
        <v>0.1822076112575701</v>
      </c>
      <c r="P147" s="374"/>
      <c r="Q147" s="372">
        <f>MEXtabs!T10</f>
        <v>44.99892515741616</v>
      </c>
      <c r="R147" s="372"/>
      <c r="S147" s="370">
        <f>MEXtabs!U10</f>
        <v>1.4338042016894315</v>
      </c>
      <c r="T147" s="370"/>
    </row>
    <row r="148" spans="1:20" ht="14.25" customHeight="1" x14ac:dyDescent="0.2">
      <c r="A148" s="346" t="str">
        <f>MEXtabs!L11</f>
        <v>NXJ50</v>
      </c>
      <c r="B148" s="346"/>
      <c r="C148" s="346">
        <f>MEXtabs!M11</f>
        <v>50</v>
      </c>
      <c r="D148" s="346"/>
      <c r="E148" s="339">
        <f>MEXtabs!N11</f>
        <v>0.5</v>
      </c>
      <c r="F148" s="339"/>
      <c r="G148" s="339"/>
      <c r="H148" s="339"/>
      <c r="I148" s="347">
        <f>MEXtabs!P11</f>
        <v>0.68410318438743511</v>
      </c>
      <c r="J148" s="347"/>
      <c r="K148" s="348"/>
      <c r="L148" s="348"/>
      <c r="M148" s="349">
        <f>MEXtabs!R11</f>
        <v>19.5</v>
      </c>
      <c r="N148" s="349"/>
      <c r="O148" s="350">
        <f>MEXtabs!S11</f>
        <v>2.6952770739921679</v>
      </c>
      <c r="P148" s="350"/>
      <c r="Q148" s="348">
        <f>MEXtabs!T11</f>
        <v>47.316194322138813</v>
      </c>
      <c r="R148" s="348"/>
      <c r="S148" s="339">
        <f>MEXtabs!U11</f>
        <v>1.409275979947773</v>
      </c>
      <c r="T148" s="339"/>
    </row>
    <row r="149" spans="1:20" ht="14.25" customHeight="1" x14ac:dyDescent="0.2">
      <c r="A149" s="340" t="str">
        <f>MEXtabs!L12</f>
        <v>NXK50</v>
      </c>
      <c r="B149" s="340"/>
      <c r="C149" s="340">
        <f>MEXtabs!M12</f>
        <v>50</v>
      </c>
      <c r="D149" s="340"/>
      <c r="E149" s="341">
        <f>MEXtabs!N12</f>
        <v>1</v>
      </c>
      <c r="F149" s="341"/>
      <c r="G149" s="341"/>
      <c r="H149" s="341"/>
      <c r="I149" s="342">
        <f>MEXtabs!P12</f>
        <v>1.1174180366661788</v>
      </c>
      <c r="J149" s="342"/>
      <c r="K149" s="343"/>
      <c r="L149" s="343"/>
      <c r="M149" s="344">
        <f>MEXtabs!R12</f>
        <v>22.646000000000001</v>
      </c>
      <c r="N149" s="344"/>
      <c r="O149" s="345">
        <f>MEXtabs!S12</f>
        <v>1.5613142122232517</v>
      </c>
      <c r="P149" s="345"/>
      <c r="Q149" s="343">
        <f>MEXtabs!T12</f>
        <v>45.914809793111083</v>
      </c>
      <c r="R149" s="343"/>
      <c r="S149" s="341">
        <f>MEXtabs!U12</f>
        <v>1.4897003515081115</v>
      </c>
      <c r="T149" s="341"/>
    </row>
    <row r="150" spans="1:20" ht="14.25" customHeight="1" x14ac:dyDescent="0.2">
      <c r="A150" s="352" t="str">
        <f>MEXtabs!L13</f>
        <v>NXA50</v>
      </c>
      <c r="B150" s="352"/>
      <c r="C150" s="352">
        <f>MEXtabs!M13</f>
        <v>50</v>
      </c>
      <c r="D150" s="352"/>
      <c r="E150" s="351">
        <f>MEXtabs!N13</f>
        <v>4</v>
      </c>
      <c r="F150" s="351"/>
      <c r="G150" s="351"/>
      <c r="H150" s="351"/>
      <c r="I150" s="353">
        <f>MEXtabs!P13</f>
        <v>2.3884184190002435</v>
      </c>
      <c r="J150" s="353"/>
      <c r="K150" s="354">
        <f>MEXtabs!Q13</f>
        <v>7.9990307372596242E-2</v>
      </c>
      <c r="L150" s="354"/>
      <c r="M150" s="355">
        <f>MEXtabs!R13</f>
        <v>29.934000000000001</v>
      </c>
      <c r="N150" s="355"/>
      <c r="O150" s="356">
        <f>MEXtabs!S13</f>
        <v>0.3614711080424986</v>
      </c>
      <c r="P150" s="356"/>
      <c r="Q150" s="354">
        <f>MEXtabs!T13</f>
        <v>45.021741124033042</v>
      </c>
      <c r="R150" s="354"/>
      <c r="S150" s="351">
        <f>MEXtabs!U13</f>
        <v>1.4219866338412048</v>
      </c>
      <c r="T150" s="351"/>
    </row>
    <row r="151" spans="1:20" ht="14.25" customHeight="1" x14ac:dyDescent="0.2">
      <c r="A151" s="369" t="str">
        <f>MEXtabs!L14</f>
        <v>NXB50</v>
      </c>
      <c r="B151" s="369"/>
      <c r="C151" s="369">
        <f>MEXtabs!M14</f>
        <v>50</v>
      </c>
      <c r="D151" s="369"/>
      <c r="E151" s="370">
        <f>MEXtabs!N14</f>
        <v>4.5</v>
      </c>
      <c r="F151" s="370"/>
      <c r="G151" s="370"/>
      <c r="H151" s="370"/>
      <c r="I151" s="371">
        <f>MEXtabs!P14</f>
        <v>2.5292585864499295</v>
      </c>
      <c r="J151" s="371"/>
      <c r="K151" s="372">
        <f>MEXtabs!Q14</f>
        <v>8.4996170866672577E-2</v>
      </c>
      <c r="L151" s="372"/>
      <c r="M151" s="373">
        <f>MEXtabs!R14</f>
        <v>30.623000000000001</v>
      </c>
      <c r="N151" s="373"/>
      <c r="O151" s="374">
        <f>MEXtabs!S14</f>
        <v>0.30800964535218428</v>
      </c>
      <c r="P151" s="374"/>
      <c r="Q151" s="372">
        <f>MEXtabs!T14</f>
        <v>44.909193923534019</v>
      </c>
      <c r="R151" s="372"/>
      <c r="S151" s="370">
        <f>MEXtabs!U14</f>
        <v>1.5130712375920568</v>
      </c>
      <c r="T151" s="370"/>
    </row>
    <row r="152" spans="1:20" ht="14.25" customHeight="1" x14ac:dyDescent="0.2">
      <c r="A152" s="346" t="str">
        <f>MEXtabs!L15</f>
        <v>NXJ60</v>
      </c>
      <c r="B152" s="346"/>
      <c r="C152" s="346">
        <f>MEXtabs!M15</f>
        <v>60</v>
      </c>
      <c r="D152" s="346"/>
      <c r="E152" s="339">
        <f>MEXtabs!N15</f>
        <v>0.5</v>
      </c>
      <c r="F152" s="339"/>
      <c r="G152" s="339"/>
      <c r="H152" s="339"/>
      <c r="I152" s="347">
        <f>MEXtabs!P15</f>
        <v>0.78881379165109278</v>
      </c>
      <c r="J152" s="347"/>
      <c r="K152" s="348"/>
      <c r="L152" s="348"/>
      <c r="M152" s="349">
        <f>MEXtabs!R15</f>
        <v>20.856999999999999</v>
      </c>
      <c r="N152" s="349"/>
      <c r="O152" s="350">
        <f>MEXtabs!S15</f>
        <v>3.4163325098100352</v>
      </c>
      <c r="P152" s="350"/>
      <c r="Q152" s="348">
        <f>MEXtabs!T15</f>
        <v>46.813271686133454</v>
      </c>
      <c r="R152" s="348"/>
      <c r="S152" s="339">
        <f>MEXtabs!U15</f>
        <v>1.5437045866516637</v>
      </c>
      <c r="T152" s="339"/>
    </row>
    <row r="153" spans="1:20" ht="14.25" customHeight="1" x14ac:dyDescent="0.2">
      <c r="A153" s="340" t="str">
        <f>MEXtabs!L16</f>
        <v>NXK60</v>
      </c>
      <c r="B153" s="340"/>
      <c r="C153" s="340">
        <f>MEXtabs!M16</f>
        <v>60</v>
      </c>
      <c r="D153" s="340"/>
      <c r="E153" s="341">
        <f>MEXtabs!N16</f>
        <v>1</v>
      </c>
      <c r="F153" s="341"/>
      <c r="G153" s="341"/>
      <c r="H153" s="341"/>
      <c r="I153" s="342">
        <f>MEXtabs!P16</f>
        <v>1.2886011015031504</v>
      </c>
      <c r="J153" s="342"/>
      <c r="K153" s="343"/>
      <c r="L153" s="343"/>
      <c r="M153" s="344">
        <f>MEXtabs!R16</f>
        <v>24.094999999999999</v>
      </c>
      <c r="N153" s="344"/>
      <c r="O153" s="345">
        <f>MEXtabs!S16</f>
        <v>2.0865224861762162</v>
      </c>
      <c r="P153" s="345"/>
      <c r="Q153" s="343">
        <f>MEXtabs!T16</f>
        <v>45.792090469114378</v>
      </c>
      <c r="R153" s="343"/>
      <c r="S153" s="341">
        <f>MEXtabs!U16</f>
        <v>1.4909430730515929</v>
      </c>
      <c r="T153" s="341"/>
    </row>
    <row r="154" spans="1:20" ht="14.25" customHeight="1" x14ac:dyDescent="0.2">
      <c r="A154" s="364" t="str">
        <f>MEXtabs!L17</f>
        <v>NXA60</v>
      </c>
      <c r="B154" s="364"/>
      <c r="C154" s="364">
        <f>MEXtabs!M17</f>
        <v>60</v>
      </c>
      <c r="D154" s="364"/>
      <c r="E154" s="357">
        <f>MEXtabs!N17</f>
        <v>4</v>
      </c>
      <c r="F154" s="357"/>
      <c r="G154" s="357"/>
      <c r="H154" s="357"/>
      <c r="I154" s="365">
        <f>MEXtabs!P17</f>
        <v>2.8058625894538358</v>
      </c>
      <c r="J154" s="365"/>
      <c r="K154" s="366">
        <f>MEXtabs!Q17</f>
        <v>9.5799660048102947E-2</v>
      </c>
      <c r="L154" s="366"/>
      <c r="M154" s="367">
        <f>MEXtabs!R17</f>
        <v>32.250999999999998</v>
      </c>
      <c r="N154" s="367"/>
      <c r="O154" s="368">
        <f>MEXtabs!S17</f>
        <v>0.57233882338589537</v>
      </c>
      <c r="P154" s="368"/>
      <c r="Q154" s="366">
        <f>MEXtabs!T17</f>
        <v>45.047957186376919</v>
      </c>
      <c r="R154" s="366"/>
      <c r="S154" s="357">
        <f>MEXtabs!U17</f>
        <v>1.4116061881764499</v>
      </c>
      <c r="T154" s="357"/>
    </row>
    <row r="155" spans="1:20" ht="14.25" customHeight="1" x14ac:dyDescent="0.2">
      <c r="A155" s="358" t="str">
        <f>MEXtabs!L18</f>
        <v>NXJ70</v>
      </c>
      <c r="B155" s="358"/>
      <c r="C155" s="358">
        <f>MEXtabs!M18</f>
        <v>70</v>
      </c>
      <c r="D155" s="358"/>
      <c r="E155" s="359">
        <f>MEXtabs!N18</f>
        <v>0.5</v>
      </c>
      <c r="F155" s="359"/>
      <c r="G155" s="359"/>
      <c r="H155" s="359"/>
      <c r="I155" s="360">
        <f>MEXtabs!P18</f>
        <v>0.89521104032277998</v>
      </c>
      <c r="J155" s="360"/>
      <c r="K155" s="361"/>
      <c r="L155" s="361"/>
      <c r="M155" s="362">
        <f>MEXtabs!R18</f>
        <v>22.146999999999998</v>
      </c>
      <c r="N155" s="362"/>
      <c r="O155" s="363">
        <f>MEXtabs!S18</f>
        <v>4.0877931084538499</v>
      </c>
      <c r="P155" s="363"/>
      <c r="Q155" s="361">
        <f>MEXtabs!T18</f>
        <v>46.58433497953672</v>
      </c>
      <c r="R155" s="361"/>
      <c r="S155" s="359">
        <f>MEXtabs!U18</f>
        <v>1.419811453662847</v>
      </c>
      <c r="T155" s="359"/>
    </row>
    <row r="156" spans="1:20" ht="14.25" customHeight="1" x14ac:dyDescent="0.2">
      <c r="A156" s="352" t="str">
        <f>MEXtabs!L19</f>
        <v>NXK70</v>
      </c>
      <c r="B156" s="352"/>
      <c r="C156" s="352">
        <f>MEXtabs!M19</f>
        <v>70</v>
      </c>
      <c r="D156" s="352"/>
      <c r="E156" s="351">
        <f>MEXtabs!N19</f>
        <v>1</v>
      </c>
      <c r="F156" s="351"/>
      <c r="G156" s="351"/>
      <c r="H156" s="351"/>
      <c r="I156" s="353">
        <f>MEXtabs!P19</f>
        <v>1.4584444510077763</v>
      </c>
      <c r="J156" s="353"/>
      <c r="K156" s="354"/>
      <c r="L156" s="354"/>
      <c r="M156" s="355">
        <f>MEXtabs!R19</f>
        <v>25.442</v>
      </c>
      <c r="N156" s="355"/>
      <c r="O156" s="356">
        <f>MEXtabs!S19</f>
        <v>2.6003102271979963</v>
      </c>
      <c r="P156" s="356"/>
      <c r="Q156" s="354">
        <f>MEXtabs!T19</f>
        <v>45.625916563366793</v>
      </c>
      <c r="R156" s="354"/>
      <c r="S156" s="351">
        <f>MEXtabs!U19</f>
        <v>1.4130543228107475</v>
      </c>
      <c r="T156" s="351"/>
    </row>
    <row r="157" spans="1:20" ht="14.25" customHeight="1" x14ac:dyDescent="0.2">
      <c r="A157" s="340" t="str">
        <f>MEXtabs!L20</f>
        <v>NXA70</v>
      </c>
      <c r="B157" s="340"/>
      <c r="C157" s="340">
        <f>MEXtabs!M20</f>
        <v>70</v>
      </c>
      <c r="D157" s="340"/>
      <c r="E157" s="341">
        <f>MEXtabs!N20</f>
        <v>4</v>
      </c>
      <c r="F157" s="341"/>
      <c r="G157" s="341"/>
      <c r="H157" s="341"/>
      <c r="I157" s="342">
        <f>MEXtabs!P20</f>
        <v>3.1929733252964523</v>
      </c>
      <c r="J157" s="342"/>
      <c r="K157" s="343">
        <f>MEXtabs!Q20</f>
        <v>0.11135967269909675</v>
      </c>
      <c r="L157" s="343"/>
      <c r="M157" s="344">
        <f>MEXtabs!R20</f>
        <v>34.274999999999999</v>
      </c>
      <c r="N157" s="344"/>
      <c r="O157" s="345">
        <f>MEXtabs!S20</f>
        <v>0.80408604444712184</v>
      </c>
      <c r="P157" s="345"/>
      <c r="Q157" s="343">
        <f>MEXtabs!T20</f>
        <v>44.974926824133554</v>
      </c>
      <c r="R157" s="343"/>
      <c r="S157" s="341">
        <f>MEXtabs!U20</f>
        <v>1.4210667981440146</v>
      </c>
      <c r="T157" s="341"/>
    </row>
    <row r="158" spans="1:20" ht="14.25" customHeight="1" x14ac:dyDescent="0.2">
      <c r="A158" s="352" t="str">
        <f>MEXtabs!L21</f>
        <v>NXB70</v>
      </c>
      <c r="B158" s="352"/>
      <c r="C158" s="352">
        <f>MEXtabs!M21</f>
        <v>70</v>
      </c>
      <c r="D158" s="352"/>
      <c r="E158" s="351">
        <f>MEXtabs!N21</f>
        <v>4.5</v>
      </c>
      <c r="F158" s="351"/>
      <c r="G158" s="351"/>
      <c r="H158" s="351"/>
      <c r="I158" s="353">
        <f>MEXtabs!P21</f>
        <v>3.3915742452383575</v>
      </c>
      <c r="J158" s="353"/>
      <c r="K158" s="354">
        <f>MEXtabs!Q21</f>
        <v>0.11942976937282476</v>
      </c>
      <c r="L158" s="354"/>
      <c r="M158" s="355">
        <f>MEXtabs!R21</f>
        <v>35.19</v>
      </c>
      <c r="N158" s="355"/>
      <c r="O158" s="356">
        <f>MEXtabs!S21</f>
        <v>0.70900434167113335</v>
      </c>
      <c r="P158" s="356"/>
      <c r="Q158" s="354">
        <f>MEXtabs!T21</f>
        <v>44.93060349187283</v>
      </c>
      <c r="R158" s="354"/>
      <c r="S158" s="351">
        <f>MEXtabs!U21</f>
        <v>1.4133923818326815</v>
      </c>
      <c r="T158" s="351"/>
    </row>
    <row r="159" spans="1:20" ht="14.25" customHeight="1" x14ac:dyDescent="0.2">
      <c r="A159" s="340" t="str">
        <f>MEXtabs!L22</f>
        <v>NXC70</v>
      </c>
      <c r="B159" s="340"/>
      <c r="C159" s="340">
        <f>MEXtabs!M22</f>
        <v>70</v>
      </c>
      <c r="D159" s="340"/>
      <c r="E159" s="341">
        <f>MEXtabs!N22</f>
        <v>6</v>
      </c>
      <c r="F159" s="341"/>
      <c r="G159" s="341"/>
      <c r="H159" s="341"/>
      <c r="I159" s="342">
        <f>MEXtabs!P22</f>
        <v>3.9520687461764625</v>
      </c>
      <c r="J159" s="342"/>
      <c r="K159" s="343">
        <f>MEXtabs!Q22</f>
        <v>0.14140515813491988</v>
      </c>
      <c r="L159" s="343"/>
      <c r="M159" s="344">
        <f>MEXtabs!R22</f>
        <v>37.509</v>
      </c>
      <c r="N159" s="344"/>
      <c r="O159" s="345">
        <f>MEXtabs!S22</f>
        <v>0.50733597196581537</v>
      </c>
      <c r="P159" s="345"/>
      <c r="Q159" s="343">
        <f>MEXtabs!T22</f>
        <v>44.834642207686024</v>
      </c>
      <c r="R159" s="343"/>
      <c r="S159" s="341">
        <f>MEXtabs!U22</f>
        <v>1.5176303105731503</v>
      </c>
      <c r="T159" s="341"/>
    </row>
    <row r="160" spans="1:20" ht="14.25" customHeight="1" x14ac:dyDescent="0.2">
      <c r="A160" s="346" t="str">
        <f>MEXtabs!L23</f>
        <v>NXJ80</v>
      </c>
      <c r="B160" s="346"/>
      <c r="C160" s="346">
        <f>MEXtabs!M23</f>
        <v>80</v>
      </c>
      <c r="D160" s="346"/>
      <c r="E160" s="339">
        <f>MEXtabs!N23</f>
        <v>0.5</v>
      </c>
      <c r="F160" s="339"/>
      <c r="G160" s="339"/>
      <c r="H160" s="339"/>
      <c r="I160" s="347">
        <f>MEXtabs!P23</f>
        <v>1.0168942180395382</v>
      </c>
      <c r="J160" s="347"/>
      <c r="K160" s="348"/>
      <c r="L160" s="348"/>
      <c r="M160" s="349">
        <f>MEXtabs!R23</f>
        <v>23.48</v>
      </c>
      <c r="N160" s="349"/>
      <c r="O160" s="350">
        <f>MEXtabs!S23</f>
        <v>4.7437535740075889</v>
      </c>
      <c r="P160" s="350"/>
      <c r="Q160" s="348">
        <f>MEXtabs!T23</f>
        <v>46.356066401222279</v>
      </c>
      <c r="R160" s="348"/>
      <c r="S160" s="339">
        <f>MEXtabs!U23</f>
        <v>1.450158296727728</v>
      </c>
      <c r="T160" s="339"/>
    </row>
    <row r="161" spans="1:20" ht="14.25" customHeight="1" x14ac:dyDescent="0.2">
      <c r="A161" s="340" t="str">
        <f>MEXtabs!L24</f>
        <v>NXK80</v>
      </c>
      <c r="B161" s="340"/>
      <c r="C161" s="340">
        <f>MEXtabs!M24</f>
        <v>80</v>
      </c>
      <c r="D161" s="340"/>
      <c r="E161" s="341">
        <f>MEXtabs!N24</f>
        <v>1</v>
      </c>
      <c r="F161" s="341"/>
      <c r="G161" s="341"/>
      <c r="H161" s="341"/>
      <c r="I161" s="342">
        <f>MEXtabs!P24</f>
        <v>1.6431678445072386</v>
      </c>
      <c r="J161" s="342"/>
      <c r="K161" s="343"/>
      <c r="L161" s="343"/>
      <c r="M161" s="344">
        <f>MEXtabs!R24</f>
        <v>26.841999999999999</v>
      </c>
      <c r="N161" s="344"/>
      <c r="O161" s="345">
        <f>MEXtabs!S24</f>
        <v>3.1295609369477901</v>
      </c>
      <c r="P161" s="345"/>
      <c r="Q161" s="343">
        <f>MEXtabs!T24</f>
        <v>45.516912000756918</v>
      </c>
      <c r="R161" s="343"/>
      <c r="S161" s="341">
        <f>MEXtabs!U24</f>
        <v>1.4292874414335843</v>
      </c>
      <c r="T161" s="341"/>
    </row>
    <row r="162" spans="1:20" ht="14.25" customHeight="1" x14ac:dyDescent="0.2">
      <c r="A162" s="364" t="str">
        <f>MEXtabs!L25</f>
        <v>NXA80</v>
      </c>
      <c r="B162" s="364"/>
      <c r="C162" s="364">
        <f>MEXtabs!M25</f>
        <v>80</v>
      </c>
      <c r="D162" s="364"/>
      <c r="E162" s="357">
        <f>MEXtabs!N25</f>
        <v>4</v>
      </c>
      <c r="F162" s="357"/>
      <c r="G162" s="357"/>
      <c r="H162" s="357"/>
      <c r="I162" s="365">
        <f>MEXtabs!P25</f>
        <v>3.6197123995759788</v>
      </c>
      <c r="J162" s="365"/>
      <c r="K162" s="366">
        <f>MEXtabs!Q25</f>
        <v>0.12923885884326811</v>
      </c>
      <c r="L162" s="366"/>
      <c r="M162" s="367">
        <f>MEXtabs!R25</f>
        <v>36.328000000000003</v>
      </c>
      <c r="N162" s="367"/>
      <c r="O162" s="368">
        <f>MEXtabs!S25</f>
        <v>1.0720231883905915</v>
      </c>
      <c r="P162" s="368"/>
      <c r="Q162" s="366">
        <f>MEXtabs!T25</f>
        <v>44.884206076157788</v>
      </c>
      <c r="R162" s="366"/>
      <c r="S162" s="357">
        <f>MEXtabs!U25</f>
        <v>1.4050303855848547</v>
      </c>
      <c r="T162" s="357"/>
    </row>
    <row r="163" spans="1:20" ht="14.25" customHeight="1" x14ac:dyDescent="0.2">
      <c r="A163" s="358" t="str">
        <f>MEXtabs!L26</f>
        <v>NXJ90</v>
      </c>
      <c r="B163" s="358"/>
      <c r="C163" s="358">
        <f>MEXtabs!M26</f>
        <v>90</v>
      </c>
      <c r="D163" s="358"/>
      <c r="E163" s="359">
        <f>MEXtabs!N26</f>
        <v>0.5</v>
      </c>
      <c r="F163" s="359"/>
      <c r="G163" s="359"/>
      <c r="H163" s="359"/>
      <c r="I163" s="360">
        <f>MEXtabs!P26</f>
        <v>1.1524525686905205</v>
      </c>
      <c r="J163" s="360"/>
      <c r="K163" s="361"/>
      <c r="L163" s="361"/>
      <c r="M163" s="362">
        <f>MEXtabs!R26</f>
        <v>24.878</v>
      </c>
      <c r="N163" s="362"/>
      <c r="O163" s="363">
        <f>MEXtabs!S26</f>
        <v>5.3832626952945777</v>
      </c>
      <c r="P163" s="363"/>
      <c r="Q163" s="361">
        <f>MEXtabs!T26</f>
        <v>46.158010183854593</v>
      </c>
      <c r="R163" s="361"/>
      <c r="S163" s="359">
        <f>MEXtabs!U26</f>
        <v>1.4321845744595318</v>
      </c>
      <c r="T163" s="359"/>
    </row>
    <row r="164" spans="1:20" ht="14.25" customHeight="1" x14ac:dyDescent="0.2">
      <c r="A164" s="352" t="str">
        <f>MEXtabs!L27</f>
        <v>NXK90</v>
      </c>
      <c r="B164" s="352"/>
      <c r="C164" s="352">
        <f>MEXtabs!M27</f>
        <v>90</v>
      </c>
      <c r="D164" s="352"/>
      <c r="E164" s="351">
        <f>MEXtabs!N27</f>
        <v>1</v>
      </c>
      <c r="F164" s="351"/>
      <c r="G164" s="351"/>
      <c r="H164" s="351"/>
      <c r="I164" s="353">
        <f>MEXtabs!P27</f>
        <v>1.8393319677543469</v>
      </c>
      <c r="J164" s="353"/>
      <c r="K164" s="354"/>
      <c r="L164" s="354"/>
      <c r="M164" s="355">
        <f>MEXtabs!R27</f>
        <v>28.32</v>
      </c>
      <c r="N164" s="355"/>
      <c r="O164" s="356">
        <f>MEXtabs!S27</f>
        <v>3.6672679398537964</v>
      </c>
      <c r="P164" s="356"/>
      <c r="Q164" s="354">
        <f>MEXtabs!T27</f>
        <v>45.379279329759093</v>
      </c>
      <c r="R164" s="354"/>
      <c r="S164" s="351">
        <f>MEXtabs!U27</f>
        <v>1.4208597684562358</v>
      </c>
      <c r="T164" s="351"/>
    </row>
    <row r="165" spans="1:20" ht="14.25" customHeight="1" x14ac:dyDescent="0.2">
      <c r="A165" s="340" t="str">
        <f>MEXtabs!L28</f>
        <v>NXA90</v>
      </c>
      <c r="B165" s="340"/>
      <c r="C165" s="340">
        <f>MEXtabs!M28</f>
        <v>90</v>
      </c>
      <c r="D165" s="340"/>
      <c r="E165" s="341">
        <f>MEXtabs!N28</f>
        <v>4</v>
      </c>
      <c r="F165" s="341"/>
      <c r="G165" s="341"/>
      <c r="H165" s="341"/>
      <c r="I165" s="342">
        <f>MEXtabs!P28</f>
        <v>4.0393687541302778</v>
      </c>
      <c r="J165" s="342"/>
      <c r="K165" s="343">
        <f>MEXtabs!Q28</f>
        <v>0.14848211806760514</v>
      </c>
      <c r="L165" s="343"/>
      <c r="M165" s="344">
        <f>MEXtabs!R28</f>
        <v>38.384999999999998</v>
      </c>
      <c r="N165" s="344"/>
      <c r="O165" s="345">
        <f>MEXtabs!S28</f>
        <v>1.3708996048300812</v>
      </c>
      <c r="P165" s="345"/>
      <c r="Q165" s="343">
        <f>MEXtabs!T28</f>
        <v>44.84083069639663</v>
      </c>
      <c r="R165" s="343"/>
      <c r="S165" s="341">
        <f>MEXtabs!U28</f>
        <v>1.4118196011613038</v>
      </c>
      <c r="T165" s="341"/>
    </row>
    <row r="166" spans="1:20" ht="14.25" customHeight="1" x14ac:dyDescent="0.2">
      <c r="A166" s="346" t="str">
        <f>MEXtabs!L29</f>
        <v>NXJ100</v>
      </c>
      <c r="B166" s="346"/>
      <c r="C166" s="346">
        <f>MEXtabs!M29</f>
        <v>100</v>
      </c>
      <c r="D166" s="346"/>
      <c r="E166" s="339">
        <f>MEXtabs!N29</f>
        <v>0.5</v>
      </c>
      <c r="F166" s="339"/>
      <c r="G166" s="339"/>
      <c r="H166" s="339"/>
      <c r="I166" s="347">
        <f>MEXtabs!P29</f>
        <v>1.3031305701207649</v>
      </c>
      <c r="J166" s="347"/>
      <c r="K166" s="348"/>
      <c r="L166" s="348"/>
      <c r="M166" s="349">
        <f>MEXtabs!R29</f>
        <v>26.34</v>
      </c>
      <c r="N166" s="349"/>
      <c r="O166" s="350">
        <f>MEXtabs!S29</f>
        <v>6.0072442583076713</v>
      </c>
      <c r="P166" s="350"/>
      <c r="Q166" s="348">
        <f>MEXtabs!T29</f>
        <v>45.974847556635403</v>
      </c>
      <c r="R166" s="348"/>
      <c r="S166" s="339">
        <f>MEXtabs!U29</f>
        <v>1.4127143672543812</v>
      </c>
      <c r="T166" s="339"/>
    </row>
    <row r="167" spans="1:20" ht="14.25" customHeight="1" x14ac:dyDescent="0.2">
      <c r="A167" s="340" t="str">
        <f>MEXtabs!L30</f>
        <v>NXK100</v>
      </c>
      <c r="B167" s="340"/>
      <c r="C167" s="340">
        <f>MEXtabs!M30</f>
        <v>100</v>
      </c>
      <c r="D167" s="340"/>
      <c r="E167" s="341">
        <f>MEXtabs!N30</f>
        <v>1</v>
      </c>
      <c r="F167" s="341"/>
      <c r="G167" s="341"/>
      <c r="H167" s="341"/>
      <c r="I167" s="342">
        <f>MEXtabs!P30</f>
        <v>2.0480553989194346</v>
      </c>
      <c r="J167" s="342"/>
      <c r="K167" s="343"/>
      <c r="L167" s="343"/>
      <c r="M167" s="344">
        <f>MEXtabs!R30</f>
        <v>29.867000000000001</v>
      </c>
      <c r="N167" s="344"/>
      <c r="O167" s="345">
        <f>MEXtabs!S30</f>
        <v>4.2111287232273407</v>
      </c>
      <c r="P167" s="345"/>
      <c r="Q167" s="343">
        <f>MEXtabs!T30</f>
        <v>45.340349958431013</v>
      </c>
      <c r="R167" s="343"/>
      <c r="S167" s="341">
        <f>MEXtabs!U30</f>
        <v>1.4193404688614863</v>
      </c>
      <c r="T167" s="341"/>
    </row>
    <row r="168" spans="1:20" ht="14.25" customHeight="1" x14ac:dyDescent="0.2">
      <c r="A168" s="352" t="str">
        <f>MEXtabs!L31</f>
        <v>NXB100</v>
      </c>
      <c r="B168" s="352"/>
      <c r="C168" s="352">
        <f>MEXtabs!M31</f>
        <v>100</v>
      </c>
      <c r="D168" s="352"/>
      <c r="E168" s="351">
        <f>MEXtabs!N31</f>
        <v>4.5</v>
      </c>
      <c r="F168" s="351"/>
      <c r="G168" s="351"/>
      <c r="H168" s="351"/>
      <c r="I168" s="353">
        <f>MEXtabs!P31</f>
        <v>4.7352150332082985</v>
      </c>
      <c r="J168" s="353"/>
      <c r="K168" s="354">
        <f>MEXtabs!Q31</f>
        <v>0.18268575344478749</v>
      </c>
      <c r="L168" s="354"/>
      <c r="M168" s="355">
        <f>MEXtabs!R31</f>
        <v>41.587000000000003</v>
      </c>
      <c r="N168" s="355"/>
      <c r="O168" s="356">
        <f>MEXtabs!S31</f>
        <v>1.5383545199985422</v>
      </c>
      <c r="P168" s="356"/>
      <c r="Q168" s="354">
        <f>MEXtabs!T31</f>
        <v>44.778484986701471</v>
      </c>
      <c r="R168" s="354"/>
      <c r="S168" s="351">
        <f>MEXtabs!U31</f>
        <v>1.4040446675332428</v>
      </c>
      <c r="T168" s="351"/>
    </row>
    <row r="169" spans="1:20" ht="14.25" customHeight="1" x14ac:dyDescent="0.2">
      <c r="A169" s="340" t="str">
        <f>MEXtabs!L32</f>
        <v>NXC100</v>
      </c>
      <c r="B169" s="340"/>
      <c r="C169" s="340">
        <f>MEXtabs!M32</f>
        <v>100</v>
      </c>
      <c r="D169" s="340"/>
      <c r="E169" s="341">
        <f>MEXtabs!N32</f>
        <v>6</v>
      </c>
      <c r="F169" s="341"/>
      <c r="G169" s="341"/>
      <c r="H169" s="341"/>
      <c r="I169" s="342">
        <f>MEXtabs!P32</f>
        <v>5.4850226957751094</v>
      </c>
      <c r="J169" s="342"/>
      <c r="K169" s="343">
        <f>MEXtabs!Q32</f>
        <v>0.221397651099389</v>
      </c>
      <c r="L169" s="343"/>
      <c r="M169" s="344">
        <f>MEXtabs!R32</f>
        <v>44.582999999999998</v>
      </c>
      <c r="N169" s="344"/>
      <c r="O169" s="345">
        <f>MEXtabs!S32</f>
        <v>1.1930132213047684</v>
      </c>
      <c r="P169" s="345"/>
      <c r="Q169" s="343">
        <f>MEXtabs!T32</f>
        <v>44.731165114354809</v>
      </c>
      <c r="R169" s="343"/>
      <c r="S169" s="341">
        <f>MEXtabs!U32</f>
        <v>1.4424580662728919</v>
      </c>
      <c r="T169" s="341"/>
    </row>
    <row r="170" spans="1:20" ht="14.25" customHeight="1" x14ac:dyDescent="0.2">
      <c r="A170" s="364" t="str">
        <f>MEXtabs!L33</f>
        <v>NXD100</v>
      </c>
      <c r="B170" s="364"/>
      <c r="C170" s="364">
        <f>MEXtabs!M33</f>
        <v>100</v>
      </c>
      <c r="D170" s="364"/>
      <c r="E170" s="357">
        <f>MEXtabs!N33</f>
        <v>9</v>
      </c>
      <c r="F170" s="357"/>
      <c r="G170" s="357"/>
      <c r="H170" s="357"/>
      <c r="I170" s="365">
        <f>MEXtabs!P33</f>
        <v>6.6136409012352111</v>
      </c>
      <c r="J170" s="365"/>
      <c r="K170" s="366">
        <f>MEXtabs!Q33</f>
        <v>0.29051611469154731</v>
      </c>
      <c r="L170" s="366"/>
      <c r="M170" s="367">
        <f>MEXtabs!R33</f>
        <v>49.084000000000003</v>
      </c>
      <c r="N170" s="367"/>
      <c r="O170" s="368">
        <f>MEXtabs!S33</f>
        <v>0.79054994032354275</v>
      </c>
      <c r="P170" s="368"/>
      <c r="Q170" s="366">
        <f>MEXtabs!T33</f>
        <v>44.632603356945602</v>
      </c>
      <c r="R170" s="366"/>
      <c r="S170" s="357">
        <f>MEXtabs!U33</f>
        <v>1.4403549584723627</v>
      </c>
      <c r="T170" s="357"/>
    </row>
    <row r="171" spans="1:20" ht="14.25" customHeight="1" x14ac:dyDescent="0.2">
      <c r="A171" s="340" t="str">
        <f>MEXtabs!L34</f>
        <v>NXB120</v>
      </c>
      <c r="B171" s="340"/>
      <c r="C171" s="340">
        <f>MEXtabs!M34</f>
        <v>120</v>
      </c>
      <c r="D171" s="340"/>
      <c r="E171" s="341">
        <f>MEXtabs!N34</f>
        <v>4.5</v>
      </c>
      <c r="F171" s="341"/>
      <c r="G171" s="341"/>
      <c r="H171" s="341"/>
      <c r="I171" s="342">
        <f>MEXtabs!P34</f>
        <v>5.5559969759148071</v>
      </c>
      <c r="J171" s="342"/>
      <c r="K171" s="343">
        <f>MEXtabs!Q34</f>
        <v>0.22971681375447262</v>
      </c>
      <c r="L171" s="343"/>
      <c r="M171" s="344">
        <f>MEXtabs!R34</f>
        <v>45.744</v>
      </c>
      <c r="N171" s="344"/>
      <c r="O171" s="345">
        <f>MEXtabs!S34</f>
        <v>2.2136133591294311</v>
      </c>
      <c r="P171" s="345"/>
      <c r="Q171" s="343">
        <f>MEXtabs!T34</f>
        <v>44.639950752706113</v>
      </c>
      <c r="R171" s="343"/>
      <c r="S171" s="341">
        <f>MEXtabs!U34</f>
        <v>1.4134053534065081</v>
      </c>
      <c r="T171" s="341"/>
    </row>
    <row r="172" spans="1:20" ht="14.25" customHeight="1" x14ac:dyDescent="0.2">
      <c r="A172" s="352" t="str">
        <f>MEXtabs!L35</f>
        <v>NXC120</v>
      </c>
      <c r="B172" s="352"/>
      <c r="C172" s="352">
        <f>MEXtabs!M35</f>
        <v>120</v>
      </c>
      <c r="D172" s="352"/>
      <c r="E172" s="351">
        <f>MEXtabs!N35</f>
        <v>6</v>
      </c>
      <c r="F172" s="351"/>
      <c r="G172" s="351"/>
      <c r="H172" s="351"/>
      <c r="I172" s="353">
        <f>MEXtabs!P35</f>
        <v>6.3769778478391608</v>
      </c>
      <c r="J172" s="353"/>
      <c r="K172" s="354">
        <f>MEXtabs!Q35</f>
        <v>0.28062311390349393</v>
      </c>
      <c r="L172" s="354"/>
      <c r="M172" s="355">
        <f>MEXtabs!R35</f>
        <v>48.945</v>
      </c>
      <c r="N172" s="355"/>
      <c r="O172" s="356">
        <f>MEXtabs!S35</f>
        <v>1.7719286135797616</v>
      </c>
      <c r="P172" s="356"/>
      <c r="Q172" s="354">
        <f>MEXtabs!T35</f>
        <v>44.596340368679414</v>
      </c>
      <c r="R172" s="354"/>
      <c r="S172" s="351">
        <f>MEXtabs!U35</f>
        <v>1.4061150802800539</v>
      </c>
      <c r="T172" s="351"/>
    </row>
    <row r="173" spans="1:20" ht="14.25" customHeight="1" x14ac:dyDescent="0.2">
      <c r="A173" s="340" t="str">
        <f>MEXtabs!L36</f>
        <v>NXD120</v>
      </c>
      <c r="B173" s="340"/>
      <c r="C173" s="340">
        <f>MEXtabs!M36</f>
        <v>120</v>
      </c>
      <c r="D173" s="340"/>
      <c r="E173" s="341">
        <f>MEXtabs!N36</f>
        <v>9</v>
      </c>
      <c r="F173" s="341"/>
      <c r="G173" s="341"/>
      <c r="H173" s="341"/>
      <c r="I173" s="342">
        <f>MEXtabs!P36</f>
        <v>7.588179482309295</v>
      </c>
      <c r="J173" s="342"/>
      <c r="K173" s="343">
        <f>MEXtabs!Q36</f>
        <v>0.36809931938124019</v>
      </c>
      <c r="L173" s="343"/>
      <c r="M173" s="344">
        <f>MEXtabs!R36</f>
        <v>53.752000000000002</v>
      </c>
      <c r="N173" s="344"/>
      <c r="O173" s="345">
        <f>MEXtabs!S36</f>
        <v>1.2349139271951406</v>
      </c>
      <c r="P173" s="345"/>
      <c r="Q173" s="343">
        <f>MEXtabs!T36</f>
        <v>44.507133371596417</v>
      </c>
      <c r="R173" s="343"/>
      <c r="S173" s="341">
        <f>MEXtabs!U36</f>
        <v>1.4107132067323704</v>
      </c>
      <c r="T173" s="341"/>
    </row>
    <row r="174" spans="1:20" ht="14.25" customHeight="1" x14ac:dyDescent="0.2">
      <c r="A174" s="364" t="str">
        <f>MEXtabs!L37</f>
        <v>NXE120</v>
      </c>
      <c r="B174" s="364"/>
      <c r="C174" s="364">
        <f>MEXtabs!M37</f>
        <v>120</v>
      </c>
      <c r="D174" s="364"/>
      <c r="E174" s="357">
        <f>MEXtabs!N37</f>
        <v>4</v>
      </c>
      <c r="F174" s="357"/>
      <c r="G174" s="357">
        <f>MEXtabs!O37</f>
        <v>0.5</v>
      </c>
      <c r="H174" s="357"/>
      <c r="I174" s="365">
        <f>MEXtabs!P37</f>
        <v>10.310491894063471</v>
      </c>
      <c r="J174" s="365"/>
      <c r="K174" s="366">
        <f>MEXtabs!Q37</f>
        <v>0.6348381723836316</v>
      </c>
      <c r="L174" s="366"/>
      <c r="M174" s="367">
        <f>MEXtabs!R37</f>
        <v>65</v>
      </c>
      <c r="N174" s="367"/>
      <c r="O174" s="368">
        <f>MEXtabs!S37</f>
        <v>0.7386386201048456</v>
      </c>
      <c r="P174" s="368"/>
      <c r="Q174" s="366">
        <f>MEXtabs!T37</f>
        <v>44.240487322441858</v>
      </c>
      <c r="R174" s="366"/>
      <c r="S174" s="357">
        <f>MEXtabs!U37</f>
        <v>1.4415304522257479</v>
      </c>
      <c r="T174" s="357"/>
    </row>
    <row r="175" spans="1:20" ht="14.25" customHeight="1" x14ac:dyDescent="0.2">
      <c r="A175" s="358" t="str">
        <f>MEXtabs!L38</f>
        <v>NXB140</v>
      </c>
      <c r="B175" s="358"/>
      <c r="C175" s="358">
        <f>MEXtabs!M38</f>
        <v>140</v>
      </c>
      <c r="D175" s="358"/>
      <c r="E175" s="359">
        <f>MEXtabs!N38</f>
        <v>4.5</v>
      </c>
      <c r="F175" s="359"/>
      <c r="G175" s="359"/>
      <c r="H175" s="359"/>
      <c r="I175" s="360">
        <f>MEXtabs!P38</f>
        <v>6.3330445132980557</v>
      </c>
      <c r="J175" s="360"/>
      <c r="K175" s="361">
        <f>MEXtabs!Q38</f>
        <v>0.28214314856452327</v>
      </c>
      <c r="L175" s="361"/>
      <c r="M175" s="362">
        <f>MEXtabs!R38</f>
        <v>49.868000000000002</v>
      </c>
      <c r="N175" s="362"/>
      <c r="O175" s="363">
        <f>MEXtabs!S38</f>
        <v>2.9682801649107224</v>
      </c>
      <c r="P175" s="363"/>
      <c r="Q175" s="361">
        <f>MEXtabs!T38</f>
        <v>44.472387610906146</v>
      </c>
      <c r="R175" s="361"/>
      <c r="S175" s="359">
        <f>MEXtabs!U38</f>
        <v>1.4506522576503247</v>
      </c>
      <c r="T175" s="359"/>
    </row>
    <row r="176" spans="1:20" ht="14.25" customHeight="1" x14ac:dyDescent="0.2">
      <c r="A176" s="352" t="str">
        <f>MEXtabs!L39</f>
        <v>NXC140</v>
      </c>
      <c r="B176" s="352"/>
      <c r="C176" s="352">
        <f>MEXtabs!M39</f>
        <v>140</v>
      </c>
      <c r="D176" s="352"/>
      <c r="E176" s="351">
        <f>MEXtabs!N39</f>
        <v>6</v>
      </c>
      <c r="F176" s="351"/>
      <c r="G176" s="351"/>
      <c r="H176" s="351"/>
      <c r="I176" s="353">
        <f>MEXtabs!P39</f>
        <v>7.1952322413084104</v>
      </c>
      <c r="J176" s="353"/>
      <c r="K176" s="354">
        <f>MEXtabs!Q39</f>
        <v>0.34467534185441145</v>
      </c>
      <c r="L176" s="354"/>
      <c r="M176" s="355">
        <f>MEXtabs!R39</f>
        <v>53.139000000000003</v>
      </c>
      <c r="N176" s="355"/>
      <c r="O176" s="356">
        <f>MEXtabs!S39</f>
        <v>2.4336719317072095</v>
      </c>
      <c r="P176" s="356"/>
      <c r="Q176" s="354">
        <f>MEXtabs!T39</f>
        <v>44.43867098352041</v>
      </c>
      <c r="R176" s="354"/>
      <c r="S176" s="351">
        <f>MEXtabs!U39</f>
        <v>1.4082816454668357</v>
      </c>
      <c r="T176" s="351"/>
    </row>
    <row r="177" spans="1:20" ht="14.25" customHeight="1" x14ac:dyDescent="0.2">
      <c r="A177" s="340" t="str">
        <f>MEXtabs!L40</f>
        <v>NXD140</v>
      </c>
      <c r="B177" s="340"/>
      <c r="C177" s="340">
        <f>MEXtabs!M40</f>
        <v>140</v>
      </c>
      <c r="D177" s="340"/>
      <c r="E177" s="341">
        <f>MEXtabs!N40</f>
        <v>9</v>
      </c>
      <c r="F177" s="341"/>
      <c r="G177" s="341"/>
      <c r="H177" s="341"/>
      <c r="I177" s="342">
        <f>MEXtabs!P40</f>
        <v>8.4359614589862257</v>
      </c>
      <c r="J177" s="342"/>
      <c r="K177" s="343">
        <f>MEXtabs!Q40</f>
        <v>0.45081671702125536</v>
      </c>
      <c r="L177" s="343"/>
      <c r="M177" s="344">
        <f>MEXtabs!R40</f>
        <v>58.063000000000002</v>
      </c>
      <c r="N177" s="344"/>
      <c r="O177" s="345">
        <f>MEXtabs!S40</f>
        <v>1.7579510853719673</v>
      </c>
      <c r="P177" s="345"/>
      <c r="Q177" s="343">
        <f>MEXtabs!T40</f>
        <v>44.384979291011668</v>
      </c>
      <c r="R177" s="343"/>
      <c r="S177" s="341">
        <f>MEXtabs!U40</f>
        <v>1.4142613521154321</v>
      </c>
      <c r="T177" s="341"/>
    </row>
    <row r="178" spans="1:20" ht="14.25" customHeight="1" x14ac:dyDescent="0.2">
      <c r="A178" s="352" t="str">
        <f>MEXtabs!L41</f>
        <v>NXE140</v>
      </c>
      <c r="B178" s="352"/>
      <c r="C178" s="352">
        <f>MEXtabs!M41</f>
        <v>140</v>
      </c>
      <c r="D178" s="352"/>
      <c r="E178" s="351">
        <f>MEXtabs!N41</f>
        <v>4</v>
      </c>
      <c r="F178" s="351"/>
      <c r="G178" s="351">
        <f>MEXtabs!O41</f>
        <v>0.5</v>
      </c>
      <c r="H178" s="351"/>
      <c r="I178" s="353"/>
      <c r="J178" s="353"/>
      <c r="K178" s="354">
        <f>MEXtabs!Q41</f>
        <v>0.76915213495507195</v>
      </c>
      <c r="L178" s="354"/>
      <c r="M178" s="355">
        <f>MEXtabs!R41</f>
        <v>69.849999999999994</v>
      </c>
      <c r="N178" s="355"/>
      <c r="O178" s="356">
        <f>MEXtabs!S41</f>
        <v>1.1570271375335528</v>
      </c>
      <c r="P178" s="356"/>
      <c r="Q178" s="354">
        <f>MEXtabs!T41</f>
        <v>44.18764444505527</v>
      </c>
      <c r="R178" s="354"/>
      <c r="S178" s="351">
        <f>MEXtabs!U41</f>
        <v>1.4485562449477845</v>
      </c>
      <c r="T178" s="351"/>
    </row>
    <row r="179" spans="1:20" ht="14.25" customHeight="1" x14ac:dyDescent="0.2">
      <c r="A179" s="369" t="str">
        <f>MEXtabs!L42</f>
        <v>NXF140</v>
      </c>
      <c r="B179" s="369"/>
      <c r="C179" s="369">
        <f>MEXtabs!M42</f>
        <v>140</v>
      </c>
      <c r="D179" s="369"/>
      <c r="E179" s="370">
        <f>MEXtabs!N42</f>
        <v>4</v>
      </c>
      <c r="F179" s="370"/>
      <c r="G179" s="370">
        <f>MEXtabs!O42</f>
        <v>1</v>
      </c>
      <c r="H179" s="370"/>
      <c r="I179" s="371"/>
      <c r="J179" s="371"/>
      <c r="K179" s="372">
        <f>MEXtabs!Q42</f>
        <v>1.0269176732121137</v>
      </c>
      <c r="L179" s="372"/>
      <c r="M179" s="373">
        <f>MEXtabs!R42</f>
        <v>78.519000000000005</v>
      </c>
      <c r="N179" s="373"/>
      <c r="O179" s="374">
        <f>MEXtabs!S42</f>
        <v>0.60047089607443416</v>
      </c>
      <c r="P179" s="374"/>
      <c r="Q179" s="372">
        <f>MEXtabs!T42</f>
        <v>43.911575134422748</v>
      </c>
      <c r="R179" s="372"/>
      <c r="S179" s="370">
        <f>MEXtabs!U42</f>
        <v>1.4212809322501858</v>
      </c>
      <c r="T179" s="370"/>
    </row>
    <row r="180" spans="1:20" ht="14.25" customHeight="1" x14ac:dyDescent="0.2">
      <c r="A180" s="346" t="str">
        <f>MEXtabs!L43</f>
        <v>NXC150</v>
      </c>
      <c r="B180" s="346"/>
      <c r="C180" s="346">
        <f>MEXtabs!M43</f>
        <v>150</v>
      </c>
      <c r="D180" s="346"/>
      <c r="E180" s="339">
        <f>MEXtabs!N43</f>
        <v>6</v>
      </c>
      <c r="F180" s="339"/>
      <c r="G180" s="339"/>
      <c r="H180" s="339"/>
      <c r="I180" s="347">
        <f>MEXtabs!P43</f>
        <v>7.58221629670666</v>
      </c>
      <c r="J180" s="347"/>
      <c r="K180" s="348">
        <f>MEXtabs!Q43</f>
        <v>0.37860748947727846</v>
      </c>
      <c r="L180" s="348"/>
      <c r="M180" s="349">
        <f>MEXtabs!R43</f>
        <v>55.186999999999998</v>
      </c>
      <c r="N180" s="349"/>
      <c r="O180" s="350">
        <f>MEXtabs!S43</f>
        <v>2.7968174376841981</v>
      </c>
      <c r="P180" s="350"/>
      <c r="Q180" s="348">
        <f>MEXtabs!T43</f>
        <v>44.399662164670268</v>
      </c>
      <c r="R180" s="348"/>
      <c r="S180" s="339">
        <f>MEXtabs!U43</f>
        <v>1.4039651657126611</v>
      </c>
      <c r="T180" s="339"/>
    </row>
    <row r="181" spans="1:20" ht="14.25" customHeight="1" x14ac:dyDescent="0.2">
      <c r="A181" s="340" t="str">
        <f>MEXtabs!L44</f>
        <v>NXD150</v>
      </c>
      <c r="B181" s="340"/>
      <c r="C181" s="340">
        <f>MEXtabs!M44</f>
        <v>150</v>
      </c>
      <c r="D181" s="340"/>
      <c r="E181" s="341">
        <f>MEXtabs!N44</f>
        <v>9</v>
      </c>
      <c r="F181" s="341"/>
      <c r="G181" s="341"/>
      <c r="H181" s="341"/>
      <c r="I181" s="342">
        <f>MEXtabs!P44</f>
        <v>8.831676949720114</v>
      </c>
      <c r="J181" s="342"/>
      <c r="K181" s="343">
        <f>MEXtabs!Q44</f>
        <v>0.49291798086961647</v>
      </c>
      <c r="L181" s="343"/>
      <c r="M181" s="344">
        <f>MEXtabs!R44</f>
        <v>60.128</v>
      </c>
      <c r="N181" s="344"/>
      <c r="O181" s="345">
        <f>MEXtabs!S44</f>
        <v>2.0497082996137928</v>
      </c>
      <c r="P181" s="345"/>
      <c r="Q181" s="343">
        <f>MEXtabs!T44</f>
        <v>44.335713004340583</v>
      </c>
      <c r="R181" s="343"/>
      <c r="S181" s="341">
        <f>MEXtabs!U44</f>
        <v>1.4182343973048246</v>
      </c>
      <c r="T181" s="341"/>
    </row>
    <row r="182" spans="1:20" ht="14.25" customHeight="1" x14ac:dyDescent="0.2">
      <c r="A182" s="352" t="str">
        <f>MEXtabs!L45</f>
        <v>NXE150</v>
      </c>
      <c r="B182" s="352"/>
      <c r="C182" s="352">
        <f>MEXtabs!M45</f>
        <v>150</v>
      </c>
      <c r="D182" s="352"/>
      <c r="E182" s="351">
        <f>MEXtabs!N45</f>
        <v>4</v>
      </c>
      <c r="F182" s="351"/>
      <c r="G182" s="351">
        <f>MEXtabs!O45</f>
        <v>0.5</v>
      </c>
      <c r="H182" s="351"/>
      <c r="I182" s="353"/>
      <c r="J182" s="353"/>
      <c r="K182" s="354">
        <f>MEXtabs!Q45</f>
        <v>0.83812332024006297</v>
      </c>
      <c r="L182" s="354"/>
      <c r="M182" s="355">
        <f>MEXtabs!R45</f>
        <v>72.150000000000006</v>
      </c>
      <c r="N182" s="355"/>
      <c r="O182" s="356">
        <f>MEXtabs!S45</f>
        <v>1.4007852924159909</v>
      </c>
      <c r="P182" s="356"/>
      <c r="Q182" s="354">
        <f>MEXtabs!T45</f>
        <v>44.039866906401102</v>
      </c>
      <c r="R182" s="354"/>
      <c r="S182" s="351">
        <f>MEXtabs!U45</f>
        <v>1.4253057707983681</v>
      </c>
      <c r="T182" s="351"/>
    </row>
    <row r="183" spans="1:20" ht="13.5" x14ac:dyDescent="0.2">
      <c r="A183" s="340" t="str">
        <f>MEXtabs!L46</f>
        <v>NXF150</v>
      </c>
      <c r="B183" s="340"/>
      <c r="C183" s="340">
        <f>MEXtabs!M46</f>
        <v>150</v>
      </c>
      <c r="D183" s="340"/>
      <c r="E183" s="341">
        <f>MEXtabs!N46</f>
        <v>4</v>
      </c>
      <c r="F183" s="341"/>
      <c r="G183" s="341">
        <f>MEXtabs!O46</f>
        <v>1</v>
      </c>
      <c r="H183" s="341"/>
      <c r="I183" s="342"/>
      <c r="J183" s="342"/>
      <c r="K183" s="343">
        <f>MEXtabs!Q46</f>
        <v>1.1251186734176981</v>
      </c>
      <c r="L183" s="343"/>
      <c r="M183" s="344">
        <f>MEXtabs!R46</f>
        <v>81.358000000000004</v>
      </c>
      <c r="N183" s="344"/>
      <c r="O183" s="345">
        <f>MEXtabs!S46</f>
        <v>0.89307152687818481</v>
      </c>
      <c r="P183" s="345"/>
      <c r="Q183" s="343">
        <f>MEXtabs!T46</f>
        <v>43.934594021953615</v>
      </c>
      <c r="R183" s="343"/>
      <c r="S183" s="341">
        <f>MEXtabs!U46</f>
        <v>1.5486644686534112</v>
      </c>
      <c r="T183" s="341"/>
    </row>
    <row r="184" spans="1:20" ht="16.5" customHeight="1" x14ac:dyDescent="0.2">
      <c r="A184" s="364" t="str">
        <f>MEXtabs!L47</f>
        <v>NXG150</v>
      </c>
      <c r="B184" s="364"/>
      <c r="C184" s="364">
        <f>MEXtabs!M47</f>
        <v>150</v>
      </c>
      <c r="D184" s="364"/>
      <c r="E184" s="357">
        <f>MEXtabs!N47</f>
        <v>4</v>
      </c>
      <c r="F184" s="357"/>
      <c r="G184" s="357">
        <f>MEXtabs!O47</f>
        <v>1.6</v>
      </c>
      <c r="H184" s="357"/>
      <c r="I184" s="365"/>
      <c r="J184" s="365"/>
      <c r="K184" s="366">
        <f>MEXtabs!Q47</f>
        <v>1.3834337181000833</v>
      </c>
      <c r="L184" s="366"/>
      <c r="M184" s="367">
        <f>MEXtabs!R47</f>
        <v>89.066000000000003</v>
      </c>
      <c r="N184" s="367"/>
      <c r="O184" s="368">
        <f>MEXtabs!S47</f>
        <v>0.44635409247702507</v>
      </c>
      <c r="P184" s="368"/>
      <c r="Q184" s="366">
        <f>MEXtabs!T47</f>
        <v>43.691969444983592</v>
      </c>
      <c r="R184" s="366"/>
      <c r="S184" s="357">
        <f>MEXtabs!U47</f>
        <v>1.4054920152834574</v>
      </c>
      <c r="T184" s="357"/>
    </row>
    <row r="186" spans="1:20" ht="13.5" customHeight="1" x14ac:dyDescent="0.2"/>
    <row r="187" spans="1:20" ht="29.25" customHeight="1" x14ac:dyDescent="0.25">
      <c r="P187" s="92" t="s">
        <v>187</v>
      </c>
    </row>
    <row r="188" spans="1:20" ht="13.5" thickBot="1" x14ac:dyDescent="0.25"/>
    <row r="189" spans="1:20" ht="14.25" customHeight="1" x14ac:dyDescent="0.2">
      <c r="A189" s="163" t="str">
        <f>"Calibration No.: "&amp;$T$13</f>
        <v>Calibration No.: Job_ID_01/01</v>
      </c>
      <c r="B189" s="164"/>
      <c r="C189" s="164"/>
      <c r="D189" s="164"/>
      <c r="E189" s="164"/>
      <c r="F189" s="164"/>
      <c r="G189" s="164"/>
      <c r="H189" s="164"/>
      <c r="I189" s="165" t="str">
        <f>$G$33</f>
        <v>7 July 2021</v>
      </c>
      <c r="J189" s="164"/>
      <c r="K189" s="164"/>
      <c r="L189" s="164"/>
      <c r="M189" s="164"/>
      <c r="N189" s="163" t="s">
        <v>159</v>
      </c>
      <c r="O189" s="166"/>
      <c r="P189" s="269"/>
      <c r="Q189" s="166"/>
      <c r="R189" s="166"/>
      <c r="S189" s="166"/>
      <c r="T189" s="166" t="s">
        <v>235</v>
      </c>
    </row>
    <row r="190" spans="1:20" ht="14.25" customHeight="1" x14ac:dyDescent="0.2">
      <c r="A190" s="90"/>
      <c r="B190" s="88"/>
      <c r="C190" s="88"/>
      <c r="D190" s="88"/>
      <c r="E190" s="88"/>
      <c r="F190" s="88"/>
      <c r="G190" s="88"/>
      <c r="H190" s="88"/>
      <c r="I190" s="89"/>
      <c r="J190" s="88"/>
      <c r="K190" s="88"/>
      <c r="L190" s="88"/>
      <c r="M190" s="88"/>
      <c r="N190" s="90"/>
      <c r="O190" s="91"/>
      <c r="P190" s="91"/>
      <c r="Q190" s="91"/>
      <c r="R190" s="91"/>
      <c r="S190" s="91"/>
      <c r="T190" s="91"/>
    </row>
    <row r="191" spans="1:20" ht="60" customHeight="1" x14ac:dyDescent="0.2">
      <c r="A191" s="376" t="s">
        <v>85</v>
      </c>
      <c r="B191" s="376"/>
      <c r="C191" s="375" t="s">
        <v>86</v>
      </c>
      <c r="D191" s="375"/>
      <c r="E191" s="375" t="s">
        <v>337</v>
      </c>
      <c r="F191" s="375"/>
      <c r="G191" s="375" t="s">
        <v>337</v>
      </c>
      <c r="H191" s="375"/>
      <c r="I191" s="375" t="s">
        <v>346</v>
      </c>
      <c r="J191" s="375"/>
      <c r="K191" s="376" t="s">
        <v>346</v>
      </c>
      <c r="L191" s="376"/>
      <c r="M191" s="376" t="s">
        <v>340</v>
      </c>
      <c r="N191" s="376"/>
      <c r="O191" s="376" t="s">
        <v>341</v>
      </c>
      <c r="P191" s="376"/>
      <c r="Q191" s="399" t="s">
        <v>347</v>
      </c>
      <c r="R191" s="376"/>
      <c r="S191" s="375" t="s">
        <v>342</v>
      </c>
      <c r="T191" s="375"/>
    </row>
    <row r="192" spans="1:20" ht="14.25" customHeight="1" x14ac:dyDescent="0.2">
      <c r="A192" s="405"/>
      <c r="B192" s="405"/>
      <c r="C192" s="300" t="s">
        <v>335</v>
      </c>
      <c r="D192" s="301"/>
      <c r="E192" s="300" t="s">
        <v>241</v>
      </c>
      <c r="F192" s="301"/>
      <c r="G192" s="300" t="s">
        <v>242</v>
      </c>
      <c r="H192" s="301"/>
      <c r="I192" s="300" t="s">
        <v>241</v>
      </c>
      <c r="J192" s="301"/>
      <c r="K192" s="284" t="s">
        <v>242</v>
      </c>
      <c r="L192" s="285"/>
      <c r="M192" s="284" t="s">
        <v>336</v>
      </c>
      <c r="N192" s="285"/>
      <c r="O192" s="284" t="s">
        <v>20</v>
      </c>
      <c r="P192" s="285"/>
      <c r="Q192" s="284" t="s">
        <v>2</v>
      </c>
      <c r="R192" s="285"/>
      <c r="S192" s="300" t="s">
        <v>27</v>
      </c>
      <c r="T192" s="301"/>
    </row>
    <row r="193" spans="1:20" ht="14.25" customHeight="1" x14ac:dyDescent="0.2">
      <c r="A193" s="358" t="str">
        <f>MEXtabs!L48</f>
        <v>NXD200</v>
      </c>
      <c r="B193" s="358"/>
      <c r="C193" s="358">
        <f>MEXtabs!M48</f>
        <v>200</v>
      </c>
      <c r="D193" s="358"/>
      <c r="E193" s="359">
        <f>MEXtabs!N48</f>
        <v>9</v>
      </c>
      <c r="F193" s="359"/>
      <c r="G193" s="359"/>
      <c r="H193" s="359"/>
      <c r="I193" s="360">
        <f>MEXtabs!P48</f>
        <v>10.533127916478346</v>
      </c>
      <c r="J193" s="360"/>
      <c r="K193" s="361">
        <f>MEXtabs!Q48</f>
        <v>0.73230337407773993</v>
      </c>
      <c r="L193" s="361"/>
      <c r="M193" s="362">
        <f>MEXtabs!R48</f>
        <v>69.760999999999996</v>
      </c>
      <c r="N193" s="362"/>
      <c r="O193" s="363">
        <f>MEXtabs!S48</f>
        <v>2.8397580737172703</v>
      </c>
      <c r="P193" s="363"/>
      <c r="Q193" s="361">
        <f>MEXtabs!T48</f>
        <v>44.064629911769998</v>
      </c>
      <c r="R193" s="361"/>
      <c r="S193" s="359">
        <f>MEXtabs!U48</f>
        <v>1.4217986687755058</v>
      </c>
      <c r="T193" s="359"/>
    </row>
    <row r="194" spans="1:20" ht="14.25" customHeight="1" x14ac:dyDescent="0.2">
      <c r="A194" s="352" t="str">
        <f>MEXtabs!L49</f>
        <v>NXE200</v>
      </c>
      <c r="B194" s="352"/>
      <c r="C194" s="352">
        <f>MEXtabs!M49</f>
        <v>200</v>
      </c>
      <c r="D194" s="352"/>
      <c r="E194" s="351">
        <f>MEXtabs!N49</f>
        <v>4</v>
      </c>
      <c r="F194" s="351"/>
      <c r="G194" s="351">
        <f>MEXtabs!O49</f>
        <v>0.5</v>
      </c>
      <c r="H194" s="351"/>
      <c r="I194" s="353"/>
      <c r="J194" s="353"/>
      <c r="K194" s="354">
        <f>MEXtabs!Q49</f>
        <v>1.2072306039939562</v>
      </c>
      <c r="L194" s="354"/>
      <c r="M194" s="355">
        <f>MEXtabs!R49</f>
        <v>82.81</v>
      </c>
      <c r="N194" s="355"/>
      <c r="O194" s="356">
        <f>MEXtabs!S49</f>
        <v>2.1995254892104836</v>
      </c>
      <c r="P194" s="356"/>
      <c r="Q194" s="354">
        <f>MEXtabs!T49</f>
        <v>43.783577929116746</v>
      </c>
      <c r="R194" s="354"/>
      <c r="S194" s="351">
        <f>MEXtabs!U49</f>
        <v>1.4026432736483385</v>
      </c>
      <c r="T194" s="351"/>
    </row>
    <row r="195" spans="1:20" ht="14.25" customHeight="1" x14ac:dyDescent="0.2">
      <c r="A195" s="340" t="str">
        <f>MEXtabs!L50</f>
        <v>NXF200</v>
      </c>
      <c r="B195" s="340"/>
      <c r="C195" s="340">
        <f>MEXtabs!M50</f>
        <v>200</v>
      </c>
      <c r="D195" s="340"/>
      <c r="E195" s="341">
        <f>MEXtabs!N50</f>
        <v>4</v>
      </c>
      <c r="F195" s="341"/>
      <c r="G195" s="341">
        <f>MEXtabs!O50</f>
        <v>1</v>
      </c>
      <c r="H195" s="341"/>
      <c r="I195" s="342"/>
      <c r="J195" s="342"/>
      <c r="K195" s="343">
        <f>MEXtabs!Q50</f>
        <v>1.6296937192778045</v>
      </c>
      <c r="L195" s="343"/>
      <c r="M195" s="344">
        <f>MEXtabs!R50</f>
        <v>94.739000000000004</v>
      </c>
      <c r="N195" s="344"/>
      <c r="O195" s="345">
        <f>MEXtabs!S50</f>
        <v>1.5623962575185277</v>
      </c>
      <c r="P195" s="345"/>
      <c r="Q195" s="343">
        <f>MEXtabs!T50</f>
        <v>43.690424941977597</v>
      </c>
      <c r="R195" s="343"/>
      <c r="S195" s="341">
        <f>MEXtabs!U50</f>
        <v>1.4008934679176386</v>
      </c>
      <c r="T195" s="341"/>
    </row>
    <row r="196" spans="1:20" ht="14.25" customHeight="1" x14ac:dyDescent="0.2">
      <c r="A196" s="352" t="str">
        <f>MEXtabs!L51</f>
        <v>NXG200</v>
      </c>
      <c r="B196" s="352"/>
      <c r="C196" s="352">
        <f>MEXtabs!M51</f>
        <v>200</v>
      </c>
      <c r="D196" s="352"/>
      <c r="E196" s="351">
        <f>MEXtabs!N51</f>
        <v>4</v>
      </c>
      <c r="F196" s="351"/>
      <c r="G196" s="351">
        <f>MEXtabs!O51</f>
        <v>1.6</v>
      </c>
      <c r="H196" s="351"/>
      <c r="I196" s="353"/>
      <c r="J196" s="353"/>
      <c r="K196" s="354">
        <f>MEXtabs!Q51</f>
        <v>2.0015314501377075</v>
      </c>
      <c r="L196" s="354"/>
      <c r="M196" s="355">
        <f>MEXtabs!R51</f>
        <v>105.252</v>
      </c>
      <c r="N196" s="355"/>
      <c r="O196" s="356">
        <f>MEXtabs!S51</f>
        <v>1.161270390157437</v>
      </c>
      <c r="P196" s="356"/>
      <c r="Q196" s="354">
        <f>MEXtabs!T51</f>
        <v>43.576098970172843</v>
      </c>
      <c r="R196" s="354"/>
      <c r="S196" s="351">
        <f>MEXtabs!U51</f>
        <v>1.4075237818776838</v>
      </c>
      <c r="T196" s="351"/>
    </row>
    <row r="197" spans="1:20" ht="14.25" customHeight="1" x14ac:dyDescent="0.2">
      <c r="A197" s="369" t="str">
        <f>MEXtabs!L52</f>
        <v>NXH200</v>
      </c>
      <c r="B197" s="369"/>
      <c r="C197" s="369">
        <f>MEXtabs!M52</f>
        <v>200</v>
      </c>
      <c r="D197" s="369"/>
      <c r="E197" s="370">
        <f>MEXtabs!N52</f>
        <v>4</v>
      </c>
      <c r="F197" s="370"/>
      <c r="G197" s="370">
        <f>MEXtabs!O52</f>
        <v>3</v>
      </c>
      <c r="H197" s="370"/>
      <c r="I197" s="371"/>
      <c r="J197" s="371"/>
      <c r="K197" s="372">
        <f>MEXtabs!Q52</f>
        <v>2.5415199349414408</v>
      </c>
      <c r="L197" s="372"/>
      <c r="M197" s="373">
        <f>MEXtabs!R52</f>
        <v>120.14700000000001</v>
      </c>
      <c r="N197" s="373"/>
      <c r="O197" s="374">
        <f>MEXtabs!S52</f>
        <v>0.64561033299149728</v>
      </c>
      <c r="P197" s="374"/>
      <c r="Q197" s="372">
        <f>MEXtabs!T52</f>
        <v>43.485617129878449</v>
      </c>
      <c r="R197" s="372"/>
      <c r="S197" s="370">
        <f>MEXtabs!U52</f>
        <v>1.6171626618857007</v>
      </c>
      <c r="T197" s="370"/>
    </row>
    <row r="198" spans="1:20" ht="14.25" customHeight="1" x14ac:dyDescent="0.2">
      <c r="A198" s="346" t="str">
        <f>MEXtabs!L53</f>
        <v>NXE250</v>
      </c>
      <c r="B198" s="346"/>
      <c r="C198" s="346">
        <f>MEXtabs!M53</f>
        <v>250</v>
      </c>
      <c r="D198" s="346"/>
      <c r="E198" s="339">
        <f>MEXtabs!N53</f>
        <v>4</v>
      </c>
      <c r="F198" s="339"/>
      <c r="G198" s="339">
        <f>MEXtabs!O53</f>
        <v>0.5</v>
      </c>
      <c r="H198" s="339"/>
      <c r="I198" s="347"/>
      <c r="J198" s="347"/>
      <c r="K198" s="348">
        <f>MEXtabs!Q53</f>
        <v>1.6128041668984248</v>
      </c>
      <c r="L198" s="348"/>
      <c r="M198" s="349">
        <f>MEXtabs!R53</f>
        <v>92.84</v>
      </c>
      <c r="N198" s="349"/>
      <c r="O198" s="350">
        <f>MEXtabs!S53</f>
        <v>2.9839444517896849</v>
      </c>
      <c r="P198" s="350"/>
      <c r="Q198" s="348">
        <f>MEXtabs!T53</f>
        <v>43.729792205959406</v>
      </c>
      <c r="R198" s="348"/>
      <c r="S198" s="339">
        <f>MEXtabs!U53</f>
        <v>1.4219800569599053</v>
      </c>
      <c r="T198" s="339"/>
    </row>
    <row r="199" spans="1:20" ht="14.25" customHeight="1" x14ac:dyDescent="0.2">
      <c r="A199" s="340" t="str">
        <f>MEXtabs!L54</f>
        <v>NXF250</v>
      </c>
      <c r="B199" s="340"/>
      <c r="C199" s="340">
        <f>MEXtabs!M54</f>
        <v>250</v>
      </c>
      <c r="D199" s="340"/>
      <c r="E199" s="341">
        <f>MEXtabs!N54</f>
        <v>4</v>
      </c>
      <c r="F199" s="341"/>
      <c r="G199" s="341">
        <f>MEXtabs!O54</f>
        <v>1</v>
      </c>
      <c r="H199" s="341"/>
      <c r="I199" s="342"/>
      <c r="J199" s="342"/>
      <c r="K199" s="343">
        <f>MEXtabs!Q54</f>
        <v>2.1356721844076167</v>
      </c>
      <c r="L199" s="343"/>
      <c r="M199" s="344">
        <f>MEXtabs!R54</f>
        <v>107.324</v>
      </c>
      <c r="N199" s="344"/>
      <c r="O199" s="345">
        <f>MEXtabs!S54</f>
        <v>2.256630293676301</v>
      </c>
      <c r="P199" s="345"/>
      <c r="Q199" s="343">
        <f>MEXtabs!T54</f>
        <v>43.548136413860959</v>
      </c>
      <c r="R199" s="343"/>
      <c r="S199" s="341">
        <f>MEXtabs!U54</f>
        <v>1.5783296641458362</v>
      </c>
      <c r="T199" s="341"/>
    </row>
    <row r="200" spans="1:20" ht="14.25" customHeight="1" x14ac:dyDescent="0.2">
      <c r="A200" s="352" t="str">
        <f>MEXtabs!L55</f>
        <v>NXG250</v>
      </c>
      <c r="B200" s="352"/>
      <c r="C200" s="352">
        <f>MEXtabs!M55</f>
        <v>250</v>
      </c>
      <c r="D200" s="352"/>
      <c r="E200" s="351">
        <f>MEXtabs!N55</f>
        <v>4</v>
      </c>
      <c r="F200" s="351"/>
      <c r="G200" s="351">
        <f>MEXtabs!O55</f>
        <v>1.6</v>
      </c>
      <c r="H200" s="351"/>
      <c r="I200" s="353"/>
      <c r="J200" s="353"/>
      <c r="K200" s="354">
        <f>MEXtabs!Q55</f>
        <v>2.5711570771389516</v>
      </c>
      <c r="L200" s="354"/>
      <c r="M200" s="355">
        <f>MEXtabs!R55</f>
        <v>120.09699999999999</v>
      </c>
      <c r="N200" s="355"/>
      <c r="O200" s="356">
        <f>MEXtabs!S55</f>
        <v>1.7673175031153652</v>
      </c>
      <c r="P200" s="356"/>
      <c r="Q200" s="354">
        <f>MEXtabs!T55</f>
        <v>43.515276381229619</v>
      </c>
      <c r="R200" s="354"/>
      <c r="S200" s="351">
        <f>MEXtabs!U55</f>
        <v>1.4181606726849658</v>
      </c>
      <c r="T200" s="351"/>
    </row>
    <row r="201" spans="1:20" ht="14.25" customHeight="1" x14ac:dyDescent="0.2">
      <c r="A201" s="340" t="str">
        <f>MEXtabs!L56</f>
        <v>NXH250</v>
      </c>
      <c r="B201" s="340"/>
      <c r="C201" s="340">
        <f>MEXtabs!M56</f>
        <v>250</v>
      </c>
      <c r="D201" s="340"/>
      <c r="E201" s="341">
        <f>MEXtabs!N56</f>
        <v>4</v>
      </c>
      <c r="F201" s="341"/>
      <c r="G201" s="341">
        <f>MEXtabs!O56</f>
        <v>3</v>
      </c>
      <c r="H201" s="341"/>
      <c r="I201" s="342"/>
      <c r="J201" s="342"/>
      <c r="K201" s="343">
        <f>MEXtabs!Q56</f>
        <v>3.1622519161675675</v>
      </c>
      <c r="L201" s="343"/>
      <c r="M201" s="344">
        <f>MEXtabs!R56</f>
        <v>137.45500000000001</v>
      </c>
      <c r="N201" s="344"/>
      <c r="O201" s="345">
        <f>MEXtabs!S56</f>
        <v>1.1620531992136187</v>
      </c>
      <c r="P201" s="345"/>
      <c r="Q201" s="343">
        <f>MEXtabs!T56</f>
        <v>43.394068454781625</v>
      </c>
      <c r="R201" s="343"/>
      <c r="S201" s="341">
        <f>MEXtabs!U56</f>
        <v>1.4254744464091886</v>
      </c>
      <c r="T201" s="341"/>
    </row>
    <row r="202" spans="1:20" ht="14.25" customHeight="1" x14ac:dyDescent="0.2">
      <c r="A202" s="364" t="str">
        <f>MEXtabs!L57</f>
        <v>NXI250</v>
      </c>
      <c r="B202" s="364"/>
      <c r="C202" s="364">
        <f>MEXtabs!M57</f>
        <v>250</v>
      </c>
      <c r="D202" s="364"/>
      <c r="E202" s="357">
        <f>MEXtabs!N57</f>
        <v>4</v>
      </c>
      <c r="F202" s="357"/>
      <c r="G202" s="357">
        <f>MEXtabs!O57</f>
        <v>5</v>
      </c>
      <c r="H202" s="357"/>
      <c r="I202" s="365"/>
      <c r="J202" s="365"/>
      <c r="K202" s="366">
        <f>MEXtabs!Q57</f>
        <v>3.5951513428636979</v>
      </c>
      <c r="L202" s="366"/>
      <c r="M202" s="367">
        <f>MEXtabs!R57</f>
        <v>149.50700000000001</v>
      </c>
      <c r="N202" s="367"/>
      <c r="O202" s="368">
        <f>MEXtabs!S57</f>
        <v>0.73253944460465958</v>
      </c>
      <c r="P202" s="368"/>
      <c r="Q202" s="366">
        <f>MEXtabs!T57</f>
        <v>43.262222819513056</v>
      </c>
      <c r="R202" s="366"/>
      <c r="S202" s="357">
        <f>MEXtabs!U57</f>
        <v>1.4978090522586553</v>
      </c>
      <c r="T202" s="357"/>
    </row>
    <row r="203" spans="1:20" ht="14.25" customHeight="1" x14ac:dyDescent="0.2">
      <c r="A203" s="340" t="str">
        <f>MEXtabs!L58</f>
        <v>NXF280</v>
      </c>
      <c r="B203" s="340"/>
      <c r="C203" s="340">
        <f>MEXtabs!M58</f>
        <v>280</v>
      </c>
      <c r="D203" s="340"/>
      <c r="E203" s="341">
        <f>MEXtabs!N58</f>
        <v>4</v>
      </c>
      <c r="F203" s="341"/>
      <c r="G203" s="341">
        <f>MEXtabs!O58</f>
        <v>1</v>
      </c>
      <c r="H203" s="341"/>
      <c r="I203" s="342"/>
      <c r="J203" s="342"/>
      <c r="K203" s="343">
        <f>MEXtabs!Q58</f>
        <v>2.4331518775712206</v>
      </c>
      <c r="L203" s="343"/>
      <c r="M203" s="344">
        <f>MEXtabs!R58</f>
        <v>114.61199999999999</v>
      </c>
      <c r="N203" s="344"/>
      <c r="O203" s="345">
        <f>MEXtabs!S58</f>
        <v>2.5003101308056395</v>
      </c>
      <c r="P203" s="345"/>
      <c r="Q203" s="343">
        <f>MEXtabs!T58</f>
        <v>43.547872255342405</v>
      </c>
      <c r="R203" s="343"/>
      <c r="S203" s="341">
        <f>MEXtabs!U58</f>
        <v>1.4412339486185484</v>
      </c>
      <c r="T203" s="341"/>
    </row>
    <row r="204" spans="1:20" ht="14.25" customHeight="1" x14ac:dyDescent="0.2">
      <c r="A204" s="352" t="str">
        <f>MEXtabs!L59</f>
        <v>NXG280</v>
      </c>
      <c r="B204" s="352"/>
      <c r="C204" s="352">
        <f>MEXtabs!M59</f>
        <v>280</v>
      </c>
      <c r="D204" s="352"/>
      <c r="E204" s="351">
        <f>MEXtabs!N59</f>
        <v>4</v>
      </c>
      <c r="F204" s="351"/>
      <c r="G204" s="351">
        <f>MEXtabs!O59</f>
        <v>1.6</v>
      </c>
      <c r="H204" s="351"/>
      <c r="I204" s="353"/>
      <c r="J204" s="353"/>
      <c r="K204" s="354">
        <f>MEXtabs!Q59</f>
        <v>2.8808623211292477</v>
      </c>
      <c r="L204" s="354"/>
      <c r="M204" s="355">
        <f>MEXtabs!R59</f>
        <v>128.495</v>
      </c>
      <c r="N204" s="355"/>
      <c r="O204" s="356">
        <f>MEXtabs!S59</f>
        <v>2.0034609575348217</v>
      </c>
      <c r="P204" s="356"/>
      <c r="Q204" s="354">
        <f>MEXtabs!T59</f>
        <v>43.417032551541674</v>
      </c>
      <c r="R204" s="354"/>
      <c r="S204" s="351">
        <f>MEXtabs!U59</f>
        <v>1.4111545812287998</v>
      </c>
      <c r="T204" s="351"/>
    </row>
    <row r="205" spans="1:20" ht="14.25" customHeight="1" x14ac:dyDescent="0.2">
      <c r="A205" s="340" t="str">
        <f>MEXtabs!L60</f>
        <v>NXH280</v>
      </c>
      <c r="B205" s="340"/>
      <c r="C205" s="340">
        <f>MEXtabs!M60</f>
        <v>280</v>
      </c>
      <c r="D205" s="340"/>
      <c r="E205" s="341">
        <f>MEXtabs!N60</f>
        <v>4</v>
      </c>
      <c r="F205" s="341"/>
      <c r="G205" s="341">
        <f>MEXtabs!O60</f>
        <v>3</v>
      </c>
      <c r="H205" s="341"/>
      <c r="I205" s="342"/>
      <c r="J205" s="342"/>
      <c r="K205" s="343">
        <f>MEXtabs!Q60</f>
        <v>3.5006101210159413</v>
      </c>
      <c r="L205" s="343"/>
      <c r="M205" s="344">
        <f>MEXtabs!R60</f>
        <v>147.05000000000001</v>
      </c>
      <c r="N205" s="344"/>
      <c r="O205" s="345">
        <f>MEXtabs!S60</f>
        <v>1.3697465155541448</v>
      </c>
      <c r="P205" s="345"/>
      <c r="Q205" s="343">
        <f>MEXtabs!T60</f>
        <v>43.332123291107912</v>
      </c>
      <c r="R205" s="343"/>
      <c r="S205" s="341">
        <f>MEXtabs!U60</f>
        <v>1.4391668160769495</v>
      </c>
      <c r="T205" s="341"/>
    </row>
    <row r="206" spans="1:20" ht="14.25" customHeight="1" x14ac:dyDescent="0.2">
      <c r="A206" s="364" t="str">
        <f>MEXtabs!L61</f>
        <v>NXI280</v>
      </c>
      <c r="B206" s="364"/>
      <c r="C206" s="364">
        <f>MEXtabs!M61</f>
        <v>280</v>
      </c>
      <c r="D206" s="364"/>
      <c r="E206" s="357">
        <f>MEXtabs!N61</f>
        <v>4</v>
      </c>
      <c r="F206" s="357"/>
      <c r="G206" s="357">
        <f>MEXtabs!O61</f>
        <v>5</v>
      </c>
      <c r="H206" s="357"/>
      <c r="I206" s="365"/>
      <c r="J206" s="365"/>
      <c r="K206" s="366">
        <f>MEXtabs!Q61</f>
        <v>3.9334817438945446</v>
      </c>
      <c r="L206" s="366"/>
      <c r="M206" s="367">
        <f>MEXtabs!R61</f>
        <v>159.91800000000001</v>
      </c>
      <c r="N206" s="367"/>
      <c r="O206" s="368">
        <f>MEXtabs!S61</f>
        <v>0.89372013414397466</v>
      </c>
      <c r="P206" s="368"/>
      <c r="Q206" s="366">
        <f>MEXtabs!T61</f>
        <v>43.249584769166603</v>
      </c>
      <c r="R206" s="366"/>
      <c r="S206" s="357">
        <f>MEXtabs!U61</f>
        <v>1.4139174246736019</v>
      </c>
      <c r="T206" s="357"/>
    </row>
    <row r="207" spans="1:20" ht="14.25" customHeight="1" x14ac:dyDescent="0.2">
      <c r="A207" s="358" t="str">
        <f>MEXtabs!L62</f>
        <v>NXG300</v>
      </c>
      <c r="B207" s="358"/>
      <c r="C207" s="358">
        <f>MEXtabs!M62</f>
        <v>300</v>
      </c>
      <c r="D207" s="358"/>
      <c r="E207" s="359">
        <f>MEXtabs!N62</f>
        <v>4</v>
      </c>
      <c r="F207" s="359"/>
      <c r="G207" s="359">
        <f>MEXtabs!O62</f>
        <v>1.6</v>
      </c>
      <c r="H207" s="359"/>
      <c r="I207" s="360"/>
      <c r="J207" s="360"/>
      <c r="K207" s="361">
        <f>MEXtabs!Q62</f>
        <v>3.0951576375640011</v>
      </c>
      <c r="L207" s="361"/>
      <c r="M207" s="362">
        <f>MEXtabs!R62</f>
        <v>133.916</v>
      </c>
      <c r="N207" s="362"/>
      <c r="O207" s="363">
        <f>MEXtabs!S62</f>
        <v>2.3987129167731491</v>
      </c>
      <c r="P207" s="363"/>
      <c r="Q207" s="361">
        <f>MEXtabs!T62</f>
        <v>43.359289173851359</v>
      </c>
      <c r="R207" s="361"/>
      <c r="S207" s="359">
        <f>MEXtabs!U62</f>
        <v>1.414590838401959</v>
      </c>
      <c r="T207" s="359"/>
    </row>
    <row r="208" spans="1:20" ht="14.25" customHeight="1" x14ac:dyDescent="0.2">
      <c r="A208" s="352" t="str">
        <f>MEXtabs!L63</f>
        <v>NXH300</v>
      </c>
      <c r="B208" s="352"/>
      <c r="C208" s="352">
        <f>MEXtabs!M63</f>
        <v>300</v>
      </c>
      <c r="D208" s="352"/>
      <c r="E208" s="351">
        <f>MEXtabs!N63</f>
        <v>4</v>
      </c>
      <c r="F208" s="351"/>
      <c r="G208" s="351">
        <f>MEXtabs!O63</f>
        <v>3</v>
      </c>
      <c r="H208" s="351"/>
      <c r="I208" s="353"/>
      <c r="J208" s="353"/>
      <c r="K208" s="354">
        <f>MEXtabs!Q63</f>
        <v>3.7047905897248823</v>
      </c>
      <c r="L208" s="354"/>
      <c r="M208" s="355">
        <f>MEXtabs!R63</f>
        <v>153.21</v>
      </c>
      <c r="N208" s="355"/>
      <c r="O208" s="356">
        <f>MEXtabs!S63</f>
        <v>1.6752530487373014</v>
      </c>
      <c r="P208" s="356"/>
      <c r="Q208" s="354">
        <f>MEXtabs!T63</f>
        <v>43.270125968459105</v>
      </c>
      <c r="R208" s="354"/>
      <c r="S208" s="351">
        <f>MEXtabs!U63</f>
        <v>1.5466709629247668</v>
      </c>
      <c r="T208" s="351"/>
    </row>
    <row r="209" spans="1:20" ht="14.25" customHeight="1" x14ac:dyDescent="0.2">
      <c r="A209" s="340" t="str">
        <f>MEXtabs!L64</f>
        <v>NXI300</v>
      </c>
      <c r="B209" s="340"/>
      <c r="C209" s="340">
        <f>MEXtabs!M64</f>
        <v>300</v>
      </c>
      <c r="D209" s="340"/>
      <c r="E209" s="341">
        <f>MEXtabs!N64</f>
        <v>4</v>
      </c>
      <c r="F209" s="341"/>
      <c r="G209" s="341">
        <f>MEXtabs!O64</f>
        <v>5</v>
      </c>
      <c r="H209" s="341"/>
      <c r="I209" s="342"/>
      <c r="J209" s="342"/>
      <c r="K209" s="343">
        <f>MEXtabs!Q64</f>
        <v>4.1453765509423093</v>
      </c>
      <c r="L209" s="343"/>
      <c r="M209" s="344">
        <f>MEXtabs!R64</f>
        <v>166.58099999999999</v>
      </c>
      <c r="N209" s="344"/>
      <c r="O209" s="345">
        <f>MEXtabs!S64</f>
        <v>1.1161618553466861</v>
      </c>
      <c r="P209" s="345"/>
      <c r="Q209" s="343">
        <f>MEXtabs!T64</f>
        <v>43.133978014768623</v>
      </c>
      <c r="R209" s="343"/>
      <c r="S209" s="341">
        <f>MEXtabs!U64</f>
        <v>1.4145458293129558</v>
      </c>
      <c r="T209" s="341"/>
    </row>
    <row r="210" spans="1:20" ht="14.25" customHeight="1" x14ac:dyDescent="0.2">
      <c r="A210" s="346" t="str">
        <f>MEXtabs!L65</f>
        <v>NXH320</v>
      </c>
      <c r="B210" s="346"/>
      <c r="C210" s="346">
        <f>MEXtabs!M65</f>
        <v>320</v>
      </c>
      <c r="D210" s="346"/>
      <c r="E210" s="339">
        <f>MEXtabs!N65</f>
        <v>4</v>
      </c>
      <c r="F210" s="339"/>
      <c r="G210" s="339">
        <f>MEXtabs!O65</f>
        <v>3</v>
      </c>
      <c r="H210" s="339"/>
      <c r="I210" s="347"/>
      <c r="J210" s="347"/>
      <c r="K210" s="348">
        <f>MEXtabs!Q65</f>
        <v>3.8972650748324895</v>
      </c>
      <c r="L210" s="348"/>
      <c r="M210" s="349">
        <f>MEXtabs!R65</f>
        <v>159.21700000000001</v>
      </c>
      <c r="N210" s="349"/>
      <c r="O210" s="350">
        <f>MEXtabs!S65</f>
        <v>1.6172868838821155</v>
      </c>
      <c r="P210" s="350"/>
      <c r="Q210" s="348">
        <f>MEXtabs!T65</f>
        <v>43.131780217598909</v>
      </c>
      <c r="R210" s="348"/>
      <c r="S210" s="339">
        <f>MEXtabs!U65</f>
        <v>1.4420495738183201</v>
      </c>
      <c r="T210" s="339"/>
    </row>
    <row r="211" spans="1:20" ht="14.25" customHeight="1" x14ac:dyDescent="0.2">
      <c r="A211" s="340" t="str">
        <f>MEXtabs!L66</f>
        <v>NXI320</v>
      </c>
      <c r="B211" s="340"/>
      <c r="C211" s="340">
        <f>MEXtabs!M66</f>
        <v>320</v>
      </c>
      <c r="D211" s="340"/>
      <c r="E211" s="341">
        <f>MEXtabs!N66</f>
        <v>4</v>
      </c>
      <c r="F211" s="341"/>
      <c r="G211" s="341">
        <f>MEXtabs!O66</f>
        <v>5</v>
      </c>
      <c r="H211" s="341"/>
      <c r="I211" s="342"/>
      <c r="J211" s="342"/>
      <c r="K211" s="343">
        <f>MEXtabs!Q66</f>
        <v>4.335531420085327</v>
      </c>
      <c r="L211" s="343"/>
      <c r="M211" s="344">
        <f>MEXtabs!R66</f>
        <v>173.059</v>
      </c>
      <c r="N211" s="344"/>
      <c r="O211" s="345">
        <f>MEXtabs!S66</f>
        <v>1.0975355711916286</v>
      </c>
      <c r="P211" s="345"/>
      <c r="Q211" s="343">
        <f>MEXtabs!T66</f>
        <v>43.048524810446899</v>
      </c>
      <c r="R211" s="343"/>
      <c r="S211" s="341">
        <f>MEXtabs!U66</f>
        <v>1.4067494629095421</v>
      </c>
      <c r="T211" s="341"/>
    </row>
    <row r="212" spans="1:20" ht="15" customHeight="1" x14ac:dyDescent="0.2">
      <c r="A212" s="326" t="str">
        <f>MEXtabs!L67</f>
        <v>NXG250*</v>
      </c>
      <c r="B212" s="326"/>
      <c r="C212" s="326">
        <f>MEXtabs!M67</f>
        <v>250</v>
      </c>
      <c r="D212" s="326"/>
      <c r="E212" s="321">
        <f>MEXtabs!N67</f>
        <v>4</v>
      </c>
      <c r="F212" s="321"/>
      <c r="G212" s="321">
        <f>MEXtabs!O67</f>
        <v>1.6</v>
      </c>
      <c r="H212" s="321"/>
      <c r="I212" s="327"/>
      <c r="J212" s="327"/>
      <c r="K212" s="320">
        <f>MEXtabs!Q67</f>
        <v>2.5711570771389516</v>
      </c>
      <c r="L212" s="320"/>
      <c r="M212" s="328">
        <f>MEXtabs!R67</f>
        <v>120.09699999999999</v>
      </c>
      <c r="N212" s="328"/>
      <c r="O212" s="329">
        <f>MEXtabs!S67</f>
        <v>1.7714880064571976</v>
      </c>
      <c r="P212" s="329"/>
      <c r="Q212" s="320">
        <f>MEXtabs!T67</f>
        <v>43.344264021661864</v>
      </c>
      <c r="R212" s="320"/>
      <c r="S212" s="321">
        <f>MEXtabs!U67</f>
        <v>1.4048290696996866</v>
      </c>
      <c r="T212" s="321"/>
    </row>
    <row r="213" spans="1:20" ht="15" customHeight="1" x14ac:dyDescent="0.2">
      <c r="A213" s="330" t="str">
        <f>MEXtabs!L68</f>
        <v>NXH280*</v>
      </c>
      <c r="B213" s="331"/>
      <c r="C213" s="330">
        <f>MEXtabs!M68</f>
        <v>280</v>
      </c>
      <c r="D213" s="331"/>
      <c r="E213" s="324">
        <f>MEXtabs!N68</f>
        <v>4</v>
      </c>
      <c r="F213" s="325"/>
      <c r="G213" s="324">
        <f>MEXtabs!O68</f>
        <v>3</v>
      </c>
      <c r="H213" s="325"/>
      <c r="I213" s="332"/>
      <c r="J213" s="333"/>
      <c r="K213" s="322">
        <f>MEXtabs!Q68</f>
        <v>3.5006101210159413</v>
      </c>
      <c r="L213" s="323"/>
      <c r="M213" s="334">
        <f>MEXtabs!R68</f>
        <v>147.05000000000001</v>
      </c>
      <c r="N213" s="335"/>
      <c r="O213" s="336">
        <f>MEXtabs!S68</f>
        <v>1.3701660046939879</v>
      </c>
      <c r="P213" s="337"/>
      <c r="Q213" s="322">
        <f>MEXtabs!T68</f>
        <v>43.332753138987364</v>
      </c>
      <c r="R213" s="323"/>
      <c r="S213" s="324">
        <f>MEXtabs!U68</f>
        <v>1.4124182113524919</v>
      </c>
      <c r="T213" s="325"/>
    </row>
    <row r="214" spans="1:20" ht="15" customHeight="1" x14ac:dyDescent="0.2">
      <c r="A214" s="326" t="str">
        <f>MEXtabs!L69</f>
        <v>NXH300*</v>
      </c>
      <c r="B214" s="326"/>
      <c r="C214" s="326">
        <f>MEXtabs!M69</f>
        <v>300</v>
      </c>
      <c r="D214" s="326"/>
      <c r="E214" s="321">
        <f>MEXtabs!N69</f>
        <v>4</v>
      </c>
      <c r="F214" s="321"/>
      <c r="G214" s="321">
        <f>MEXtabs!O69</f>
        <v>3</v>
      </c>
      <c r="H214" s="321"/>
      <c r="I214" s="327"/>
      <c r="J214" s="327"/>
      <c r="K214" s="320">
        <f>MEXtabs!Q69</f>
        <v>3.7047905897248823</v>
      </c>
      <c r="L214" s="320"/>
      <c r="M214" s="328">
        <f>MEXtabs!R69</f>
        <v>153.21</v>
      </c>
      <c r="N214" s="328"/>
      <c r="O214" s="329">
        <f>MEXtabs!S69</f>
        <v>1.675574257628266</v>
      </c>
      <c r="P214" s="329"/>
      <c r="Q214" s="320">
        <f>MEXtabs!T69</f>
        <v>43.273786206386291</v>
      </c>
      <c r="R214" s="320"/>
      <c r="S214" s="321">
        <f>MEXtabs!U69</f>
        <v>1.4098918159692015</v>
      </c>
      <c r="T214" s="321"/>
    </row>
    <row r="215" spans="1:20" ht="15" customHeight="1" x14ac:dyDescent="0.25">
      <c r="A215" s="63" t="s">
        <v>185</v>
      </c>
      <c r="B215" s="69"/>
      <c r="C215" s="69"/>
      <c r="D215" s="69"/>
      <c r="E215" s="69"/>
      <c r="F215" s="69"/>
      <c r="G215" s="69"/>
      <c r="H215" s="69"/>
      <c r="I215" s="69"/>
      <c r="J215" s="69"/>
      <c r="K215" s="69"/>
      <c r="L215" s="69"/>
      <c r="M215" s="69"/>
      <c r="N215" s="69"/>
      <c r="O215" s="69"/>
      <c r="P215" s="69"/>
      <c r="Q215" s="69"/>
      <c r="R215" s="69"/>
    </row>
    <row r="216" spans="1:20" ht="15" customHeight="1" x14ac:dyDescent="0.25">
      <c r="A216" s="63" t="s">
        <v>186</v>
      </c>
      <c r="B216" s="69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69"/>
      <c r="P216" s="69"/>
      <c r="Q216" s="69"/>
      <c r="R216" s="69"/>
    </row>
    <row r="217" spans="1:20" ht="15" customHeight="1" x14ac:dyDescent="0.25">
      <c r="A217" s="63" t="s">
        <v>343</v>
      </c>
      <c r="B217" s="69"/>
      <c r="C217" s="69"/>
      <c r="D217" s="69"/>
      <c r="E217" s="69"/>
      <c r="F217" s="69"/>
      <c r="G217" s="69"/>
      <c r="H217" s="69"/>
      <c r="I217" s="69"/>
      <c r="J217" s="69"/>
      <c r="K217" s="69"/>
      <c r="L217" s="69"/>
      <c r="M217" s="69"/>
      <c r="N217" s="69"/>
      <c r="O217" s="69"/>
      <c r="P217" s="69"/>
      <c r="Q217" s="69"/>
      <c r="R217" s="69"/>
    </row>
    <row r="218" spans="1:20" ht="15" customHeight="1" x14ac:dyDescent="0.2">
      <c r="C218" s="69"/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69"/>
      <c r="P218" s="69"/>
      <c r="Q218" s="69"/>
      <c r="R218" s="69"/>
    </row>
    <row r="219" spans="1:20" ht="15" customHeight="1" x14ac:dyDescent="0.2">
      <c r="A219" s="69"/>
      <c r="B219" s="69"/>
      <c r="C219" s="69"/>
      <c r="D219" s="69"/>
      <c r="E219" s="69"/>
      <c r="F219" s="69"/>
      <c r="G219" s="69"/>
      <c r="H219" s="69"/>
      <c r="I219" s="69"/>
      <c r="J219" s="69"/>
      <c r="K219" s="69"/>
      <c r="L219" s="69"/>
      <c r="M219" s="69"/>
      <c r="N219" s="69"/>
      <c r="O219" s="69"/>
      <c r="P219" s="69"/>
      <c r="Q219" s="69"/>
      <c r="R219" s="69"/>
    </row>
    <row r="220" spans="1:20" ht="15" customHeight="1" x14ac:dyDescent="0.2">
      <c r="A220" s="69"/>
      <c r="B220" s="69"/>
      <c r="C220" s="69"/>
      <c r="D220" s="69"/>
      <c r="E220" s="69"/>
      <c r="F220" s="69"/>
      <c r="G220" s="69"/>
      <c r="H220" s="69"/>
      <c r="I220" s="69"/>
      <c r="J220" s="69"/>
      <c r="K220" s="69"/>
      <c r="L220" s="69"/>
      <c r="M220" s="69"/>
      <c r="N220" s="69"/>
      <c r="O220" s="69"/>
      <c r="P220" s="69"/>
      <c r="Q220" s="69"/>
      <c r="R220" s="69"/>
    </row>
    <row r="221" spans="1:20" ht="15" customHeight="1" x14ac:dyDescent="0.2">
      <c r="A221" s="69"/>
      <c r="B221" s="69"/>
      <c r="C221" s="69"/>
      <c r="D221" s="69"/>
      <c r="E221" s="69"/>
      <c r="F221" s="69"/>
      <c r="G221" s="69"/>
      <c r="H221" s="69"/>
      <c r="I221" s="69"/>
      <c r="J221" s="69"/>
      <c r="K221" s="69"/>
      <c r="L221" s="69"/>
      <c r="M221" s="69"/>
      <c r="N221" s="69"/>
      <c r="O221" s="69"/>
      <c r="P221" s="69"/>
      <c r="Q221" s="69"/>
      <c r="R221" s="69"/>
    </row>
    <row r="222" spans="1:20" ht="15" customHeight="1" x14ac:dyDescent="0.2">
      <c r="A222" s="69"/>
      <c r="B222" s="69"/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69"/>
      <c r="P222" s="69"/>
      <c r="Q222" s="69"/>
      <c r="R222" s="69"/>
    </row>
    <row r="223" spans="1:20" ht="15" customHeight="1" x14ac:dyDescent="0.2">
      <c r="A223" s="69"/>
      <c r="B223" s="69"/>
      <c r="C223" s="69"/>
      <c r="D223" s="69"/>
      <c r="E223" s="69"/>
      <c r="F223" s="69"/>
      <c r="G223" s="69"/>
      <c r="H223" s="69"/>
      <c r="I223" s="69"/>
      <c r="J223" s="69"/>
      <c r="K223" s="69"/>
      <c r="L223" s="69"/>
      <c r="M223" s="69"/>
      <c r="N223" s="69"/>
      <c r="O223" s="69"/>
      <c r="P223" s="69"/>
      <c r="Q223" s="69"/>
      <c r="R223" s="69"/>
    </row>
    <row r="224" spans="1:20" ht="15" customHeight="1" x14ac:dyDescent="0.2">
      <c r="A224" s="69"/>
      <c r="B224" s="69"/>
      <c r="C224" s="69"/>
      <c r="D224" s="69"/>
      <c r="E224" s="69"/>
      <c r="F224" s="69"/>
      <c r="G224" s="69"/>
      <c r="H224" s="69"/>
      <c r="I224" s="69"/>
      <c r="J224" s="69"/>
      <c r="K224" s="69"/>
      <c r="L224" s="69"/>
      <c r="M224" s="69"/>
      <c r="N224" s="69"/>
      <c r="O224" s="69"/>
      <c r="P224" s="69"/>
      <c r="Q224" s="69"/>
      <c r="R224" s="69"/>
    </row>
    <row r="225" spans="1:20" ht="15" customHeight="1" x14ac:dyDescent="0.2">
      <c r="A225" s="69"/>
      <c r="B225" s="69"/>
      <c r="C225" s="69"/>
      <c r="D225" s="69"/>
      <c r="E225" s="69"/>
      <c r="F225" s="69"/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69"/>
      <c r="R225" s="69"/>
    </row>
    <row r="226" spans="1:20" ht="15" customHeight="1" x14ac:dyDescent="0.2">
      <c r="A226" s="69"/>
      <c r="B226" s="69"/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69"/>
      <c r="R226" s="69"/>
    </row>
    <row r="227" spans="1:20" ht="15" customHeight="1" x14ac:dyDescent="0.2">
      <c r="A227" s="69"/>
      <c r="B227" s="69"/>
      <c r="C227" s="69"/>
      <c r="D227" s="69"/>
      <c r="E227" s="69"/>
      <c r="F227" s="69"/>
      <c r="G227" s="69"/>
      <c r="H227" s="69"/>
      <c r="I227" s="69"/>
      <c r="J227" s="69"/>
      <c r="K227" s="69"/>
      <c r="L227" s="69"/>
      <c r="M227" s="69"/>
      <c r="N227" s="69"/>
      <c r="O227" s="69"/>
      <c r="P227" s="69"/>
      <c r="Q227" s="69"/>
      <c r="R227" s="69"/>
    </row>
    <row r="228" spans="1:20" ht="15" customHeight="1" x14ac:dyDescent="0.2">
      <c r="A228" s="69"/>
      <c r="B228" s="69"/>
      <c r="C228" s="69"/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</row>
    <row r="229" spans="1:20" ht="15" customHeight="1" x14ac:dyDescent="0.2">
      <c r="A229" s="69"/>
      <c r="B229" s="69"/>
      <c r="C229" s="69"/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</row>
    <row r="230" spans="1:20" ht="15" customHeight="1" x14ac:dyDescent="0.2">
      <c r="A230" s="69"/>
      <c r="B230" s="69"/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</row>
    <row r="231" spans="1:20" ht="15" customHeight="1" x14ac:dyDescent="0.2">
      <c r="A231" s="69"/>
      <c r="B231" s="69"/>
      <c r="C231" s="69"/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</row>
    <row r="232" spans="1:20" ht="15" customHeight="1" x14ac:dyDescent="0.2">
      <c r="A232" s="69"/>
      <c r="B232" s="69"/>
      <c r="C232" s="69"/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</row>
    <row r="233" spans="1:20" ht="15" customHeight="1" x14ac:dyDescent="0.2">
      <c r="A233" s="69"/>
      <c r="B233" s="69"/>
      <c r="C233" s="69"/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</row>
    <row r="234" spans="1:20" ht="15" customHeight="1" x14ac:dyDescent="0.2"/>
    <row r="235" spans="1:20" ht="15" customHeight="1" x14ac:dyDescent="0.2">
      <c r="A235" s="69"/>
      <c r="B235" s="69"/>
      <c r="C235" s="69"/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</row>
    <row r="236" spans="1:20" ht="25.5" customHeight="1" x14ac:dyDescent="0.2">
      <c r="A236" s="69"/>
      <c r="B236" s="69"/>
      <c r="C236" s="69"/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</row>
    <row r="237" spans="1:20" ht="15" customHeight="1" x14ac:dyDescent="0.25">
      <c r="A237" s="319" t="str">
        <f>"Figure 1: Calibration coefficients for "&amp;Client!B29 &amp; " serial number " &amp; Client!B30 &amp; " grouped by kVp"</f>
        <v>Figure 1: Calibration coefficients for IBA FC65-G serial number 457 grouped by kVp</v>
      </c>
      <c r="B237" s="319"/>
      <c r="C237" s="319"/>
      <c r="D237" s="319"/>
      <c r="E237" s="319"/>
      <c r="F237" s="319"/>
      <c r="G237" s="319"/>
      <c r="H237" s="319"/>
      <c r="I237" s="319"/>
      <c r="J237" s="319"/>
      <c r="K237" s="319"/>
      <c r="L237" s="319"/>
      <c r="M237" s="319"/>
      <c r="N237" s="319"/>
      <c r="O237" s="319"/>
      <c r="P237" s="319"/>
      <c r="Q237" s="319"/>
      <c r="R237" s="319"/>
      <c r="S237" s="319"/>
      <c r="T237" s="319"/>
    </row>
    <row r="238" spans="1:20" ht="12.75" customHeight="1" x14ac:dyDescent="0.2">
      <c r="A238" s="69"/>
      <c r="B238" s="69"/>
      <c r="C238" s="69"/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</row>
    <row r="239" spans="1:20" x14ac:dyDescent="0.2">
      <c r="A239" s="69"/>
      <c r="B239" s="69"/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</row>
    <row r="240" spans="1:20" ht="13.5" thickBot="1" x14ac:dyDescent="0.25">
      <c r="A240" s="69"/>
      <c r="B240" s="69"/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</row>
    <row r="241" spans="1:20" x14ac:dyDescent="0.2">
      <c r="A241" s="163" t="str">
        <f>"Calibration No.: "&amp;$T$13</f>
        <v>Calibration No.: Job_ID_01/01</v>
      </c>
      <c r="B241" s="164"/>
      <c r="C241" s="164"/>
      <c r="D241" s="164"/>
      <c r="E241" s="164"/>
      <c r="F241" s="164"/>
      <c r="G241" s="164"/>
      <c r="H241" s="164"/>
      <c r="I241" s="165" t="str">
        <f>$G$33</f>
        <v>7 July 2021</v>
      </c>
      <c r="J241" s="164"/>
      <c r="K241" s="164"/>
      <c r="L241" s="164"/>
      <c r="M241" s="164"/>
      <c r="N241" s="163" t="s">
        <v>159</v>
      </c>
      <c r="O241" s="166"/>
      <c r="P241" s="269"/>
      <c r="Q241" s="166"/>
      <c r="R241" s="166"/>
      <c r="S241" s="166"/>
      <c r="T241" s="166" t="s">
        <v>234</v>
      </c>
    </row>
    <row r="242" spans="1:20" x14ac:dyDescent="0.2">
      <c r="A242" s="69"/>
      <c r="B242" s="69"/>
      <c r="C242" s="69"/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</row>
    <row r="243" spans="1:20" x14ac:dyDescent="0.2">
      <c r="A243" s="69"/>
      <c r="B243" s="69"/>
      <c r="C243" s="69"/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</row>
    <row r="244" spans="1:20" x14ac:dyDescent="0.2">
      <c r="A244" s="69"/>
      <c r="B244" s="69"/>
      <c r="C244" s="69"/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</row>
    <row r="245" spans="1:20" x14ac:dyDescent="0.2">
      <c r="A245" s="69"/>
      <c r="B245" s="69"/>
      <c r="C245" s="69"/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</row>
    <row r="246" spans="1:20" x14ac:dyDescent="0.2">
      <c r="A246" s="69"/>
      <c r="B246" s="69"/>
      <c r="C246" s="69"/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</row>
    <row r="247" spans="1:20" x14ac:dyDescent="0.2">
      <c r="A247" s="69"/>
      <c r="B247" s="69"/>
      <c r="C247" s="69"/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</row>
    <row r="248" spans="1:20" x14ac:dyDescent="0.2">
      <c r="A248" s="69"/>
      <c r="B248" s="69"/>
      <c r="C248" s="69"/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</row>
    <row r="249" spans="1:20" x14ac:dyDescent="0.2">
      <c r="A249" s="69"/>
      <c r="B249" s="69"/>
      <c r="C249" s="69"/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</row>
    <row r="250" spans="1:20" x14ac:dyDescent="0.2">
      <c r="A250" s="69"/>
      <c r="B250" s="69"/>
      <c r="C250" s="69"/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</row>
    <row r="251" spans="1:20" x14ac:dyDescent="0.2">
      <c r="A251" s="69"/>
      <c r="B251" s="69"/>
      <c r="C251" s="69"/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</row>
    <row r="252" spans="1:20" x14ac:dyDescent="0.2">
      <c r="A252" s="69"/>
      <c r="B252" s="69"/>
      <c r="C252" s="69"/>
      <c r="D252" s="69"/>
      <c r="E252" s="69"/>
      <c r="F252" s="69"/>
      <c r="G252" s="69"/>
      <c r="H252" s="69"/>
      <c r="I252" s="69"/>
      <c r="J252" s="69"/>
      <c r="K252" s="69"/>
      <c r="L252" s="69"/>
      <c r="M252" s="69"/>
      <c r="N252" s="69"/>
      <c r="O252" s="69"/>
      <c r="P252" s="69"/>
      <c r="Q252" s="69"/>
      <c r="R252" s="69"/>
    </row>
    <row r="253" spans="1:20" x14ac:dyDescent="0.2">
      <c r="A253" s="69"/>
      <c r="B253" s="69"/>
      <c r="C253" s="69"/>
      <c r="D253" s="69"/>
      <c r="E253" s="69"/>
      <c r="F253" s="69"/>
      <c r="G253" s="69"/>
      <c r="H253" s="69"/>
      <c r="I253" s="69"/>
      <c r="J253" s="69"/>
      <c r="K253" s="69"/>
      <c r="L253" s="69"/>
      <c r="M253" s="69"/>
      <c r="N253" s="69"/>
      <c r="O253" s="69"/>
      <c r="P253" s="69"/>
      <c r="Q253" s="69"/>
      <c r="R253" s="69"/>
    </row>
    <row r="254" spans="1:20" x14ac:dyDescent="0.2">
      <c r="A254" s="69"/>
      <c r="B254" s="69"/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M254" s="69"/>
      <c r="N254" s="69"/>
      <c r="O254" s="69"/>
      <c r="P254" s="69"/>
      <c r="Q254" s="69"/>
      <c r="R254" s="69"/>
    </row>
    <row r="255" spans="1:20" x14ac:dyDescent="0.2">
      <c r="A255" s="69"/>
      <c r="B255" s="69"/>
      <c r="C255" s="69"/>
      <c r="D255" s="69"/>
      <c r="E255" s="69"/>
      <c r="F255" s="69"/>
      <c r="G255" s="69"/>
      <c r="H255" s="69"/>
      <c r="I255" s="69"/>
      <c r="J255" s="69"/>
      <c r="K255" s="69"/>
      <c r="L255" s="69"/>
      <c r="M255" s="69"/>
      <c r="N255" s="69"/>
      <c r="O255" s="69"/>
      <c r="P255" s="69"/>
      <c r="Q255" s="69"/>
      <c r="R255" s="69"/>
    </row>
    <row r="256" spans="1:20" x14ac:dyDescent="0.2">
      <c r="A256" s="69"/>
      <c r="B256" s="69"/>
      <c r="C256" s="69"/>
      <c r="D256" s="69"/>
      <c r="E256" s="69"/>
      <c r="F256" s="69"/>
      <c r="G256" s="69"/>
      <c r="H256" s="69"/>
      <c r="I256" s="69"/>
      <c r="J256" s="69"/>
      <c r="K256" s="69"/>
      <c r="L256" s="69"/>
      <c r="M256" s="69"/>
      <c r="N256" s="69"/>
      <c r="O256" s="69"/>
      <c r="P256" s="69"/>
      <c r="Q256" s="69"/>
      <c r="R256" s="69"/>
    </row>
    <row r="257" spans="1:20" x14ac:dyDescent="0.2">
      <c r="A257" s="69"/>
      <c r="B257" s="69"/>
      <c r="C257" s="69"/>
      <c r="D257" s="69"/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69"/>
    </row>
    <row r="258" spans="1:20" x14ac:dyDescent="0.2">
      <c r="A258" s="69"/>
      <c r="B258" s="69"/>
      <c r="C258" s="69"/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69"/>
      <c r="R258" s="69"/>
    </row>
    <row r="259" spans="1:20" x14ac:dyDescent="0.2">
      <c r="A259" s="69"/>
      <c r="B259" s="69"/>
      <c r="C259" s="69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</row>
    <row r="260" spans="1:20" x14ac:dyDescent="0.2">
      <c r="A260" s="69"/>
      <c r="B260" s="69"/>
      <c r="C260" s="69"/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69"/>
      <c r="R260" s="69"/>
    </row>
    <row r="261" spans="1:20" x14ac:dyDescent="0.2">
      <c r="A261" s="69"/>
      <c r="B261" s="69"/>
      <c r="C261" s="69"/>
      <c r="D261" s="69"/>
      <c r="E261" s="69"/>
      <c r="F261" s="69"/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69"/>
      <c r="R261" s="69"/>
    </row>
    <row r="262" spans="1:20" x14ac:dyDescent="0.2">
      <c r="A262" s="69"/>
      <c r="B262" s="69"/>
      <c r="C262" s="69"/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69"/>
      <c r="P262" s="69"/>
      <c r="Q262" s="69"/>
      <c r="R262" s="69"/>
    </row>
    <row r="263" spans="1:20" x14ac:dyDescent="0.2">
      <c r="A263" s="69"/>
      <c r="B263" s="69"/>
      <c r="C263" s="69"/>
      <c r="D263" s="69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69"/>
    </row>
    <row r="264" spans="1:20" x14ac:dyDescent="0.2">
      <c r="A264" s="69"/>
      <c r="B264" s="69"/>
      <c r="C264" s="69"/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69"/>
      <c r="P264" s="69"/>
      <c r="Q264" s="69"/>
      <c r="R264" s="69"/>
    </row>
    <row r="265" spans="1:20" ht="15" x14ac:dyDescent="0.25">
      <c r="A265" s="319" t="str">
        <f>"Figure 2: Calibration coefficients for "&amp;Client!$B$29 &amp; " serial number " &amp; Client!$B$30 &amp; " versus HVL (mm Al)"</f>
        <v>Figure 2: Calibration coefficients for IBA FC65-G serial number 457 versus HVL (mm Al)</v>
      </c>
      <c r="B265" s="319"/>
      <c r="C265" s="319"/>
      <c r="D265" s="319"/>
      <c r="E265" s="319"/>
      <c r="F265" s="319"/>
      <c r="G265" s="319"/>
      <c r="H265" s="319"/>
      <c r="I265" s="319"/>
      <c r="J265" s="319"/>
      <c r="K265" s="319"/>
      <c r="L265" s="319"/>
      <c r="M265" s="319"/>
      <c r="N265" s="319"/>
      <c r="O265" s="319"/>
      <c r="P265" s="319"/>
      <c r="Q265" s="319"/>
      <c r="R265" s="319"/>
      <c r="S265" s="319"/>
      <c r="T265" s="319"/>
    </row>
    <row r="266" spans="1:20" x14ac:dyDescent="0.2">
      <c r="A266" s="69"/>
      <c r="B266" s="69"/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</row>
    <row r="267" spans="1:20" x14ac:dyDescent="0.2">
      <c r="A267" s="69"/>
      <c r="B267" s="69"/>
      <c r="C267" s="69"/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</row>
    <row r="268" spans="1:20" x14ac:dyDescent="0.2">
      <c r="A268" s="69"/>
      <c r="B268" s="69"/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69"/>
    </row>
    <row r="269" spans="1:20" x14ac:dyDescent="0.2">
      <c r="A269" s="69"/>
      <c r="B269" s="69"/>
      <c r="C269" s="69"/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</row>
    <row r="270" spans="1:20" x14ac:dyDescent="0.2">
      <c r="A270" s="69"/>
      <c r="B270" s="69"/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</row>
    <row r="271" spans="1:20" x14ac:dyDescent="0.2">
      <c r="A271" s="69"/>
      <c r="B271" s="69"/>
      <c r="C271" s="69"/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</row>
    <row r="272" spans="1:20" x14ac:dyDescent="0.2">
      <c r="A272" s="69"/>
      <c r="B272" s="69"/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69"/>
    </row>
    <row r="273" spans="1:18" x14ac:dyDescent="0.2">
      <c r="A273" s="69"/>
      <c r="B273" s="69"/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M273" s="69"/>
      <c r="N273" s="69"/>
      <c r="O273" s="69"/>
      <c r="P273" s="69"/>
      <c r="Q273" s="69"/>
      <c r="R273" s="69"/>
    </row>
    <row r="274" spans="1:18" x14ac:dyDescent="0.2">
      <c r="A274" s="69"/>
      <c r="B274" s="69"/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9"/>
      <c r="N274" s="69"/>
      <c r="O274" s="69"/>
      <c r="P274" s="69"/>
      <c r="Q274" s="69"/>
      <c r="R274" s="69"/>
    </row>
    <row r="275" spans="1:18" x14ac:dyDescent="0.2">
      <c r="A275" s="69"/>
      <c r="B275" s="69"/>
      <c r="C275" s="69"/>
      <c r="D275" s="69"/>
      <c r="E275" s="69"/>
      <c r="F275" s="69"/>
      <c r="G275" s="69"/>
      <c r="H275" s="69"/>
      <c r="I275" s="69"/>
      <c r="J275" s="69"/>
      <c r="K275" s="69"/>
      <c r="L275" s="69"/>
      <c r="M275" s="69"/>
      <c r="N275" s="69"/>
      <c r="O275" s="69"/>
      <c r="P275" s="69"/>
      <c r="Q275" s="69"/>
      <c r="R275" s="69"/>
    </row>
    <row r="276" spans="1:18" x14ac:dyDescent="0.2">
      <c r="A276" s="69"/>
      <c r="B276" s="69"/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9"/>
      <c r="N276" s="69"/>
      <c r="O276" s="69"/>
      <c r="P276" s="69"/>
      <c r="Q276" s="69"/>
      <c r="R276" s="69"/>
    </row>
    <row r="277" spans="1:18" x14ac:dyDescent="0.2">
      <c r="A277" s="69"/>
      <c r="B277" s="69"/>
      <c r="C277" s="69"/>
      <c r="D277" s="69"/>
      <c r="E277" s="69"/>
      <c r="F277" s="69"/>
      <c r="G277" s="69"/>
      <c r="H277" s="69"/>
      <c r="I277" s="69"/>
      <c r="J277" s="69"/>
      <c r="K277" s="69"/>
      <c r="L277" s="69"/>
      <c r="M277" s="69"/>
      <c r="N277" s="69"/>
      <c r="O277" s="69"/>
      <c r="P277" s="69"/>
      <c r="Q277" s="69"/>
      <c r="R277" s="69"/>
    </row>
    <row r="278" spans="1:18" x14ac:dyDescent="0.2">
      <c r="A278" s="69"/>
      <c r="B278" s="69"/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69"/>
    </row>
    <row r="279" spans="1:18" x14ac:dyDescent="0.2">
      <c r="A279" s="69"/>
      <c r="B279" s="69"/>
      <c r="C279" s="69"/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</row>
    <row r="280" spans="1:18" x14ac:dyDescent="0.2">
      <c r="A280" s="69"/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</row>
    <row r="281" spans="1:18" x14ac:dyDescent="0.2">
      <c r="A281" s="69"/>
      <c r="B281" s="69"/>
      <c r="C281" s="69"/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</row>
    <row r="282" spans="1:18" x14ac:dyDescent="0.2">
      <c r="A282" s="69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</row>
    <row r="283" spans="1:18" x14ac:dyDescent="0.2">
      <c r="A283" s="69"/>
      <c r="B283" s="69"/>
      <c r="C283" s="69"/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</row>
    <row r="284" spans="1:18" x14ac:dyDescent="0.2">
      <c r="A284" s="69"/>
      <c r="B284" s="69"/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69"/>
    </row>
    <row r="285" spans="1:18" x14ac:dyDescent="0.2">
      <c r="A285" s="69"/>
      <c r="B285" s="69"/>
      <c r="C285" s="69"/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</row>
    <row r="286" spans="1:18" x14ac:dyDescent="0.2">
      <c r="A286" s="69"/>
      <c r="B286" s="69"/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69"/>
    </row>
    <row r="287" spans="1:18" x14ac:dyDescent="0.2">
      <c r="A287" s="69"/>
      <c r="B287" s="69"/>
      <c r="C287" s="69"/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</row>
    <row r="288" spans="1:18" x14ac:dyDescent="0.2">
      <c r="A288" s="69"/>
      <c r="B288" s="69"/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69"/>
    </row>
    <row r="289" spans="1:20" x14ac:dyDescent="0.2">
      <c r="A289" s="69"/>
      <c r="B289" s="69"/>
      <c r="C289" s="69"/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</row>
    <row r="290" spans="1:20" x14ac:dyDescent="0.2">
      <c r="A290" s="69"/>
      <c r="B290" s="69"/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</row>
    <row r="291" spans="1:20" x14ac:dyDescent="0.2">
      <c r="A291" s="69"/>
      <c r="B291" s="69"/>
      <c r="C291" s="69"/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</row>
    <row r="292" spans="1:20" ht="15" x14ac:dyDescent="0.25">
      <c r="A292" s="319" t="str">
        <f>"Figure 3: Calibration coefficients for "&amp;Client!$B$29 &amp; " serial number " &amp; Client!$B$30 &amp; " versus HVL (mm Cu)"</f>
        <v>Figure 3: Calibration coefficients for IBA FC65-G serial number 457 versus HVL (mm Cu)</v>
      </c>
      <c r="B292" s="319"/>
      <c r="C292" s="319"/>
      <c r="D292" s="319"/>
      <c r="E292" s="319"/>
      <c r="F292" s="319"/>
      <c r="G292" s="319"/>
      <c r="H292" s="319"/>
      <c r="I292" s="319"/>
      <c r="J292" s="319"/>
      <c r="K292" s="319"/>
      <c r="L292" s="319"/>
      <c r="M292" s="319"/>
      <c r="N292" s="319"/>
      <c r="O292" s="319"/>
      <c r="P292" s="319"/>
      <c r="Q292" s="319"/>
      <c r="R292" s="319"/>
      <c r="S292" s="319"/>
      <c r="T292" s="319"/>
    </row>
    <row r="293" spans="1:20" x14ac:dyDescent="0.2">
      <c r="A293" s="69"/>
      <c r="B293" s="69"/>
      <c r="C293" s="69"/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</row>
    <row r="294" spans="1:20" x14ac:dyDescent="0.2">
      <c r="A294" s="69"/>
      <c r="B294" s="69"/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69"/>
    </row>
    <row r="296" spans="1:20" x14ac:dyDescent="0.2">
      <c r="A296" s="69"/>
      <c r="B296" s="69"/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</row>
    <row r="297" spans="1:20" x14ac:dyDescent="0.2">
      <c r="A297" s="69"/>
      <c r="B297" s="69"/>
      <c r="C297" s="69"/>
      <c r="D297" s="69"/>
      <c r="E297" s="69"/>
      <c r="F297" s="69"/>
      <c r="G297" s="69"/>
      <c r="H297" s="69"/>
      <c r="I297" s="69"/>
      <c r="J297" s="69"/>
      <c r="K297" s="69"/>
      <c r="L297" s="69"/>
      <c r="M297" s="69"/>
      <c r="N297" s="69"/>
      <c r="O297" s="69"/>
      <c r="P297" s="69"/>
      <c r="Q297" s="69"/>
      <c r="R297" s="69"/>
    </row>
    <row r="298" spans="1:20" x14ac:dyDescent="0.2">
      <c r="A298" s="69"/>
      <c r="B298" s="69"/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69"/>
      <c r="P298" s="69"/>
      <c r="Q298" s="69"/>
      <c r="R298" s="69"/>
    </row>
    <row r="299" spans="1:20" x14ac:dyDescent="0.2">
      <c r="A299" s="69"/>
      <c r="B299" s="69"/>
      <c r="C299" s="69"/>
      <c r="D299" s="69"/>
      <c r="E299" s="69"/>
      <c r="F299" s="69"/>
      <c r="G299" s="69"/>
      <c r="H299" s="69"/>
      <c r="I299" s="69"/>
      <c r="J299" s="69"/>
      <c r="K299" s="69"/>
      <c r="L299" s="69"/>
      <c r="M299" s="69"/>
      <c r="N299" s="69"/>
      <c r="O299" s="69"/>
      <c r="P299" s="69"/>
      <c r="Q299" s="69"/>
      <c r="R299" s="69"/>
    </row>
    <row r="300" spans="1:20" ht="19.5" customHeight="1" x14ac:dyDescent="0.2">
      <c r="A300" s="69"/>
      <c r="B300" s="69"/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9"/>
      <c r="N300" s="69"/>
      <c r="O300" s="69"/>
      <c r="P300" s="69"/>
      <c r="Q300" s="69"/>
      <c r="R300" s="69"/>
    </row>
    <row r="301" spans="1:20" x14ac:dyDescent="0.2">
      <c r="A301" s="69"/>
      <c r="B301" s="69"/>
      <c r="C301" s="69"/>
      <c r="D301" s="69"/>
      <c r="E301" s="69"/>
      <c r="F301" s="69"/>
      <c r="G301" s="69"/>
      <c r="H301" s="69"/>
      <c r="I301" s="69"/>
      <c r="J301" s="69"/>
      <c r="K301" s="69"/>
      <c r="L301" s="69"/>
      <c r="M301" s="69"/>
      <c r="N301" s="69"/>
      <c r="O301" s="69"/>
      <c r="P301" s="69"/>
      <c r="Q301" s="69"/>
      <c r="R301" s="69"/>
    </row>
    <row r="302" spans="1:20" ht="13.5" thickBot="1" x14ac:dyDescent="0.25">
      <c r="A302" s="69"/>
      <c r="B302" s="69"/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69"/>
      <c r="R302" s="69"/>
    </row>
    <row r="303" spans="1:20" x14ac:dyDescent="0.2">
      <c r="A303" s="163" t="str">
        <f>"Calibration No.: "&amp;$T$13</f>
        <v>Calibration No.: Job_ID_01/01</v>
      </c>
      <c r="B303" s="164"/>
      <c r="C303" s="164"/>
      <c r="D303" s="164"/>
      <c r="E303" s="164"/>
      <c r="F303" s="164"/>
      <c r="G303" s="164"/>
      <c r="H303" s="164"/>
      <c r="I303" s="165" t="str">
        <f>$G$33</f>
        <v>7 July 2021</v>
      </c>
      <c r="J303" s="164"/>
      <c r="K303" s="164"/>
      <c r="L303" s="164"/>
      <c r="M303" s="164"/>
      <c r="N303" s="163" t="s">
        <v>159</v>
      </c>
      <c r="O303" s="166"/>
      <c r="P303" s="269"/>
      <c r="Q303" s="166"/>
      <c r="R303" s="166"/>
      <c r="S303" s="166"/>
      <c r="T303" s="166" t="s">
        <v>233</v>
      </c>
    </row>
    <row r="304" spans="1:20" x14ac:dyDescent="0.2">
      <c r="A304" s="69"/>
      <c r="B304" s="69"/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69"/>
      <c r="R304" s="69"/>
    </row>
    <row r="305" spans="1:18" x14ac:dyDescent="0.2">
      <c r="A305" s="69"/>
      <c r="B305" s="69"/>
      <c r="C305" s="69"/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</row>
    <row r="306" spans="1:18" x14ac:dyDescent="0.2">
      <c r="A306" s="69"/>
      <c r="B306" s="69"/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69"/>
      <c r="R306" s="69"/>
    </row>
    <row r="307" spans="1:18" x14ac:dyDescent="0.2">
      <c r="A307" s="69"/>
      <c r="B307" s="69"/>
      <c r="C307" s="69"/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</row>
    <row r="308" spans="1:18" x14ac:dyDescent="0.2">
      <c r="A308" s="69"/>
      <c r="B308" s="69"/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</row>
    <row r="309" spans="1:18" x14ac:dyDescent="0.2">
      <c r="A309" s="69"/>
      <c r="B309" s="69"/>
      <c r="C309" s="69"/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</row>
    <row r="310" spans="1:18" x14ac:dyDescent="0.2">
      <c r="A310" s="69"/>
      <c r="B310" s="69"/>
      <c r="C310" s="69"/>
      <c r="D310" s="69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</row>
    <row r="311" spans="1:18" x14ac:dyDescent="0.2">
      <c r="A311" s="69"/>
      <c r="B311" s="69"/>
      <c r="C311" s="69"/>
      <c r="D311" s="69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</row>
    <row r="312" spans="1:18" x14ac:dyDescent="0.2">
      <c r="A312" s="69"/>
      <c r="B312" s="69"/>
      <c r="C312" s="69"/>
      <c r="D312" s="69"/>
      <c r="E312" s="69"/>
      <c r="F312" s="69"/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69"/>
      <c r="R312" s="69"/>
    </row>
    <row r="313" spans="1:18" x14ac:dyDescent="0.2">
      <c r="A313" s="69"/>
      <c r="B313" s="69"/>
      <c r="C313" s="69"/>
      <c r="D313" s="69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</row>
    <row r="314" spans="1:18" x14ac:dyDescent="0.2">
      <c r="A314" s="69"/>
      <c r="B314" s="69"/>
      <c r="C314" s="69"/>
      <c r="D314" s="69"/>
      <c r="E314" s="69"/>
      <c r="F314" s="69"/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69"/>
      <c r="R314" s="69"/>
    </row>
    <row r="315" spans="1:18" x14ac:dyDescent="0.2">
      <c r="A315" s="69"/>
      <c r="B315" s="69"/>
      <c r="C315" s="69"/>
      <c r="D315" s="69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</row>
    <row r="316" spans="1:18" x14ac:dyDescent="0.2">
      <c r="A316" s="69"/>
      <c r="B316" s="69"/>
      <c r="C316" s="69"/>
      <c r="D316" s="69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</row>
    <row r="317" spans="1:18" x14ac:dyDescent="0.2">
      <c r="A317" s="69"/>
      <c r="B317" s="69"/>
      <c r="C317" s="69"/>
      <c r="D317" s="69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</row>
    <row r="318" spans="1:18" x14ac:dyDescent="0.2">
      <c r="A318" s="69"/>
      <c r="B318" s="69"/>
      <c r="C318" s="69"/>
      <c r="D318" s="69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</row>
    <row r="319" spans="1:18" x14ac:dyDescent="0.2">
      <c r="A319" s="69"/>
      <c r="B319" s="69"/>
      <c r="C319" s="69"/>
      <c r="D319" s="69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</row>
    <row r="320" spans="1:18" x14ac:dyDescent="0.2">
      <c r="A320" s="69"/>
      <c r="B320" s="69"/>
      <c r="C320" s="69"/>
      <c r="D320" s="69"/>
      <c r="E320" s="69"/>
      <c r="F320" s="69"/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69"/>
      <c r="R320" s="69"/>
    </row>
    <row r="321" spans="1:18" x14ac:dyDescent="0.2">
      <c r="A321" s="69"/>
      <c r="B321" s="69"/>
      <c r="C321" s="69"/>
      <c r="D321" s="69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</row>
    <row r="322" spans="1:18" x14ac:dyDescent="0.2">
      <c r="A322" s="69"/>
      <c r="B322" s="69"/>
      <c r="C322" s="69"/>
      <c r="D322" s="69"/>
      <c r="E322" s="69"/>
      <c r="F322" s="69"/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69"/>
      <c r="R322" s="69"/>
    </row>
    <row r="323" spans="1:18" x14ac:dyDescent="0.2">
      <c r="A323" s="69"/>
      <c r="B323" s="69"/>
      <c r="C323" s="69"/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</row>
    <row r="324" spans="1:18" x14ac:dyDescent="0.2">
      <c r="A324" s="69"/>
      <c r="B324" s="69"/>
      <c r="C324" s="69"/>
      <c r="D324" s="69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</row>
    <row r="325" spans="1:18" x14ac:dyDescent="0.2">
      <c r="A325" s="69"/>
      <c r="B325" s="69"/>
      <c r="C325" s="69"/>
      <c r="D325" s="69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</row>
    <row r="326" spans="1:18" x14ac:dyDescent="0.2">
      <c r="A326" s="69"/>
      <c r="B326" s="69"/>
      <c r="C326" s="69"/>
      <c r="D326" s="69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</row>
    <row r="327" spans="1:18" x14ac:dyDescent="0.2">
      <c r="A327" s="69"/>
      <c r="B327" s="69"/>
      <c r="C327" s="69"/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</row>
    <row r="328" spans="1:18" x14ac:dyDescent="0.2">
      <c r="A328" s="69"/>
      <c r="B328" s="69"/>
      <c r="C328" s="69"/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69"/>
      <c r="R328" s="69"/>
    </row>
    <row r="329" spans="1:18" x14ac:dyDescent="0.2">
      <c r="A329" s="69"/>
      <c r="B329" s="69"/>
      <c r="C329" s="69"/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</row>
    <row r="330" spans="1:18" x14ac:dyDescent="0.2">
      <c r="A330" s="69"/>
      <c r="B330" s="69"/>
      <c r="C330" s="69"/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69"/>
      <c r="R330" s="69"/>
    </row>
    <row r="331" spans="1:18" x14ac:dyDescent="0.2">
      <c r="A331" s="69"/>
      <c r="B331" s="69"/>
      <c r="C331" s="69"/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</row>
    <row r="332" spans="1:18" x14ac:dyDescent="0.2">
      <c r="A332" s="69"/>
      <c r="B332" s="69"/>
      <c r="C332" s="69"/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</row>
    <row r="333" spans="1:18" x14ac:dyDescent="0.2">
      <c r="A333" s="69"/>
      <c r="B333" s="69"/>
      <c r="C333" s="69"/>
      <c r="D333" s="69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</row>
    <row r="334" spans="1:18" x14ac:dyDescent="0.2">
      <c r="A334" s="69"/>
      <c r="B334" s="69"/>
      <c r="C334" s="69"/>
      <c r="D334" s="69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</row>
    <row r="335" spans="1:18" x14ac:dyDescent="0.2">
      <c r="A335" s="69"/>
      <c r="B335" s="69"/>
      <c r="C335" s="69"/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</row>
    <row r="336" spans="1:18" x14ac:dyDescent="0.2">
      <c r="A336" s="69"/>
      <c r="B336" s="69"/>
      <c r="C336" s="69"/>
      <c r="D336" s="69"/>
      <c r="E336" s="69"/>
      <c r="F336" s="69"/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69"/>
      <c r="R336" s="69"/>
    </row>
    <row r="337" spans="1:18" x14ac:dyDescent="0.2">
      <c r="A337" s="69"/>
      <c r="B337" s="69"/>
      <c r="C337" s="69"/>
      <c r="D337" s="69"/>
      <c r="E337" s="69"/>
      <c r="F337" s="69"/>
      <c r="G337" s="69"/>
      <c r="H337" s="69"/>
      <c r="I337" s="69"/>
      <c r="J337" s="69"/>
      <c r="K337" s="69"/>
      <c r="L337" s="69"/>
      <c r="M337" s="69"/>
      <c r="N337" s="69"/>
      <c r="O337" s="69"/>
      <c r="P337" s="69"/>
      <c r="Q337" s="69"/>
      <c r="R337" s="69"/>
    </row>
    <row r="338" spans="1:18" x14ac:dyDescent="0.2">
      <c r="A338" s="69"/>
      <c r="B338" s="69"/>
      <c r="C338" s="69"/>
      <c r="D338" s="69"/>
      <c r="E338" s="69"/>
      <c r="F338" s="69"/>
      <c r="G338" s="69"/>
      <c r="H338" s="69"/>
      <c r="I338" s="69"/>
      <c r="J338" s="69"/>
      <c r="K338" s="69"/>
      <c r="L338" s="69"/>
      <c r="M338" s="69"/>
      <c r="N338" s="69"/>
      <c r="O338" s="69"/>
      <c r="P338" s="69"/>
      <c r="Q338" s="69"/>
      <c r="R338" s="69"/>
    </row>
    <row r="339" spans="1:18" x14ac:dyDescent="0.2">
      <c r="A339" s="69"/>
      <c r="B339" s="69"/>
      <c r="C339" s="69"/>
      <c r="D339" s="69"/>
      <c r="E339" s="69"/>
      <c r="F339" s="69"/>
      <c r="G339" s="69"/>
      <c r="H339" s="69"/>
      <c r="I339" s="69"/>
      <c r="J339" s="69"/>
      <c r="K339" s="69"/>
      <c r="L339" s="69"/>
      <c r="M339" s="69"/>
      <c r="N339" s="69"/>
      <c r="O339" s="69"/>
      <c r="P339" s="69"/>
      <c r="Q339" s="69"/>
      <c r="R339" s="69"/>
    </row>
    <row r="340" spans="1:18" x14ac:dyDescent="0.2">
      <c r="A340" s="69"/>
      <c r="B340" s="69"/>
      <c r="C340" s="69"/>
      <c r="D340" s="69"/>
      <c r="E340" s="69"/>
      <c r="F340" s="69"/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69"/>
      <c r="R340" s="69"/>
    </row>
    <row r="341" spans="1:18" x14ac:dyDescent="0.2">
      <c r="A341" s="69"/>
      <c r="B341" s="69"/>
      <c r="C341" s="69"/>
      <c r="D341" s="69"/>
      <c r="E341" s="69"/>
      <c r="F341" s="69"/>
      <c r="G341" s="69"/>
      <c r="H341" s="69"/>
      <c r="I341" s="69"/>
      <c r="J341" s="69"/>
      <c r="K341" s="69"/>
      <c r="L341" s="69"/>
      <c r="M341" s="69"/>
      <c r="N341" s="69"/>
      <c r="O341" s="69"/>
      <c r="P341" s="69"/>
      <c r="Q341" s="69"/>
      <c r="R341" s="69"/>
    </row>
    <row r="342" spans="1:18" x14ac:dyDescent="0.2">
      <c r="A342" s="69"/>
      <c r="B342" s="69"/>
      <c r="C342" s="69"/>
      <c r="D342" s="69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</row>
    <row r="343" spans="1:18" x14ac:dyDescent="0.2">
      <c r="A343" s="69"/>
      <c r="B343" s="69"/>
      <c r="C343" s="69"/>
      <c r="D343" s="69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</row>
    <row r="344" spans="1:18" x14ac:dyDescent="0.2">
      <c r="A344" s="69"/>
      <c r="B344" s="69"/>
      <c r="C344" s="69"/>
      <c r="D344" s="69"/>
      <c r="E344" s="69"/>
      <c r="F344" s="69"/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</row>
    <row r="345" spans="1:18" x14ac:dyDescent="0.2">
      <c r="A345" s="69"/>
      <c r="B345" s="69"/>
      <c r="C345" s="69"/>
      <c r="D345" s="69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</row>
    <row r="346" spans="1:18" x14ac:dyDescent="0.2">
      <c r="A346" s="69"/>
      <c r="B346" s="69"/>
      <c r="C346" s="69"/>
      <c r="D346" s="69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</row>
    <row r="347" spans="1:18" x14ac:dyDescent="0.2">
      <c r="A347" s="69"/>
      <c r="B347" s="69"/>
      <c r="C347" s="69"/>
      <c r="D347" s="69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</row>
    <row r="348" spans="1:18" x14ac:dyDescent="0.2">
      <c r="A348" s="69"/>
      <c r="B348" s="69"/>
      <c r="C348" s="69"/>
      <c r="D348" s="69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</row>
    <row r="349" spans="1:18" x14ac:dyDescent="0.2">
      <c r="A349" s="69"/>
      <c r="B349" s="69"/>
      <c r="C349" s="69"/>
      <c r="D349" s="69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</row>
    <row r="350" spans="1:18" x14ac:dyDescent="0.2">
      <c r="A350" s="69"/>
      <c r="B350" s="69"/>
      <c r="C350" s="69"/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</row>
    <row r="351" spans="1:18" x14ac:dyDescent="0.2">
      <c r="A351" s="69"/>
      <c r="B351" s="69"/>
      <c r="C351" s="69"/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</row>
    <row r="352" spans="1:18" x14ac:dyDescent="0.2">
      <c r="A352" s="69"/>
      <c r="B352" s="69"/>
      <c r="C352" s="69"/>
      <c r="D352" s="69"/>
      <c r="E352" s="69"/>
      <c r="F352" s="69"/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</row>
    <row r="353" spans="1:18" x14ac:dyDescent="0.2">
      <c r="A353" s="69"/>
      <c r="B353" s="69"/>
      <c r="C353" s="69"/>
      <c r="D353" s="69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</row>
    <row r="354" spans="1:18" x14ac:dyDescent="0.2">
      <c r="A354" s="69"/>
      <c r="B354" s="69"/>
      <c r="C354" s="69"/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</row>
    <row r="355" spans="1:18" x14ac:dyDescent="0.2">
      <c r="A355" s="69"/>
      <c r="B355" s="69"/>
      <c r="C355" s="69"/>
      <c r="D355" s="69"/>
      <c r="E355" s="69"/>
      <c r="F355" s="69"/>
      <c r="G355" s="69"/>
      <c r="H355" s="69"/>
      <c r="I355" s="69"/>
      <c r="J355" s="69"/>
      <c r="K355" s="69"/>
      <c r="L355" s="69"/>
      <c r="M355" s="69"/>
      <c r="N355" s="69"/>
      <c r="O355" s="69"/>
      <c r="P355" s="69"/>
      <c r="Q355" s="69"/>
      <c r="R355" s="69"/>
    </row>
    <row r="356" spans="1:18" x14ac:dyDescent="0.2">
      <c r="A356" s="69"/>
      <c r="B356" s="69"/>
      <c r="C356" s="69"/>
      <c r="D356" s="69"/>
      <c r="E356" s="69"/>
      <c r="F356" s="69"/>
      <c r="G356" s="69"/>
      <c r="H356" s="69"/>
      <c r="I356" s="69"/>
      <c r="J356" s="69"/>
      <c r="K356" s="69"/>
      <c r="L356" s="69"/>
      <c r="M356" s="69"/>
      <c r="N356" s="69"/>
      <c r="O356" s="69"/>
      <c r="P356" s="69"/>
      <c r="Q356" s="69"/>
      <c r="R356" s="69"/>
    </row>
    <row r="357" spans="1:18" x14ac:dyDescent="0.2">
      <c r="A357" s="69"/>
      <c r="B357" s="69"/>
      <c r="C357" s="69"/>
      <c r="D357" s="69"/>
      <c r="E357" s="69"/>
      <c r="F357" s="69"/>
      <c r="G357" s="69"/>
      <c r="H357" s="69"/>
      <c r="I357" s="69"/>
      <c r="J357" s="69"/>
      <c r="K357" s="69"/>
      <c r="L357" s="69"/>
      <c r="M357" s="69"/>
      <c r="N357" s="69"/>
      <c r="O357" s="69"/>
      <c r="P357" s="69"/>
      <c r="Q357" s="69"/>
      <c r="R357" s="69"/>
    </row>
    <row r="358" spans="1:18" x14ac:dyDescent="0.2">
      <c r="A358" s="69"/>
      <c r="B358" s="69"/>
      <c r="C358" s="69"/>
      <c r="D358" s="69"/>
      <c r="E358" s="69"/>
      <c r="F358" s="69"/>
      <c r="G358" s="69"/>
      <c r="H358" s="69"/>
      <c r="I358" s="69"/>
      <c r="J358" s="69"/>
      <c r="K358" s="69"/>
      <c r="L358" s="69"/>
      <c r="M358" s="69"/>
      <c r="N358" s="69"/>
      <c r="O358" s="69"/>
      <c r="P358" s="69"/>
      <c r="Q358" s="69"/>
      <c r="R358" s="69"/>
    </row>
    <row r="359" spans="1:18" x14ac:dyDescent="0.2">
      <c r="A359" s="69"/>
      <c r="B359" s="69"/>
      <c r="C359" s="69"/>
      <c r="D359" s="69"/>
      <c r="E359" s="69"/>
      <c r="F359" s="69"/>
      <c r="G359" s="69"/>
      <c r="H359" s="69"/>
      <c r="I359" s="69"/>
      <c r="J359" s="69"/>
      <c r="K359" s="69"/>
      <c r="L359" s="69"/>
      <c r="M359" s="69"/>
      <c r="N359" s="69"/>
      <c r="O359" s="69"/>
      <c r="P359" s="69"/>
      <c r="Q359" s="69"/>
      <c r="R359" s="69"/>
    </row>
    <row r="360" spans="1:18" x14ac:dyDescent="0.2">
      <c r="A360" s="69"/>
      <c r="B360" s="69"/>
      <c r="C360" s="69"/>
      <c r="D360" s="69"/>
      <c r="E360" s="69"/>
      <c r="F360" s="69"/>
      <c r="G360" s="69"/>
      <c r="H360" s="69"/>
      <c r="I360" s="69"/>
      <c r="J360" s="69"/>
      <c r="K360" s="69"/>
      <c r="L360" s="69"/>
      <c r="M360" s="69"/>
      <c r="N360" s="69"/>
      <c r="O360" s="69"/>
      <c r="P360" s="69"/>
      <c r="Q360" s="69"/>
      <c r="R360" s="69"/>
    </row>
    <row r="361" spans="1:18" x14ac:dyDescent="0.2">
      <c r="A361" s="69"/>
      <c r="B361" s="69"/>
      <c r="C361" s="69"/>
      <c r="D361" s="69"/>
      <c r="E361" s="69"/>
      <c r="F361" s="69"/>
      <c r="G361" s="69"/>
      <c r="H361" s="69"/>
      <c r="I361" s="69"/>
      <c r="J361" s="69"/>
      <c r="K361" s="69"/>
      <c r="L361" s="69"/>
      <c r="M361" s="69"/>
      <c r="N361" s="69"/>
      <c r="O361" s="69"/>
      <c r="P361" s="69"/>
      <c r="Q361" s="69"/>
      <c r="R361" s="69"/>
    </row>
    <row r="362" spans="1:18" x14ac:dyDescent="0.2">
      <c r="A362" s="69"/>
      <c r="B362" s="69"/>
      <c r="C362" s="69"/>
      <c r="D362" s="69"/>
      <c r="E362" s="69"/>
      <c r="F362" s="69"/>
      <c r="G362" s="69"/>
      <c r="H362" s="69"/>
      <c r="I362" s="69"/>
      <c r="J362" s="69"/>
      <c r="K362" s="69"/>
      <c r="L362" s="69"/>
      <c r="M362" s="69"/>
      <c r="N362" s="69"/>
      <c r="O362" s="69"/>
      <c r="P362" s="69"/>
      <c r="Q362" s="69"/>
      <c r="R362" s="69"/>
    </row>
    <row r="363" spans="1:18" x14ac:dyDescent="0.2">
      <c r="A363" s="69"/>
      <c r="B363" s="69"/>
      <c r="C363" s="69"/>
      <c r="D363" s="69"/>
      <c r="E363" s="69"/>
      <c r="F363" s="69"/>
      <c r="G363" s="69"/>
      <c r="H363" s="69"/>
      <c r="I363" s="69"/>
      <c r="J363" s="69"/>
      <c r="K363" s="69"/>
      <c r="L363" s="69"/>
      <c r="M363" s="69"/>
      <c r="N363" s="69"/>
      <c r="O363" s="69"/>
      <c r="P363" s="69"/>
      <c r="Q363" s="69"/>
      <c r="R363" s="69"/>
    </row>
    <row r="364" spans="1:18" x14ac:dyDescent="0.2">
      <c r="A364" s="69"/>
      <c r="B364" s="69"/>
      <c r="C364" s="69"/>
      <c r="D364" s="69"/>
      <c r="E364" s="69"/>
      <c r="F364" s="69"/>
      <c r="G364" s="69"/>
      <c r="H364" s="69"/>
      <c r="I364" s="69"/>
      <c r="J364" s="69"/>
      <c r="K364" s="69"/>
      <c r="L364" s="69"/>
      <c r="M364" s="69"/>
      <c r="N364" s="69"/>
      <c r="O364" s="69"/>
      <c r="P364" s="69"/>
      <c r="Q364" s="69"/>
      <c r="R364" s="69"/>
    </row>
    <row r="365" spans="1:18" x14ac:dyDescent="0.2">
      <c r="A365" s="69"/>
      <c r="B365" s="69"/>
      <c r="C365" s="69"/>
      <c r="D365" s="69"/>
      <c r="E365" s="69"/>
      <c r="F365" s="69"/>
      <c r="G365" s="69"/>
      <c r="H365" s="69"/>
      <c r="I365" s="69"/>
      <c r="J365" s="69"/>
      <c r="K365" s="69"/>
      <c r="L365" s="69"/>
      <c r="M365" s="69"/>
      <c r="N365" s="69"/>
      <c r="O365" s="69"/>
      <c r="P365" s="69"/>
      <c r="Q365" s="69"/>
      <c r="R365" s="69"/>
    </row>
    <row r="366" spans="1:18" x14ac:dyDescent="0.2">
      <c r="A366" s="69"/>
      <c r="B366" s="69"/>
      <c r="C366" s="69"/>
      <c r="D366" s="69"/>
      <c r="E366" s="69"/>
      <c r="F366" s="69"/>
      <c r="G366" s="69"/>
      <c r="H366" s="69"/>
      <c r="I366" s="69"/>
      <c r="J366" s="69"/>
      <c r="K366" s="69"/>
      <c r="L366" s="69"/>
      <c r="M366" s="69"/>
      <c r="N366" s="69"/>
      <c r="O366" s="69"/>
      <c r="P366" s="69"/>
      <c r="Q366" s="69"/>
      <c r="R366" s="69"/>
    </row>
    <row r="367" spans="1:18" x14ac:dyDescent="0.2">
      <c r="A367" s="69"/>
      <c r="B367" s="69"/>
      <c r="C367" s="69"/>
      <c r="D367" s="69"/>
      <c r="E367" s="69"/>
      <c r="F367" s="69"/>
      <c r="G367" s="69"/>
      <c r="H367" s="69"/>
      <c r="I367" s="69"/>
      <c r="J367" s="69"/>
      <c r="K367" s="69"/>
      <c r="L367" s="69"/>
      <c r="M367" s="69"/>
      <c r="N367" s="69"/>
      <c r="O367" s="69"/>
      <c r="P367" s="69"/>
      <c r="Q367" s="69"/>
      <c r="R367" s="69"/>
    </row>
    <row r="368" spans="1:18" x14ac:dyDescent="0.2">
      <c r="A368" s="69"/>
      <c r="B368" s="69"/>
      <c r="C368" s="69"/>
      <c r="D368" s="69"/>
      <c r="E368" s="69"/>
      <c r="F368" s="69"/>
      <c r="G368" s="69"/>
      <c r="H368" s="69"/>
      <c r="I368" s="69"/>
      <c r="J368" s="69"/>
      <c r="K368" s="69"/>
      <c r="L368" s="69"/>
      <c r="M368" s="69"/>
      <c r="N368" s="69"/>
      <c r="O368" s="69"/>
      <c r="P368" s="69"/>
      <c r="Q368" s="69"/>
      <c r="R368" s="69"/>
    </row>
    <row r="369" spans="1:18" x14ac:dyDescent="0.2">
      <c r="A369" s="69"/>
      <c r="B369" s="69"/>
      <c r="C369" s="69"/>
      <c r="D369" s="69"/>
      <c r="E369" s="69"/>
      <c r="F369" s="69"/>
      <c r="G369" s="69"/>
      <c r="H369" s="69"/>
      <c r="I369" s="69"/>
      <c r="J369" s="69"/>
      <c r="K369" s="69"/>
      <c r="L369" s="69"/>
      <c r="M369" s="69"/>
      <c r="N369" s="69"/>
      <c r="O369" s="69"/>
      <c r="P369" s="69"/>
      <c r="Q369" s="69"/>
      <c r="R369" s="69"/>
    </row>
    <row r="370" spans="1:18" x14ac:dyDescent="0.2">
      <c r="A370" s="69"/>
      <c r="B370" s="69"/>
      <c r="C370" s="69"/>
      <c r="D370" s="69"/>
      <c r="E370" s="69"/>
      <c r="F370" s="69"/>
      <c r="G370" s="69"/>
      <c r="H370" s="69"/>
      <c r="I370" s="69"/>
      <c r="J370" s="69"/>
      <c r="K370" s="69"/>
      <c r="L370" s="69"/>
      <c r="M370" s="69"/>
      <c r="N370" s="69"/>
      <c r="O370" s="69"/>
      <c r="P370" s="69"/>
      <c r="Q370" s="69"/>
      <c r="R370" s="69"/>
    </row>
    <row r="371" spans="1:18" x14ac:dyDescent="0.2">
      <c r="A371" s="69"/>
      <c r="B371" s="69"/>
      <c r="C371" s="69"/>
      <c r="D371" s="69"/>
      <c r="E371" s="69"/>
      <c r="F371" s="69"/>
      <c r="G371" s="69"/>
      <c r="H371" s="69"/>
      <c r="I371" s="69"/>
      <c r="J371" s="69"/>
      <c r="K371" s="69"/>
      <c r="L371" s="69"/>
      <c r="M371" s="69"/>
      <c r="N371" s="69"/>
      <c r="O371" s="69"/>
      <c r="P371" s="69"/>
      <c r="Q371" s="69"/>
      <c r="R371" s="69"/>
    </row>
    <row r="372" spans="1:18" x14ac:dyDescent="0.2">
      <c r="A372" s="69"/>
      <c r="B372" s="69"/>
      <c r="C372" s="69"/>
      <c r="D372" s="69"/>
      <c r="E372" s="69"/>
      <c r="F372" s="69"/>
      <c r="G372" s="69"/>
      <c r="H372" s="69"/>
      <c r="I372" s="69"/>
      <c r="J372" s="69"/>
      <c r="K372" s="69"/>
      <c r="L372" s="69"/>
      <c r="M372" s="69"/>
      <c r="N372" s="69"/>
      <c r="O372" s="69"/>
      <c r="P372" s="69"/>
      <c r="Q372" s="69"/>
      <c r="R372" s="69"/>
    </row>
    <row r="373" spans="1:18" x14ac:dyDescent="0.2">
      <c r="A373" s="69"/>
      <c r="B373" s="69"/>
      <c r="C373" s="69"/>
      <c r="D373" s="69"/>
      <c r="E373" s="69"/>
      <c r="F373" s="69"/>
      <c r="G373" s="69"/>
      <c r="H373" s="69"/>
      <c r="I373" s="69"/>
      <c r="J373" s="69"/>
      <c r="K373" s="69"/>
      <c r="L373" s="69"/>
      <c r="M373" s="69"/>
      <c r="N373" s="69"/>
      <c r="O373" s="69"/>
      <c r="P373" s="69"/>
      <c r="Q373" s="69"/>
      <c r="R373" s="69"/>
    </row>
    <row r="374" spans="1:18" x14ac:dyDescent="0.2">
      <c r="A374" s="69"/>
      <c r="B374" s="69"/>
      <c r="C374" s="69"/>
      <c r="D374" s="69"/>
      <c r="E374" s="69"/>
      <c r="F374" s="69"/>
      <c r="G374" s="69"/>
      <c r="H374" s="69"/>
      <c r="I374" s="69"/>
      <c r="J374" s="69"/>
      <c r="K374" s="69"/>
      <c r="L374" s="69"/>
      <c r="M374" s="69"/>
      <c r="N374" s="69"/>
      <c r="O374" s="69"/>
      <c r="P374" s="69"/>
      <c r="Q374" s="69"/>
      <c r="R374" s="69"/>
    </row>
    <row r="375" spans="1:18" x14ac:dyDescent="0.2">
      <c r="A375" s="69"/>
      <c r="B375" s="69"/>
      <c r="C375" s="69"/>
      <c r="D375" s="69"/>
      <c r="E375" s="69"/>
      <c r="F375" s="69"/>
      <c r="G375" s="69"/>
      <c r="H375" s="69"/>
      <c r="I375" s="69"/>
      <c r="J375" s="69"/>
      <c r="K375" s="69"/>
      <c r="L375" s="69"/>
      <c r="M375" s="69"/>
      <c r="N375" s="69"/>
      <c r="O375" s="69"/>
      <c r="P375" s="69"/>
      <c r="Q375" s="69"/>
      <c r="R375" s="69"/>
    </row>
    <row r="376" spans="1:18" x14ac:dyDescent="0.2">
      <c r="A376" s="69"/>
      <c r="B376" s="69"/>
      <c r="C376" s="69"/>
      <c r="D376" s="69"/>
      <c r="E376" s="69"/>
      <c r="F376" s="69"/>
      <c r="G376" s="69"/>
      <c r="H376" s="69"/>
      <c r="I376" s="69"/>
      <c r="J376" s="69"/>
      <c r="K376" s="69"/>
      <c r="L376" s="69"/>
      <c r="M376" s="69"/>
      <c r="N376" s="69"/>
      <c r="O376" s="69"/>
      <c r="P376" s="69"/>
      <c r="Q376" s="69"/>
      <c r="R376" s="69"/>
    </row>
    <row r="377" spans="1:18" x14ac:dyDescent="0.2">
      <c r="A377" s="69"/>
      <c r="B377" s="69"/>
      <c r="C377" s="69"/>
      <c r="D377" s="69"/>
      <c r="E377" s="69"/>
      <c r="F377" s="69"/>
      <c r="G377" s="69"/>
      <c r="H377" s="69"/>
      <c r="I377" s="69"/>
      <c r="J377" s="69"/>
      <c r="K377" s="69"/>
      <c r="L377" s="69"/>
      <c r="M377" s="69"/>
      <c r="N377" s="69"/>
      <c r="O377" s="69"/>
      <c r="P377" s="69"/>
      <c r="Q377" s="69"/>
      <c r="R377" s="69"/>
    </row>
    <row r="378" spans="1:18" x14ac:dyDescent="0.2">
      <c r="A378" s="69"/>
      <c r="B378" s="69"/>
      <c r="C378" s="69"/>
      <c r="D378" s="69"/>
      <c r="E378" s="69"/>
      <c r="F378" s="69"/>
      <c r="G378" s="69"/>
      <c r="H378" s="69"/>
      <c r="I378" s="69"/>
      <c r="J378" s="69"/>
      <c r="K378" s="69"/>
      <c r="L378" s="69"/>
      <c r="M378" s="69"/>
      <c r="N378" s="69"/>
      <c r="O378" s="69"/>
      <c r="P378" s="69"/>
      <c r="Q378" s="69"/>
      <c r="R378" s="69"/>
    </row>
    <row r="379" spans="1:18" x14ac:dyDescent="0.2">
      <c r="A379" s="69"/>
      <c r="B379" s="69"/>
      <c r="C379" s="69"/>
      <c r="D379" s="69"/>
      <c r="E379" s="69"/>
      <c r="F379" s="69"/>
      <c r="G379" s="69"/>
      <c r="H379" s="69"/>
      <c r="I379" s="69"/>
      <c r="J379" s="69"/>
      <c r="K379" s="69"/>
      <c r="L379" s="69"/>
      <c r="M379" s="69"/>
      <c r="N379" s="69"/>
      <c r="O379" s="69"/>
      <c r="P379" s="69"/>
      <c r="Q379" s="69"/>
      <c r="R379" s="69"/>
    </row>
    <row r="380" spans="1:18" x14ac:dyDescent="0.2">
      <c r="A380" s="69"/>
      <c r="B380" s="69"/>
      <c r="C380" s="69"/>
      <c r="D380" s="69"/>
      <c r="E380" s="69"/>
      <c r="F380" s="69"/>
      <c r="G380" s="69"/>
      <c r="H380" s="69"/>
      <c r="I380" s="69"/>
      <c r="J380" s="69"/>
      <c r="K380" s="69"/>
      <c r="L380" s="69"/>
      <c r="M380" s="69"/>
      <c r="N380" s="69"/>
      <c r="O380" s="69"/>
      <c r="P380" s="69"/>
      <c r="Q380" s="69"/>
      <c r="R380" s="69"/>
    </row>
    <row r="381" spans="1:18" x14ac:dyDescent="0.2">
      <c r="A381" s="69"/>
      <c r="B381" s="69"/>
      <c r="C381" s="69"/>
      <c r="D381" s="69"/>
      <c r="E381" s="69"/>
      <c r="F381" s="69"/>
      <c r="G381" s="69"/>
      <c r="H381" s="69"/>
      <c r="I381" s="69"/>
      <c r="J381" s="69"/>
      <c r="K381" s="69"/>
      <c r="L381" s="69"/>
      <c r="M381" s="69"/>
      <c r="N381" s="69"/>
      <c r="O381" s="69"/>
      <c r="P381" s="69"/>
      <c r="Q381" s="69"/>
      <c r="R381" s="69"/>
    </row>
    <row r="382" spans="1:18" x14ac:dyDescent="0.2">
      <c r="A382" s="69"/>
      <c r="B382" s="69"/>
      <c r="C382" s="69"/>
      <c r="D382" s="69"/>
      <c r="E382" s="69"/>
      <c r="F382" s="69"/>
      <c r="G382" s="69"/>
      <c r="H382" s="69"/>
      <c r="I382" s="69"/>
      <c r="J382" s="69"/>
      <c r="K382" s="69"/>
      <c r="L382" s="69"/>
      <c r="M382" s="69"/>
      <c r="N382" s="69"/>
      <c r="O382" s="69"/>
      <c r="P382" s="69"/>
      <c r="Q382" s="69"/>
      <c r="R382" s="69"/>
    </row>
    <row r="383" spans="1:18" x14ac:dyDescent="0.2">
      <c r="A383" s="69"/>
      <c r="B383" s="69"/>
      <c r="C383" s="69"/>
      <c r="D383" s="69"/>
      <c r="E383" s="69"/>
      <c r="F383" s="69"/>
      <c r="G383" s="69"/>
      <c r="H383" s="69"/>
      <c r="I383" s="69"/>
      <c r="J383" s="69"/>
      <c r="K383" s="69"/>
      <c r="L383" s="69"/>
      <c r="M383" s="69"/>
      <c r="N383" s="69"/>
      <c r="O383" s="69"/>
      <c r="P383" s="69"/>
      <c r="Q383" s="69"/>
      <c r="R383" s="69"/>
    </row>
    <row r="384" spans="1:18" x14ac:dyDescent="0.2">
      <c r="A384" s="69"/>
      <c r="B384" s="69"/>
      <c r="C384" s="69"/>
      <c r="D384" s="69"/>
      <c r="E384" s="69"/>
      <c r="F384" s="69"/>
      <c r="G384" s="69"/>
      <c r="H384" s="69"/>
      <c r="I384" s="69"/>
      <c r="J384" s="69"/>
      <c r="K384" s="69"/>
      <c r="L384" s="69"/>
      <c r="M384" s="69"/>
      <c r="N384" s="69"/>
      <c r="O384" s="69"/>
      <c r="P384" s="69"/>
      <c r="Q384" s="69"/>
      <c r="R384" s="69"/>
    </row>
    <row r="385" spans="1:18" x14ac:dyDescent="0.2">
      <c r="A385" s="69"/>
      <c r="B385" s="69"/>
      <c r="C385" s="69"/>
      <c r="D385" s="69"/>
      <c r="E385" s="69"/>
      <c r="F385" s="69"/>
      <c r="G385" s="69"/>
      <c r="H385" s="69"/>
      <c r="I385" s="69"/>
      <c r="J385" s="69"/>
      <c r="K385" s="69"/>
      <c r="L385" s="69"/>
      <c r="M385" s="69"/>
      <c r="N385" s="69"/>
      <c r="O385" s="69"/>
      <c r="P385" s="69"/>
      <c r="Q385" s="69"/>
      <c r="R385" s="69"/>
    </row>
    <row r="386" spans="1:18" x14ac:dyDescent="0.2">
      <c r="A386" s="69"/>
      <c r="B386" s="69"/>
      <c r="C386" s="69"/>
      <c r="D386" s="69"/>
      <c r="E386" s="69"/>
      <c r="F386" s="69"/>
      <c r="G386" s="69"/>
      <c r="H386" s="69"/>
      <c r="I386" s="69"/>
      <c r="J386" s="69"/>
      <c r="K386" s="69"/>
      <c r="L386" s="69"/>
      <c r="M386" s="69"/>
      <c r="N386" s="69"/>
      <c r="O386" s="69"/>
      <c r="P386" s="69"/>
      <c r="Q386" s="69"/>
      <c r="R386" s="69"/>
    </row>
    <row r="387" spans="1:18" x14ac:dyDescent="0.2">
      <c r="A387" s="69"/>
      <c r="B387" s="69"/>
      <c r="C387" s="69"/>
      <c r="D387" s="69"/>
      <c r="E387" s="69"/>
      <c r="F387" s="69"/>
      <c r="G387" s="69"/>
      <c r="H387" s="69"/>
      <c r="I387" s="69"/>
      <c r="J387" s="69"/>
      <c r="K387" s="69"/>
      <c r="L387" s="69"/>
      <c r="M387" s="69"/>
      <c r="N387" s="69"/>
      <c r="O387" s="69"/>
      <c r="P387" s="69"/>
      <c r="Q387" s="69"/>
      <c r="R387" s="69"/>
    </row>
    <row r="388" spans="1:18" x14ac:dyDescent="0.2">
      <c r="A388" s="69"/>
      <c r="B388" s="69"/>
      <c r="C388" s="69"/>
      <c r="D388" s="69"/>
      <c r="E388" s="69"/>
      <c r="F388" s="69"/>
      <c r="G388" s="69"/>
      <c r="H388" s="69"/>
      <c r="I388" s="69"/>
      <c r="J388" s="69"/>
      <c r="K388" s="69"/>
      <c r="L388" s="69"/>
      <c r="M388" s="69"/>
      <c r="N388" s="69"/>
      <c r="O388" s="69"/>
      <c r="P388" s="69"/>
      <c r="Q388" s="69"/>
      <c r="R388" s="69"/>
    </row>
    <row r="389" spans="1:18" x14ac:dyDescent="0.2">
      <c r="A389" s="69"/>
      <c r="B389" s="69"/>
      <c r="C389" s="69"/>
      <c r="D389" s="69"/>
      <c r="E389" s="69"/>
      <c r="F389" s="69"/>
      <c r="G389" s="69"/>
      <c r="H389" s="69"/>
      <c r="I389" s="69"/>
      <c r="J389" s="69"/>
      <c r="K389" s="69"/>
      <c r="L389" s="69"/>
      <c r="M389" s="69"/>
      <c r="N389" s="69"/>
      <c r="O389" s="69"/>
      <c r="P389" s="69"/>
      <c r="Q389" s="69"/>
      <c r="R389" s="69"/>
    </row>
    <row r="390" spans="1:18" x14ac:dyDescent="0.2">
      <c r="A390" s="69"/>
      <c r="B390" s="69"/>
      <c r="C390" s="69"/>
      <c r="D390" s="69"/>
      <c r="E390" s="69"/>
      <c r="F390" s="69"/>
      <c r="G390" s="69"/>
      <c r="H390" s="69"/>
      <c r="I390" s="69"/>
      <c r="J390" s="69"/>
      <c r="K390" s="69"/>
      <c r="L390" s="69"/>
      <c r="M390" s="69"/>
      <c r="N390" s="69"/>
      <c r="O390" s="69"/>
      <c r="P390" s="69"/>
      <c r="Q390" s="69"/>
      <c r="R390" s="69"/>
    </row>
    <row r="391" spans="1:18" x14ac:dyDescent="0.2">
      <c r="A391" s="69"/>
      <c r="B391" s="69"/>
      <c r="C391" s="69"/>
      <c r="D391" s="69"/>
      <c r="E391" s="69"/>
      <c r="F391" s="69"/>
      <c r="G391" s="69"/>
      <c r="H391" s="69"/>
      <c r="I391" s="69"/>
      <c r="J391" s="69"/>
      <c r="K391" s="69"/>
      <c r="L391" s="69"/>
      <c r="M391" s="69"/>
      <c r="N391" s="69"/>
      <c r="O391" s="69"/>
      <c r="P391" s="69"/>
      <c r="Q391" s="69"/>
      <c r="R391" s="69"/>
    </row>
    <row r="392" spans="1:18" x14ac:dyDescent="0.2">
      <c r="A392" s="69"/>
      <c r="B392" s="69"/>
      <c r="C392" s="69"/>
      <c r="D392" s="69"/>
      <c r="E392" s="69"/>
      <c r="F392" s="69"/>
      <c r="G392" s="69"/>
      <c r="H392" s="69"/>
      <c r="I392" s="69"/>
      <c r="J392" s="69"/>
      <c r="K392" s="69"/>
      <c r="L392" s="69"/>
      <c r="M392" s="69"/>
      <c r="N392" s="69"/>
      <c r="O392" s="69"/>
      <c r="P392" s="69"/>
      <c r="Q392" s="69"/>
      <c r="R392" s="69"/>
    </row>
    <row r="393" spans="1:18" x14ac:dyDescent="0.2">
      <c r="A393" s="69"/>
      <c r="B393" s="69"/>
      <c r="C393" s="69"/>
      <c r="D393" s="69"/>
      <c r="E393" s="69"/>
      <c r="F393" s="69"/>
      <c r="G393" s="69"/>
      <c r="H393" s="69"/>
      <c r="I393" s="69"/>
      <c r="J393" s="69"/>
      <c r="K393" s="69"/>
      <c r="L393" s="69"/>
      <c r="M393" s="69"/>
      <c r="N393" s="69"/>
      <c r="O393" s="69"/>
      <c r="P393" s="69"/>
      <c r="Q393" s="69"/>
      <c r="R393" s="69"/>
    </row>
    <row r="394" spans="1:18" x14ac:dyDescent="0.2">
      <c r="A394" s="69"/>
      <c r="B394" s="69"/>
      <c r="C394" s="69"/>
      <c r="D394" s="69"/>
      <c r="E394" s="69"/>
      <c r="F394" s="69"/>
      <c r="G394" s="69"/>
      <c r="H394" s="69"/>
      <c r="I394" s="69"/>
      <c r="J394" s="69"/>
      <c r="K394" s="69"/>
      <c r="L394" s="69"/>
      <c r="M394" s="69"/>
      <c r="N394" s="69"/>
      <c r="O394" s="69"/>
      <c r="P394" s="69"/>
      <c r="Q394" s="69"/>
      <c r="R394" s="69"/>
    </row>
    <row r="395" spans="1:18" x14ac:dyDescent="0.2">
      <c r="A395" s="69"/>
      <c r="B395" s="69"/>
      <c r="C395" s="69"/>
      <c r="D395" s="69"/>
      <c r="E395" s="69"/>
      <c r="F395" s="69"/>
      <c r="G395" s="69"/>
      <c r="H395" s="69"/>
      <c r="I395" s="69"/>
      <c r="J395" s="69"/>
      <c r="K395" s="69"/>
      <c r="L395" s="69"/>
      <c r="M395" s="69"/>
      <c r="N395" s="69"/>
      <c r="O395" s="69"/>
      <c r="P395" s="69"/>
      <c r="Q395" s="69"/>
      <c r="R395" s="69"/>
    </row>
    <row r="396" spans="1:18" x14ac:dyDescent="0.2">
      <c r="A396" s="69"/>
      <c r="B396" s="69"/>
      <c r="C396" s="69"/>
      <c r="D396" s="69"/>
      <c r="E396" s="69"/>
      <c r="F396" s="69"/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69"/>
      <c r="R396" s="69"/>
    </row>
    <row r="397" spans="1:18" x14ac:dyDescent="0.2">
      <c r="A397" s="69"/>
      <c r="B397" s="69"/>
      <c r="C397" s="69"/>
      <c r="D397" s="69"/>
      <c r="E397" s="69"/>
      <c r="F397" s="69"/>
      <c r="G397" s="69"/>
      <c r="H397" s="69"/>
      <c r="I397" s="69"/>
      <c r="J397" s="69"/>
      <c r="K397" s="69"/>
      <c r="L397" s="69"/>
      <c r="M397" s="69"/>
      <c r="N397" s="69"/>
      <c r="O397" s="69"/>
      <c r="P397" s="69"/>
      <c r="Q397" s="69"/>
      <c r="R397" s="69"/>
    </row>
    <row r="398" spans="1:18" x14ac:dyDescent="0.2">
      <c r="A398" s="69"/>
      <c r="B398" s="69"/>
      <c r="C398" s="69"/>
      <c r="D398" s="69"/>
      <c r="E398" s="69"/>
      <c r="F398" s="69"/>
      <c r="G398" s="69"/>
      <c r="H398" s="69"/>
      <c r="I398" s="69"/>
      <c r="J398" s="69"/>
      <c r="K398" s="69"/>
      <c r="L398" s="69"/>
      <c r="M398" s="69"/>
      <c r="N398" s="69"/>
      <c r="O398" s="69"/>
      <c r="P398" s="69"/>
      <c r="Q398" s="69"/>
      <c r="R398" s="69"/>
    </row>
    <row r="399" spans="1:18" x14ac:dyDescent="0.2">
      <c r="A399" s="69"/>
      <c r="B399" s="69"/>
      <c r="C399" s="69"/>
      <c r="D399" s="69"/>
      <c r="E399" s="69"/>
      <c r="F399" s="69"/>
      <c r="G399" s="69"/>
      <c r="H399" s="69"/>
      <c r="I399" s="69"/>
      <c r="J399" s="69"/>
      <c r="K399" s="69"/>
      <c r="L399" s="69"/>
      <c r="M399" s="69"/>
      <c r="N399" s="69"/>
      <c r="O399" s="69"/>
      <c r="P399" s="69"/>
      <c r="Q399" s="69"/>
      <c r="R399" s="69"/>
    </row>
    <row r="400" spans="1:18" x14ac:dyDescent="0.2">
      <c r="A400" s="69"/>
      <c r="B400" s="69"/>
      <c r="C400" s="69"/>
      <c r="D400" s="69"/>
      <c r="E400" s="69"/>
      <c r="F400" s="69"/>
      <c r="G400" s="69"/>
      <c r="H400" s="69"/>
      <c r="I400" s="69"/>
      <c r="J400" s="69"/>
      <c r="K400" s="69"/>
      <c r="L400" s="69"/>
      <c r="M400" s="69"/>
      <c r="N400" s="69"/>
      <c r="O400" s="69"/>
      <c r="P400" s="69"/>
      <c r="Q400" s="69"/>
      <c r="R400" s="69"/>
    </row>
    <row r="401" spans="1:18" x14ac:dyDescent="0.2">
      <c r="A401" s="69"/>
      <c r="B401" s="69"/>
      <c r="C401" s="69"/>
      <c r="D401" s="69"/>
      <c r="E401" s="69"/>
      <c r="F401" s="69"/>
      <c r="G401" s="69"/>
      <c r="H401" s="69"/>
      <c r="I401" s="69"/>
      <c r="J401" s="69"/>
      <c r="K401" s="69"/>
      <c r="L401" s="69"/>
      <c r="M401" s="69"/>
      <c r="N401" s="69"/>
      <c r="O401" s="69"/>
      <c r="P401" s="69"/>
      <c r="Q401" s="69"/>
      <c r="R401" s="69"/>
    </row>
    <row r="402" spans="1:18" x14ac:dyDescent="0.2">
      <c r="A402" s="69"/>
      <c r="B402" s="69"/>
      <c r="C402" s="69"/>
      <c r="D402" s="69"/>
      <c r="E402" s="69"/>
      <c r="F402" s="69"/>
      <c r="G402" s="69"/>
      <c r="H402" s="69"/>
      <c r="I402" s="69"/>
      <c r="J402" s="69"/>
      <c r="K402" s="69"/>
      <c r="L402" s="69"/>
      <c r="M402" s="69"/>
      <c r="N402" s="69"/>
      <c r="O402" s="69"/>
      <c r="P402" s="69"/>
      <c r="Q402" s="69"/>
      <c r="R402" s="69"/>
    </row>
    <row r="403" spans="1:18" x14ac:dyDescent="0.2">
      <c r="A403" s="69"/>
      <c r="B403" s="69"/>
      <c r="C403" s="69"/>
      <c r="D403" s="69"/>
      <c r="E403" s="69"/>
      <c r="F403" s="69"/>
      <c r="G403" s="69"/>
      <c r="H403" s="69"/>
      <c r="I403" s="69"/>
      <c r="J403" s="69"/>
      <c r="K403" s="69"/>
      <c r="L403" s="69"/>
      <c r="M403" s="69"/>
      <c r="N403" s="69"/>
      <c r="O403" s="69"/>
      <c r="P403" s="69"/>
      <c r="Q403" s="69"/>
      <c r="R403" s="69"/>
    </row>
    <row r="404" spans="1:18" x14ac:dyDescent="0.2">
      <c r="A404" s="69"/>
      <c r="B404" s="69"/>
      <c r="C404" s="69"/>
      <c r="D404" s="69"/>
      <c r="E404" s="69"/>
      <c r="F404" s="69"/>
      <c r="G404" s="69"/>
      <c r="H404" s="69"/>
      <c r="I404" s="69"/>
      <c r="J404" s="69"/>
      <c r="K404" s="69"/>
      <c r="L404" s="69"/>
      <c r="M404" s="69"/>
      <c r="N404" s="69"/>
      <c r="O404" s="69"/>
      <c r="P404" s="69"/>
      <c r="Q404" s="69"/>
      <c r="R404" s="69"/>
    </row>
    <row r="405" spans="1:18" x14ac:dyDescent="0.2">
      <c r="A405" s="69"/>
      <c r="B405" s="69"/>
      <c r="C405" s="69"/>
      <c r="D405" s="69"/>
      <c r="E405" s="69"/>
      <c r="F405" s="69"/>
      <c r="G405" s="69"/>
      <c r="H405" s="69"/>
      <c r="I405" s="69"/>
      <c r="J405" s="69"/>
      <c r="K405" s="69"/>
      <c r="L405" s="69"/>
      <c r="M405" s="69"/>
      <c r="N405" s="69"/>
      <c r="O405" s="69"/>
      <c r="P405" s="69"/>
      <c r="Q405" s="69"/>
      <c r="R405" s="69"/>
    </row>
    <row r="406" spans="1:18" x14ac:dyDescent="0.2">
      <c r="A406" s="69"/>
      <c r="B406" s="69"/>
      <c r="C406" s="69"/>
      <c r="D406" s="69"/>
      <c r="E406" s="69"/>
      <c r="F406" s="69"/>
      <c r="G406" s="69"/>
      <c r="H406" s="69"/>
      <c r="I406" s="69"/>
      <c r="J406" s="69"/>
      <c r="K406" s="69"/>
      <c r="L406" s="69"/>
      <c r="M406" s="69"/>
      <c r="N406" s="69"/>
      <c r="O406" s="69"/>
      <c r="P406" s="69"/>
      <c r="Q406" s="69"/>
      <c r="R406" s="69"/>
    </row>
    <row r="407" spans="1:18" x14ac:dyDescent="0.2">
      <c r="A407" s="69"/>
      <c r="B407" s="69"/>
      <c r="C407" s="69"/>
      <c r="D407" s="69"/>
      <c r="E407" s="69"/>
      <c r="F407" s="69"/>
      <c r="G407" s="69"/>
      <c r="H407" s="69"/>
      <c r="I407" s="69"/>
      <c r="J407" s="69"/>
      <c r="K407" s="69"/>
      <c r="L407" s="69"/>
      <c r="M407" s="69"/>
      <c r="N407" s="69"/>
      <c r="O407" s="69"/>
      <c r="P407" s="69"/>
      <c r="Q407" s="69"/>
      <c r="R407" s="69"/>
    </row>
    <row r="408" spans="1:18" x14ac:dyDescent="0.2">
      <c r="A408" s="69"/>
      <c r="B408" s="69"/>
      <c r="C408" s="69"/>
      <c r="D408" s="69"/>
      <c r="E408" s="69"/>
      <c r="F408" s="69"/>
      <c r="G408" s="69"/>
      <c r="H408" s="69"/>
      <c r="I408" s="69"/>
      <c r="J408" s="69"/>
      <c r="K408" s="69"/>
      <c r="L408" s="69"/>
      <c r="M408" s="69"/>
      <c r="N408" s="69"/>
      <c r="O408" s="69"/>
      <c r="P408" s="69"/>
      <c r="Q408" s="69"/>
      <c r="R408" s="69"/>
    </row>
    <row r="409" spans="1:18" x14ac:dyDescent="0.2">
      <c r="A409" s="69"/>
      <c r="B409" s="69"/>
      <c r="C409" s="69"/>
      <c r="D409" s="69"/>
      <c r="E409" s="69"/>
      <c r="F409" s="69"/>
      <c r="G409" s="69"/>
      <c r="H409" s="69"/>
      <c r="I409" s="69"/>
      <c r="J409" s="69"/>
      <c r="K409" s="69"/>
      <c r="L409" s="69"/>
      <c r="M409" s="69"/>
      <c r="N409" s="69"/>
      <c r="O409" s="69"/>
      <c r="P409" s="69"/>
      <c r="Q409" s="69"/>
      <c r="R409" s="69"/>
    </row>
    <row r="410" spans="1:18" x14ac:dyDescent="0.2">
      <c r="A410" s="69"/>
      <c r="B410" s="69"/>
      <c r="C410" s="69"/>
      <c r="D410" s="69"/>
      <c r="E410" s="69"/>
      <c r="F410" s="69"/>
      <c r="G410" s="69"/>
      <c r="H410" s="69"/>
      <c r="I410" s="69"/>
      <c r="J410" s="69"/>
      <c r="K410" s="69"/>
      <c r="L410" s="69"/>
      <c r="M410" s="69"/>
      <c r="N410" s="69"/>
      <c r="O410" s="69"/>
      <c r="P410" s="69"/>
      <c r="Q410" s="69"/>
      <c r="R410" s="69"/>
    </row>
    <row r="411" spans="1:18" x14ac:dyDescent="0.2">
      <c r="A411" s="69"/>
      <c r="B411" s="69"/>
      <c r="C411" s="69"/>
      <c r="D411" s="69"/>
      <c r="E411" s="69"/>
      <c r="F411" s="69"/>
      <c r="G411" s="69"/>
      <c r="H411" s="69"/>
      <c r="I411" s="69"/>
      <c r="J411" s="69"/>
      <c r="K411" s="69"/>
      <c r="L411" s="69"/>
      <c r="M411" s="69"/>
      <c r="N411" s="69"/>
      <c r="O411" s="69"/>
      <c r="P411" s="69"/>
      <c r="Q411" s="69"/>
      <c r="R411" s="69"/>
    </row>
    <row r="412" spans="1:18" x14ac:dyDescent="0.2">
      <c r="A412" s="69"/>
      <c r="B412" s="69"/>
      <c r="C412" s="69"/>
      <c r="D412" s="69"/>
      <c r="E412" s="69"/>
      <c r="F412" s="69"/>
      <c r="G412" s="69"/>
      <c r="H412" s="69"/>
      <c r="I412" s="69"/>
      <c r="J412" s="69"/>
      <c r="K412" s="69"/>
      <c r="L412" s="69"/>
      <c r="M412" s="69"/>
      <c r="N412" s="69"/>
      <c r="O412" s="69"/>
      <c r="P412" s="69"/>
      <c r="Q412" s="69"/>
      <c r="R412" s="69"/>
    </row>
    <row r="413" spans="1:18" x14ac:dyDescent="0.2">
      <c r="A413" s="69"/>
      <c r="B413" s="69"/>
      <c r="C413" s="69"/>
      <c r="D413" s="69"/>
      <c r="E413" s="69"/>
      <c r="F413" s="69"/>
      <c r="G413" s="69"/>
      <c r="H413" s="69"/>
      <c r="I413" s="69"/>
      <c r="J413" s="69"/>
      <c r="K413" s="69"/>
      <c r="L413" s="69"/>
      <c r="M413" s="69"/>
      <c r="N413" s="69"/>
      <c r="O413" s="69"/>
      <c r="P413" s="69"/>
      <c r="Q413" s="69"/>
      <c r="R413" s="69"/>
    </row>
  </sheetData>
  <mergeCells count="811">
    <mergeCell ref="S192:T192"/>
    <mergeCell ref="A192:B192"/>
    <mergeCell ref="C192:D192"/>
    <mergeCell ref="E192:F192"/>
    <mergeCell ref="G192:H192"/>
    <mergeCell ref="I192:J192"/>
    <mergeCell ref="K192:L192"/>
    <mergeCell ref="M192:N192"/>
    <mergeCell ref="O192:P192"/>
    <mergeCell ref="Q192:R192"/>
    <mergeCell ref="S123:T123"/>
    <mergeCell ref="A144:B144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S144:T144"/>
    <mergeCell ref="A123:B123"/>
    <mergeCell ref="C123:D123"/>
    <mergeCell ref="E123:F123"/>
    <mergeCell ref="G123:H123"/>
    <mergeCell ref="I123:J123"/>
    <mergeCell ref="K123:L123"/>
    <mergeCell ref="M123:N123"/>
    <mergeCell ref="O123:P123"/>
    <mergeCell ref="Q123:R123"/>
    <mergeCell ref="K124:L124"/>
    <mergeCell ref="M124:N124"/>
    <mergeCell ref="O124:P124"/>
    <mergeCell ref="Q124:R124"/>
    <mergeCell ref="S166:T166"/>
    <mergeCell ref="A167:B167"/>
    <mergeCell ref="C167:D167"/>
    <mergeCell ref="E167:F167"/>
    <mergeCell ref="G167:H167"/>
    <mergeCell ref="I167:J167"/>
    <mergeCell ref="K167:L167"/>
    <mergeCell ref="M161:N161"/>
    <mergeCell ref="O161:P161"/>
    <mergeCell ref="Q161:R161"/>
    <mergeCell ref="A162:B162"/>
    <mergeCell ref="C162:D162"/>
    <mergeCell ref="E162:F162"/>
    <mergeCell ref="G162:H162"/>
    <mergeCell ref="I162:J162"/>
    <mergeCell ref="K162:L162"/>
    <mergeCell ref="A163:B163"/>
    <mergeCell ref="C163:D163"/>
    <mergeCell ref="E163:F163"/>
    <mergeCell ref="G163:H163"/>
    <mergeCell ref="I163:J163"/>
    <mergeCell ref="K163:L163"/>
    <mergeCell ref="M166:N166"/>
    <mergeCell ref="O166:P166"/>
    <mergeCell ref="Q156:R156"/>
    <mergeCell ref="S156:T156"/>
    <mergeCell ref="A161:B161"/>
    <mergeCell ref="C161:D161"/>
    <mergeCell ref="E161:F161"/>
    <mergeCell ref="G161:H161"/>
    <mergeCell ref="I161:J161"/>
    <mergeCell ref="K161:L161"/>
    <mergeCell ref="A157:B157"/>
    <mergeCell ref="C157:D157"/>
    <mergeCell ref="E157:F157"/>
    <mergeCell ref="K156:L156"/>
    <mergeCell ref="A156:B156"/>
    <mergeCell ref="C156:D156"/>
    <mergeCell ref="E156:F156"/>
    <mergeCell ref="G156:H156"/>
    <mergeCell ref="I156:J156"/>
    <mergeCell ref="A158:B158"/>
    <mergeCell ref="C158:D158"/>
    <mergeCell ref="E158:F158"/>
    <mergeCell ref="G158:H158"/>
    <mergeCell ref="I158:J158"/>
    <mergeCell ref="G157:H157"/>
    <mergeCell ref="I157:J157"/>
    <mergeCell ref="A152:B152"/>
    <mergeCell ref="C152:D152"/>
    <mergeCell ref="E152:F152"/>
    <mergeCell ref="G152:H152"/>
    <mergeCell ref="M153:N153"/>
    <mergeCell ref="O153:P153"/>
    <mergeCell ref="Q153:R153"/>
    <mergeCell ref="S153:T153"/>
    <mergeCell ref="A151:B151"/>
    <mergeCell ref="C151:D151"/>
    <mergeCell ref="E151:F151"/>
    <mergeCell ref="G151:H151"/>
    <mergeCell ref="I151:J151"/>
    <mergeCell ref="K151:L151"/>
    <mergeCell ref="M151:N151"/>
    <mergeCell ref="Q167:R167"/>
    <mergeCell ref="S167:T167"/>
    <mergeCell ref="M164:N164"/>
    <mergeCell ref="O164:P164"/>
    <mergeCell ref="A155:B155"/>
    <mergeCell ref="C155:D155"/>
    <mergeCell ref="E155:F155"/>
    <mergeCell ref="G155:H155"/>
    <mergeCell ref="I155:J155"/>
    <mergeCell ref="K155:L155"/>
    <mergeCell ref="M155:N155"/>
    <mergeCell ref="O155:P155"/>
    <mergeCell ref="Q163:R163"/>
    <mergeCell ref="Q155:R155"/>
    <mergeCell ref="S155:T155"/>
    <mergeCell ref="S161:T161"/>
    <mergeCell ref="A164:B164"/>
    <mergeCell ref="C164:D164"/>
    <mergeCell ref="E164:F164"/>
    <mergeCell ref="G164:H164"/>
    <mergeCell ref="I164:J164"/>
    <mergeCell ref="K164:L164"/>
    <mergeCell ref="M156:N156"/>
    <mergeCell ref="O156:P156"/>
    <mergeCell ref="M162:N162"/>
    <mergeCell ref="O162:P162"/>
    <mergeCell ref="Q162:R162"/>
    <mergeCell ref="S162:T162"/>
    <mergeCell ref="O151:P151"/>
    <mergeCell ref="G191:H191"/>
    <mergeCell ref="I191:J191"/>
    <mergeCell ref="K191:L191"/>
    <mergeCell ref="M191:N191"/>
    <mergeCell ref="O191:P191"/>
    <mergeCell ref="O157:P157"/>
    <mergeCell ref="Q157:R157"/>
    <mergeCell ref="S157:T157"/>
    <mergeCell ref="K158:L158"/>
    <mergeCell ref="M158:N158"/>
    <mergeCell ref="O158:P158"/>
    <mergeCell ref="Q158:R158"/>
    <mergeCell ref="S158:T158"/>
    <mergeCell ref="K157:L157"/>
    <mergeCell ref="M157:N157"/>
    <mergeCell ref="S159:T159"/>
    <mergeCell ref="S160:T160"/>
    <mergeCell ref="M167:N167"/>
    <mergeCell ref="O167:P167"/>
    <mergeCell ref="O149:P149"/>
    <mergeCell ref="Q149:R149"/>
    <mergeCell ref="S149:T149"/>
    <mergeCell ref="Q148:R148"/>
    <mergeCell ref="S148:T148"/>
    <mergeCell ref="Q151:R151"/>
    <mergeCell ref="I152:J152"/>
    <mergeCell ref="K152:L152"/>
    <mergeCell ref="M152:N152"/>
    <mergeCell ref="O152:P152"/>
    <mergeCell ref="Q152:R152"/>
    <mergeCell ref="S152:T152"/>
    <mergeCell ref="S150:T150"/>
    <mergeCell ref="S151:T151"/>
    <mergeCell ref="A237:T237"/>
    <mergeCell ref="K122:L122"/>
    <mergeCell ref="M122:N122"/>
    <mergeCell ref="O122:P122"/>
    <mergeCell ref="B75:T75"/>
    <mergeCell ref="B78:T78"/>
    <mergeCell ref="B79:T79"/>
    <mergeCell ref="B82:Q82"/>
    <mergeCell ref="B85:Q85"/>
    <mergeCell ref="Q191:R191"/>
    <mergeCell ref="B92:T92"/>
    <mergeCell ref="A122:B122"/>
    <mergeCell ref="C122:D122"/>
    <mergeCell ref="E122:F122"/>
    <mergeCell ref="G122:H122"/>
    <mergeCell ref="I122:J122"/>
    <mergeCell ref="A103:T103"/>
    <mergeCell ref="Q122:R122"/>
    <mergeCell ref="S122:T122"/>
    <mergeCell ref="A124:B124"/>
    <mergeCell ref="C124:D124"/>
    <mergeCell ref="E124:F124"/>
    <mergeCell ref="G124:H124"/>
    <mergeCell ref="I124:J124"/>
    <mergeCell ref="S124:T124"/>
    <mergeCell ref="A125:B125"/>
    <mergeCell ref="C125:D125"/>
    <mergeCell ref="E125:F125"/>
    <mergeCell ref="G125:H125"/>
    <mergeCell ref="I125:J125"/>
    <mergeCell ref="K125:L125"/>
    <mergeCell ref="M125:N125"/>
    <mergeCell ref="O125:P125"/>
    <mergeCell ref="Q125:R125"/>
    <mergeCell ref="S125:T125"/>
    <mergeCell ref="S126:T126"/>
    <mergeCell ref="A127:B127"/>
    <mergeCell ref="C127:D127"/>
    <mergeCell ref="E127:F127"/>
    <mergeCell ref="G127:H127"/>
    <mergeCell ref="I127:J127"/>
    <mergeCell ref="K127:L127"/>
    <mergeCell ref="M127:N127"/>
    <mergeCell ref="O127:P127"/>
    <mergeCell ref="Q127:R127"/>
    <mergeCell ref="S127:T127"/>
    <mergeCell ref="A126:B126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S128:T128"/>
    <mergeCell ref="A129:B129"/>
    <mergeCell ref="C129:D129"/>
    <mergeCell ref="E129:F129"/>
    <mergeCell ref="G129:H129"/>
    <mergeCell ref="I129:J129"/>
    <mergeCell ref="K129:L129"/>
    <mergeCell ref="M129:N129"/>
    <mergeCell ref="O129:P129"/>
    <mergeCell ref="Q129:R129"/>
    <mergeCell ref="S129:T129"/>
    <mergeCell ref="A128:B128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S130:T130"/>
    <mergeCell ref="A131:B131"/>
    <mergeCell ref="C131:D131"/>
    <mergeCell ref="E131:F131"/>
    <mergeCell ref="G131:H131"/>
    <mergeCell ref="I131:J131"/>
    <mergeCell ref="K131:L131"/>
    <mergeCell ref="M131:N131"/>
    <mergeCell ref="O131:P131"/>
    <mergeCell ref="Q131:R131"/>
    <mergeCell ref="S131:T131"/>
    <mergeCell ref="A130:B130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S132:T132"/>
    <mergeCell ref="A133:B133"/>
    <mergeCell ref="C133:D133"/>
    <mergeCell ref="E133:F133"/>
    <mergeCell ref="G133:H133"/>
    <mergeCell ref="I133:J133"/>
    <mergeCell ref="K133:L133"/>
    <mergeCell ref="M133:N133"/>
    <mergeCell ref="O133:P133"/>
    <mergeCell ref="Q133:R133"/>
    <mergeCell ref="S133:T133"/>
    <mergeCell ref="A132:B132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146:B146"/>
    <mergeCell ref="C146:D146"/>
    <mergeCell ref="E146:F146"/>
    <mergeCell ref="S134:T134"/>
    <mergeCell ref="A143:B143"/>
    <mergeCell ref="C143:D143"/>
    <mergeCell ref="E143:F143"/>
    <mergeCell ref="G143:H143"/>
    <mergeCell ref="I143:J143"/>
    <mergeCell ref="K143:L143"/>
    <mergeCell ref="M143:N143"/>
    <mergeCell ref="O143:P143"/>
    <mergeCell ref="Q143:R143"/>
    <mergeCell ref="S143:T143"/>
    <mergeCell ref="A134:B134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M146:N146"/>
    <mergeCell ref="A145:B145"/>
    <mergeCell ref="C145:D145"/>
    <mergeCell ref="E145:F145"/>
    <mergeCell ref="G145:H145"/>
    <mergeCell ref="I145:J145"/>
    <mergeCell ref="K145:L145"/>
    <mergeCell ref="M145:N145"/>
    <mergeCell ref="O145:P145"/>
    <mergeCell ref="Q145:R145"/>
    <mergeCell ref="A147:B147"/>
    <mergeCell ref="C147:D147"/>
    <mergeCell ref="E147:F147"/>
    <mergeCell ref="G147:H147"/>
    <mergeCell ref="I147:J147"/>
    <mergeCell ref="K147:L147"/>
    <mergeCell ref="M147:N147"/>
    <mergeCell ref="O147:P147"/>
    <mergeCell ref="Q147:R147"/>
    <mergeCell ref="E150:F150"/>
    <mergeCell ref="G150:H150"/>
    <mergeCell ref="I150:J150"/>
    <mergeCell ref="K150:L150"/>
    <mergeCell ref="M150:N150"/>
    <mergeCell ref="O150:P150"/>
    <mergeCell ref="Q150:R150"/>
    <mergeCell ref="S145:T145"/>
    <mergeCell ref="S147:T147"/>
    <mergeCell ref="O146:P146"/>
    <mergeCell ref="Q146:R146"/>
    <mergeCell ref="S146:T146"/>
    <mergeCell ref="G149:H149"/>
    <mergeCell ref="I149:J149"/>
    <mergeCell ref="K149:L149"/>
    <mergeCell ref="G146:H146"/>
    <mergeCell ref="I146:J146"/>
    <mergeCell ref="K146:L146"/>
    <mergeCell ref="G148:H148"/>
    <mergeCell ref="I148:J148"/>
    <mergeCell ref="K148:L148"/>
    <mergeCell ref="M148:N148"/>
    <mergeCell ref="O148:P148"/>
    <mergeCell ref="M149:N149"/>
    <mergeCell ref="A149:B149"/>
    <mergeCell ref="C149:D149"/>
    <mergeCell ref="E149:F149"/>
    <mergeCell ref="A148:B148"/>
    <mergeCell ref="C148:D148"/>
    <mergeCell ref="E148:F148"/>
    <mergeCell ref="S154:T154"/>
    <mergeCell ref="A153:B153"/>
    <mergeCell ref="C153:D153"/>
    <mergeCell ref="E153:F153"/>
    <mergeCell ref="G153:H153"/>
    <mergeCell ref="I153:J153"/>
    <mergeCell ref="K153:L153"/>
    <mergeCell ref="A154:B154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150:B150"/>
    <mergeCell ref="C150:D150"/>
    <mergeCell ref="A160:B160"/>
    <mergeCell ref="C160:D160"/>
    <mergeCell ref="E160:F160"/>
    <mergeCell ref="G160:H160"/>
    <mergeCell ref="I160:J160"/>
    <mergeCell ref="K160:L160"/>
    <mergeCell ref="M160:N160"/>
    <mergeCell ref="O160:P160"/>
    <mergeCell ref="Q160:R160"/>
    <mergeCell ref="A159:B159"/>
    <mergeCell ref="C159:D159"/>
    <mergeCell ref="E159:F159"/>
    <mergeCell ref="G159:H159"/>
    <mergeCell ref="I159:J159"/>
    <mergeCell ref="K159:L159"/>
    <mergeCell ref="M159:N159"/>
    <mergeCell ref="O159:P159"/>
    <mergeCell ref="Q159:R159"/>
    <mergeCell ref="S165:T165"/>
    <mergeCell ref="E165:F165"/>
    <mergeCell ref="G165:H165"/>
    <mergeCell ref="I165:J165"/>
    <mergeCell ref="K165:L165"/>
    <mergeCell ref="M163:N163"/>
    <mergeCell ref="O163:P163"/>
    <mergeCell ref="S164:T164"/>
    <mergeCell ref="M165:N165"/>
    <mergeCell ref="O165:P165"/>
    <mergeCell ref="Q164:R164"/>
    <mergeCell ref="S163:T163"/>
    <mergeCell ref="A166:B166"/>
    <mergeCell ref="C166:D166"/>
    <mergeCell ref="E166:F166"/>
    <mergeCell ref="G166:H166"/>
    <mergeCell ref="I166:J166"/>
    <mergeCell ref="K166:L166"/>
    <mergeCell ref="A165:B165"/>
    <mergeCell ref="C165:D165"/>
    <mergeCell ref="Q166:R166"/>
    <mergeCell ref="Q165:R165"/>
    <mergeCell ref="S168:T168"/>
    <mergeCell ref="A169:B169"/>
    <mergeCell ref="C169:D169"/>
    <mergeCell ref="E169:F169"/>
    <mergeCell ref="G169:H169"/>
    <mergeCell ref="I169:J169"/>
    <mergeCell ref="K169:L169"/>
    <mergeCell ref="M169:N169"/>
    <mergeCell ref="O169:P169"/>
    <mergeCell ref="Q169:R169"/>
    <mergeCell ref="S169:T169"/>
    <mergeCell ref="A168:B168"/>
    <mergeCell ref="C168:D168"/>
    <mergeCell ref="E168:F168"/>
    <mergeCell ref="G168:H168"/>
    <mergeCell ref="I168:J168"/>
    <mergeCell ref="K168:L168"/>
    <mergeCell ref="M168:N168"/>
    <mergeCell ref="O168:P168"/>
    <mergeCell ref="Q168:R168"/>
    <mergeCell ref="S170:T170"/>
    <mergeCell ref="A171:B171"/>
    <mergeCell ref="C171:D171"/>
    <mergeCell ref="E171:F171"/>
    <mergeCell ref="G171:H171"/>
    <mergeCell ref="I171:J171"/>
    <mergeCell ref="K171:L171"/>
    <mergeCell ref="M171:N171"/>
    <mergeCell ref="O171:P171"/>
    <mergeCell ref="Q171:R171"/>
    <mergeCell ref="S171:T171"/>
    <mergeCell ref="A170:B170"/>
    <mergeCell ref="C170:D170"/>
    <mergeCell ref="E170:F170"/>
    <mergeCell ref="G170:H170"/>
    <mergeCell ref="I170:J170"/>
    <mergeCell ref="K170:L170"/>
    <mergeCell ref="M170:N170"/>
    <mergeCell ref="O170:P170"/>
    <mergeCell ref="Q170:R170"/>
    <mergeCell ref="S172:T172"/>
    <mergeCell ref="A173:B173"/>
    <mergeCell ref="C173:D173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A172:B172"/>
    <mergeCell ref="C172:D172"/>
    <mergeCell ref="E172:F172"/>
    <mergeCell ref="G172:H172"/>
    <mergeCell ref="I172:J172"/>
    <mergeCell ref="K172:L172"/>
    <mergeCell ref="M172:N172"/>
    <mergeCell ref="O172:P172"/>
    <mergeCell ref="Q172:R172"/>
    <mergeCell ref="S174:T174"/>
    <mergeCell ref="A175:B175"/>
    <mergeCell ref="C175:D175"/>
    <mergeCell ref="E175:F175"/>
    <mergeCell ref="G175:H175"/>
    <mergeCell ref="I175:J175"/>
    <mergeCell ref="K175:L175"/>
    <mergeCell ref="M175:N175"/>
    <mergeCell ref="O175:P175"/>
    <mergeCell ref="Q175:R175"/>
    <mergeCell ref="S175:T175"/>
    <mergeCell ref="A174:B174"/>
    <mergeCell ref="C174:D174"/>
    <mergeCell ref="E174:F174"/>
    <mergeCell ref="G174:H174"/>
    <mergeCell ref="I174:J174"/>
    <mergeCell ref="K174:L174"/>
    <mergeCell ref="M174:N174"/>
    <mergeCell ref="O174:P174"/>
    <mergeCell ref="Q174:R174"/>
    <mergeCell ref="S176:T176"/>
    <mergeCell ref="A177:B177"/>
    <mergeCell ref="C177:D177"/>
    <mergeCell ref="E177:F177"/>
    <mergeCell ref="G177:H177"/>
    <mergeCell ref="I177:J177"/>
    <mergeCell ref="K177:L177"/>
    <mergeCell ref="M177:N177"/>
    <mergeCell ref="O177:P177"/>
    <mergeCell ref="Q177:R177"/>
    <mergeCell ref="S177:T177"/>
    <mergeCell ref="A176:B176"/>
    <mergeCell ref="C176:D176"/>
    <mergeCell ref="E176:F176"/>
    <mergeCell ref="G176:H176"/>
    <mergeCell ref="I176:J176"/>
    <mergeCell ref="K176:L176"/>
    <mergeCell ref="M176:N176"/>
    <mergeCell ref="O176:P176"/>
    <mergeCell ref="Q176:R176"/>
    <mergeCell ref="S178:T178"/>
    <mergeCell ref="A179:B179"/>
    <mergeCell ref="C179:D179"/>
    <mergeCell ref="E179:F179"/>
    <mergeCell ref="G179:H179"/>
    <mergeCell ref="I179:J179"/>
    <mergeCell ref="K179:L179"/>
    <mergeCell ref="M179:N179"/>
    <mergeCell ref="O179:P179"/>
    <mergeCell ref="Q179:R179"/>
    <mergeCell ref="S179:T179"/>
    <mergeCell ref="A178:B178"/>
    <mergeCell ref="C178:D178"/>
    <mergeCell ref="E178:F178"/>
    <mergeCell ref="G178:H178"/>
    <mergeCell ref="I178:J178"/>
    <mergeCell ref="K178:L178"/>
    <mergeCell ref="M178:N178"/>
    <mergeCell ref="O178:P178"/>
    <mergeCell ref="Q178:R178"/>
    <mergeCell ref="S180:T180"/>
    <mergeCell ref="A181:B181"/>
    <mergeCell ref="C181:D181"/>
    <mergeCell ref="E181:F181"/>
    <mergeCell ref="G181:H181"/>
    <mergeCell ref="I181:J181"/>
    <mergeCell ref="K181:L181"/>
    <mergeCell ref="M181:N181"/>
    <mergeCell ref="O181:P181"/>
    <mergeCell ref="Q181:R181"/>
    <mergeCell ref="S181:T181"/>
    <mergeCell ref="A180:B180"/>
    <mergeCell ref="C180:D180"/>
    <mergeCell ref="E180:F180"/>
    <mergeCell ref="G180:H180"/>
    <mergeCell ref="I180:J180"/>
    <mergeCell ref="K180:L180"/>
    <mergeCell ref="M180:N180"/>
    <mergeCell ref="O180:P180"/>
    <mergeCell ref="Q180:R180"/>
    <mergeCell ref="S182:T182"/>
    <mergeCell ref="A183:B183"/>
    <mergeCell ref="C183:D183"/>
    <mergeCell ref="E183:F183"/>
    <mergeCell ref="G183:H183"/>
    <mergeCell ref="I183:J183"/>
    <mergeCell ref="K183:L183"/>
    <mergeCell ref="M183:N183"/>
    <mergeCell ref="O183:P183"/>
    <mergeCell ref="Q183:R183"/>
    <mergeCell ref="S183:T183"/>
    <mergeCell ref="A182:B182"/>
    <mergeCell ref="C182:D182"/>
    <mergeCell ref="E182:F182"/>
    <mergeCell ref="G182:H182"/>
    <mergeCell ref="I182:J182"/>
    <mergeCell ref="K182:L182"/>
    <mergeCell ref="M182:N182"/>
    <mergeCell ref="O182:P182"/>
    <mergeCell ref="Q182:R182"/>
    <mergeCell ref="S184:T184"/>
    <mergeCell ref="A193:B193"/>
    <mergeCell ref="C193:D193"/>
    <mergeCell ref="E193:F193"/>
    <mergeCell ref="G193:H193"/>
    <mergeCell ref="I193:J193"/>
    <mergeCell ref="K193:L193"/>
    <mergeCell ref="M193:N193"/>
    <mergeCell ref="O193:P193"/>
    <mergeCell ref="Q193:R193"/>
    <mergeCell ref="S193:T193"/>
    <mergeCell ref="A184:B184"/>
    <mergeCell ref="C184:D184"/>
    <mergeCell ref="E184:F184"/>
    <mergeCell ref="G184:H184"/>
    <mergeCell ref="I184:J184"/>
    <mergeCell ref="K184:L184"/>
    <mergeCell ref="M184:N184"/>
    <mergeCell ref="O184:P184"/>
    <mergeCell ref="Q184:R184"/>
    <mergeCell ref="S191:T191"/>
    <mergeCell ref="A191:B191"/>
    <mergeCell ref="C191:D191"/>
    <mergeCell ref="E191:F191"/>
    <mergeCell ref="S194:T194"/>
    <mergeCell ref="A195:B195"/>
    <mergeCell ref="C195:D195"/>
    <mergeCell ref="E195:F195"/>
    <mergeCell ref="G195:H195"/>
    <mergeCell ref="I195:J195"/>
    <mergeCell ref="K195:L195"/>
    <mergeCell ref="M195:N195"/>
    <mergeCell ref="O195:P195"/>
    <mergeCell ref="Q195:R195"/>
    <mergeCell ref="S195:T195"/>
    <mergeCell ref="A194:B194"/>
    <mergeCell ref="C194:D194"/>
    <mergeCell ref="E194:F194"/>
    <mergeCell ref="G194:H194"/>
    <mergeCell ref="I194:J194"/>
    <mergeCell ref="K194:L194"/>
    <mergeCell ref="M194:N194"/>
    <mergeCell ref="O194:P194"/>
    <mergeCell ref="Q194:R194"/>
    <mergeCell ref="S196:T196"/>
    <mergeCell ref="A197:B197"/>
    <mergeCell ref="C197:D197"/>
    <mergeCell ref="E197:F197"/>
    <mergeCell ref="G197:H197"/>
    <mergeCell ref="I197:J197"/>
    <mergeCell ref="K197:L197"/>
    <mergeCell ref="M197:N197"/>
    <mergeCell ref="O197:P197"/>
    <mergeCell ref="Q197:R197"/>
    <mergeCell ref="S197:T197"/>
    <mergeCell ref="A196:B196"/>
    <mergeCell ref="C196:D196"/>
    <mergeCell ref="E196:F196"/>
    <mergeCell ref="G196:H196"/>
    <mergeCell ref="I196:J196"/>
    <mergeCell ref="K196:L196"/>
    <mergeCell ref="M196:N196"/>
    <mergeCell ref="O196:P196"/>
    <mergeCell ref="Q196:R196"/>
    <mergeCell ref="S198:T198"/>
    <mergeCell ref="A199:B199"/>
    <mergeCell ref="C199:D199"/>
    <mergeCell ref="E199:F199"/>
    <mergeCell ref="G199:H199"/>
    <mergeCell ref="I199:J199"/>
    <mergeCell ref="K199:L199"/>
    <mergeCell ref="M199:N199"/>
    <mergeCell ref="O199:P199"/>
    <mergeCell ref="Q199:R199"/>
    <mergeCell ref="S199:T199"/>
    <mergeCell ref="A198:B198"/>
    <mergeCell ref="C198:D198"/>
    <mergeCell ref="E198:F198"/>
    <mergeCell ref="G198:H198"/>
    <mergeCell ref="I198:J198"/>
    <mergeCell ref="K198:L198"/>
    <mergeCell ref="M198:N198"/>
    <mergeCell ref="O198:P198"/>
    <mergeCell ref="Q198:R198"/>
    <mergeCell ref="S200:T200"/>
    <mergeCell ref="A201:B201"/>
    <mergeCell ref="C201:D201"/>
    <mergeCell ref="E201:F201"/>
    <mergeCell ref="G201:H201"/>
    <mergeCell ref="I201:J201"/>
    <mergeCell ref="K201:L201"/>
    <mergeCell ref="M201:N201"/>
    <mergeCell ref="O201:P201"/>
    <mergeCell ref="Q201:R201"/>
    <mergeCell ref="S201:T201"/>
    <mergeCell ref="A200:B200"/>
    <mergeCell ref="C200:D200"/>
    <mergeCell ref="E200:F200"/>
    <mergeCell ref="G200:H200"/>
    <mergeCell ref="I200:J200"/>
    <mergeCell ref="K200:L200"/>
    <mergeCell ref="M200:N200"/>
    <mergeCell ref="O200:P200"/>
    <mergeCell ref="Q200:R200"/>
    <mergeCell ref="S202:T202"/>
    <mergeCell ref="A203:B203"/>
    <mergeCell ref="C203:D203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A202:B202"/>
    <mergeCell ref="C202:D202"/>
    <mergeCell ref="E202:F202"/>
    <mergeCell ref="G202:H202"/>
    <mergeCell ref="I202:J202"/>
    <mergeCell ref="K202:L202"/>
    <mergeCell ref="M202:N202"/>
    <mergeCell ref="O202:P202"/>
    <mergeCell ref="Q202:R202"/>
    <mergeCell ref="S204:T204"/>
    <mergeCell ref="A205:B205"/>
    <mergeCell ref="C205:D205"/>
    <mergeCell ref="E205:F205"/>
    <mergeCell ref="G205:H205"/>
    <mergeCell ref="I205:J205"/>
    <mergeCell ref="K205:L205"/>
    <mergeCell ref="M205:N205"/>
    <mergeCell ref="O205:P205"/>
    <mergeCell ref="Q205:R205"/>
    <mergeCell ref="S205:T205"/>
    <mergeCell ref="A204:B204"/>
    <mergeCell ref="C204:D204"/>
    <mergeCell ref="E204:F204"/>
    <mergeCell ref="G204:H204"/>
    <mergeCell ref="I204:J204"/>
    <mergeCell ref="K204:L204"/>
    <mergeCell ref="M204:N204"/>
    <mergeCell ref="O204:P204"/>
    <mergeCell ref="Q204:R204"/>
    <mergeCell ref="S206:T206"/>
    <mergeCell ref="A207:B207"/>
    <mergeCell ref="C207:D207"/>
    <mergeCell ref="E207:F207"/>
    <mergeCell ref="G207:H207"/>
    <mergeCell ref="I207:J207"/>
    <mergeCell ref="K207:L207"/>
    <mergeCell ref="M207:N207"/>
    <mergeCell ref="O207:P207"/>
    <mergeCell ref="Q207:R207"/>
    <mergeCell ref="S207:T207"/>
    <mergeCell ref="A206:B206"/>
    <mergeCell ref="C206:D206"/>
    <mergeCell ref="E206:F206"/>
    <mergeCell ref="G206:H206"/>
    <mergeCell ref="I206:J206"/>
    <mergeCell ref="K206:L206"/>
    <mergeCell ref="M206:N206"/>
    <mergeCell ref="O206:P206"/>
    <mergeCell ref="Q206:R206"/>
    <mergeCell ref="S208:T208"/>
    <mergeCell ref="A209:B209"/>
    <mergeCell ref="C209:D209"/>
    <mergeCell ref="E209:F209"/>
    <mergeCell ref="G209:H209"/>
    <mergeCell ref="I209:J209"/>
    <mergeCell ref="K209:L209"/>
    <mergeCell ref="M209:N209"/>
    <mergeCell ref="O209:P209"/>
    <mergeCell ref="Q209:R209"/>
    <mergeCell ref="S209:T209"/>
    <mergeCell ref="A208:B208"/>
    <mergeCell ref="C208:D208"/>
    <mergeCell ref="E208:F208"/>
    <mergeCell ref="G208:H208"/>
    <mergeCell ref="I208:J208"/>
    <mergeCell ref="K208:L208"/>
    <mergeCell ref="M208:N208"/>
    <mergeCell ref="O208:P208"/>
    <mergeCell ref="Q208:R208"/>
    <mergeCell ref="S210:T210"/>
    <mergeCell ref="A211:B211"/>
    <mergeCell ref="C211:D211"/>
    <mergeCell ref="E211:F211"/>
    <mergeCell ref="G211:H211"/>
    <mergeCell ref="I211:J211"/>
    <mergeCell ref="K211:L211"/>
    <mergeCell ref="M211:N211"/>
    <mergeCell ref="O211:P211"/>
    <mergeCell ref="Q211:R211"/>
    <mergeCell ref="S211:T211"/>
    <mergeCell ref="A210:B210"/>
    <mergeCell ref="C210:D210"/>
    <mergeCell ref="E210:F210"/>
    <mergeCell ref="G210:H210"/>
    <mergeCell ref="I210:J210"/>
    <mergeCell ref="K210:L210"/>
    <mergeCell ref="M210:N210"/>
    <mergeCell ref="O210:P210"/>
    <mergeCell ref="Q210:R210"/>
    <mergeCell ref="A212:B212"/>
    <mergeCell ref="C212:D212"/>
    <mergeCell ref="E212:F212"/>
    <mergeCell ref="G212:H212"/>
    <mergeCell ref="I212:J212"/>
    <mergeCell ref="K212:L212"/>
    <mergeCell ref="M212:N212"/>
    <mergeCell ref="O212:P212"/>
    <mergeCell ref="Q212:R212"/>
    <mergeCell ref="A7:T7"/>
    <mergeCell ref="A8:T8"/>
    <mergeCell ref="A9:T9"/>
    <mergeCell ref="A10:T10"/>
    <mergeCell ref="A59:T59"/>
    <mergeCell ref="A16:T16"/>
    <mergeCell ref="A17:T17"/>
    <mergeCell ref="B89:T89"/>
    <mergeCell ref="O39:R39"/>
    <mergeCell ref="T29:T41"/>
    <mergeCell ref="A265:T265"/>
    <mergeCell ref="A292:T292"/>
    <mergeCell ref="Q214:R214"/>
    <mergeCell ref="S214:T214"/>
    <mergeCell ref="A15:T15"/>
    <mergeCell ref="Q213:R213"/>
    <mergeCell ref="S213:T213"/>
    <mergeCell ref="A214:B214"/>
    <mergeCell ref="C214:D214"/>
    <mergeCell ref="E214:F214"/>
    <mergeCell ref="G214:H214"/>
    <mergeCell ref="I214:J214"/>
    <mergeCell ref="K214:L214"/>
    <mergeCell ref="M214:N214"/>
    <mergeCell ref="O214:P214"/>
    <mergeCell ref="S212:T212"/>
    <mergeCell ref="A213:B213"/>
    <mergeCell ref="C213:D213"/>
    <mergeCell ref="E213:F213"/>
    <mergeCell ref="G213:H213"/>
    <mergeCell ref="I213:J213"/>
    <mergeCell ref="K213:L213"/>
    <mergeCell ref="M213:N213"/>
    <mergeCell ref="O213:P213"/>
  </mergeCells>
  <pageMargins left="0.62992125984251968" right="0.62992125984251968" top="0.35433070866141736" bottom="0.35433070866141736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FB7F1B3342664D914BF632E516CAB9" ma:contentTypeVersion="13" ma:contentTypeDescription="Create a new document." ma:contentTypeScope="" ma:versionID="63c77b80ffb05641c8b5e36e6e0866a1">
  <xsd:schema xmlns:xsd="http://www.w3.org/2001/XMLSchema" xmlns:xs="http://www.w3.org/2001/XMLSchema" xmlns:p="http://schemas.microsoft.com/office/2006/metadata/properties" xmlns:ns3="16b66797-d361-45c1-aa90-bc5e3fc2723c" xmlns:ns4="96871ce3-3694-452a-a3bd-fd8f437a6f33" targetNamespace="http://schemas.microsoft.com/office/2006/metadata/properties" ma:root="true" ma:fieldsID="05d11cbd21d88623016902913ad4b508" ns3:_="" ns4:_="">
    <xsd:import namespace="16b66797-d361-45c1-aa90-bc5e3fc2723c"/>
    <xsd:import namespace="96871ce3-3694-452a-a3bd-fd8f437a6f3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b66797-d361-45c1-aa90-bc5e3fc272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871ce3-3694-452a-a3bd-fd8f437a6f3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1F65E6-04F6-437A-AC55-C9E1713E5814}">
  <ds:schemaRefs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16b66797-d361-45c1-aa90-bc5e3fc2723c"/>
    <ds:schemaRef ds:uri="http://schemas.openxmlformats.org/package/2006/metadata/core-properties"/>
    <ds:schemaRef ds:uri="96871ce3-3694-452a-a3bd-fd8f437a6f33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4FECF2C-63B2-4F7A-A11E-E00ECAEB5A1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5922FB-C3A2-4260-8374-BC772E951D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b66797-d361-45c1-aa90-bc5e3fc2723c"/>
    <ds:schemaRef ds:uri="96871ce3-3694-452a-a3bd-fd8f437a6f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Client</vt:lpstr>
      <vt:lpstr>MEX</vt:lpstr>
      <vt:lpstr>MEXtabs</vt:lpstr>
      <vt:lpstr>MEXReport</vt:lpstr>
    </vt:vector>
  </TitlesOfParts>
  <Company>ARPANSA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butled</dc:creator>
  <cp:lastModifiedBy>Duncan Butler</cp:lastModifiedBy>
  <cp:lastPrinted>2021-07-05T10:56:20Z</cp:lastPrinted>
  <dcterms:created xsi:type="dcterms:W3CDTF">2004-09-21T07:25:58Z</dcterms:created>
  <dcterms:modified xsi:type="dcterms:W3CDTF">2021-08-12T11:52:01Z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0x010100FFFB7F1B3342664D914BF632E516CAB9</vt:lpwstr>
  </property>
</Properties>
</file>