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wmf" ContentType="image/x-wmf"/>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6.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10.xml" ContentType="application/vnd.openxmlformats-officedocument.drawing+xml"/>
  <Override PartName="/xl/activeX/activeX2.xml" ContentType="application/vnd.ms-office.activeX+xml"/>
  <Override PartName="/xl/activeX/activeX2.bin" ContentType="application/vnd.ms-office.activeX"/>
  <Override PartName="/xl/ctrlProps/ctrlProp6.xml" ContentType="application/vnd.ms-excel.controlproperties+xml"/>
  <Override PartName="/xl/charts/chart10.xml" ContentType="application/vnd.openxmlformats-officedocument.drawingml.chart+xml"/>
  <Override PartName="/xl/drawings/drawing11.xml" ContentType="application/vnd.openxmlformats-officedocument.drawing+xml"/>
  <Override PartName="/xl/drawings/drawing12.xml" ContentType="application/vnd.openxmlformats-officedocument.drawing+xml"/>
  <Override PartName="/xl/ctrlProps/ctrlProp7.xml" ContentType="application/vnd.ms-excel.controlproperties+xml"/>
  <Override PartName="/xl/comments3.xml" ContentType="application/vnd.openxmlformats-officedocument.spreadsheetml.comments+xml"/>
  <Override PartName="/xl/charts/chart11.xml" ContentType="application/vnd.openxmlformats-officedocument.drawingml.chart+xml"/>
  <Override PartName="/xl/charts/chart12.xml" ContentType="application/vnd.openxmlformats-officedocument.drawingml.chart+xml"/>
  <Override PartName="/xl/drawings/drawing13.xml" ContentType="application/vnd.openxmlformats-officedocument.drawing+xml"/>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charts/chart13.xml" ContentType="application/vnd.openxmlformats-officedocument.drawingml.chart+xml"/>
  <Override PartName="/xl/drawings/drawing14.xml" ContentType="application/vnd.openxmlformats-officedocument.drawing+xml"/>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charts/chart14.xml" ContentType="application/vnd.openxmlformats-officedocument.drawingml.chart+xml"/>
  <Override PartName="/xl/drawings/drawing15.xml" ContentType="application/vnd.openxmlformats-officedocument.drawing+xml"/>
  <Override PartName="/xl/ctrlProps/ctrlProp8.xml" ContentType="application/vnd.ms-excel.controlproperties+xml"/>
  <Override PartName="/xl/drawings/drawing16.xml" ContentType="application/vnd.openxmlformats-officedocument.drawing+xml"/>
  <Override PartName="/xl/embeddings/oleObject13.bin" ContentType="application/vnd.openxmlformats-officedocument.oleObject"/>
  <Override PartName="/xl/embeddings/oleObject14.bin" ContentType="application/vnd.openxmlformats-officedocument.oleObject"/>
  <Override PartName="/xl/drawings/drawing17.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371" codeName="{3D1A710C-6663-3D7B-7F91-EC182F24A4BC}"/>
  <workbookPr codeName="ThisWorkbook" defaultThemeVersion="124226"/>
  <mc:AlternateContent xmlns:mc="http://schemas.openxmlformats.org/markup-compatibility/2006">
    <mc:Choice Requires="x15">
      <x15ac:absPath xmlns:x15ac="http://schemas.microsoft.com/office/spreadsheetml/2010/11/ac" url="S:\Medical_Rad\Radiotherapy\Ionizing Radiation\Shared Work Records - RES\781-810\RES00800 Digitisation student project\"/>
    </mc:Choice>
  </mc:AlternateContent>
  <xr:revisionPtr revIDLastSave="0" documentId="13_ncr:1_{1A4A5C14-BB5A-4E1C-BFB1-D4BEE046582A}" xr6:coauthVersionLast="36" xr6:coauthVersionMax="36" xr10:uidLastSave="{00000000-0000-0000-0000-000000000000}"/>
  <bookViews>
    <workbookView xWindow="9540" yWindow="3525" windowWidth="38700" windowHeight="15435" tabRatio="807" activeTab="11" xr2:uid="{00000000-000D-0000-FFFF-FFFF00000000}"/>
  </bookViews>
  <sheets>
    <sheet name="Intro" sheetId="11" r:id="rId1"/>
    <sheet name="Client" sheetId="30" r:id="rId2"/>
    <sheet name="Elec" sheetId="34" r:id="rId3"/>
    <sheet name="Combined" sheetId="8" r:id="rId4"/>
    <sheet name="ElecReport" sheetId="36" r:id="rId5"/>
    <sheet name="ElecRep2Ch" sheetId="44" r:id="rId6"/>
    <sheet name="Co" sheetId="6" r:id="rId7"/>
    <sheet name="CoReport" sheetId="33" r:id="rId8"/>
    <sheet name="MEX" sheetId="15" r:id="rId9"/>
    <sheet name="MEX-u" sheetId="46" r:id="rId10"/>
    <sheet name="MEXtabs" sheetId="27" r:id="rId11"/>
    <sheet name="MEXReport" sheetId="31" r:id="rId12"/>
    <sheet name="LEX" sheetId="20" r:id="rId13"/>
    <sheet name="LEXReport" sheetId="37" r:id="rId14"/>
    <sheet name="MV-P" sheetId="38" r:id="rId15"/>
    <sheet name="MVP+CoReport" sheetId="45" r:id="rId16"/>
    <sheet name="MVPreport" sheetId="41" r:id="rId17"/>
    <sheet name="MV-E" sheetId="39" r:id="rId18"/>
    <sheet name="MVEreport" sheetId="42" r:id="rId19"/>
    <sheet name="Cs" sheetId="18" r:id="rId20"/>
    <sheet name="Limits" sheetId="23" r:id="rId21"/>
    <sheet name="MEX QC" sheetId="43" r:id="rId22"/>
    <sheet name="Log" sheetId="47" r:id="rId23"/>
    <sheet name="DCC" sheetId="48" r:id="rId24"/>
    <sheet name="Checking" sheetId="26" r:id="rId25"/>
  </sheets>
  <functionGroups builtInGroupCount="19"/>
  <definedNames>
    <definedName name="_xlnm._FilterDatabase" localSheetId="1" hidden="1">Client!$N$5:$N$24</definedName>
    <definedName name="CHECKING_Dir">DCC!$B$10</definedName>
    <definedName name="CO_Stub">DCC!$M$16</definedName>
    <definedName name="DCC_Dir">DCC!$B$8</definedName>
    <definedName name="Elec_2Ch_Stub">DCC!$M$21</definedName>
    <definedName name="ELEC_Stub">DCC!$M$15</definedName>
    <definedName name="INFILE_Name">DCC!$B$7</definedName>
    <definedName name="LEX_Stub">DCC!$M$18</definedName>
    <definedName name="MEX_PDF">DCC!$M$15</definedName>
    <definedName name="MEX_Stub">DCC!$M$17</definedName>
    <definedName name="MVE_Stub">DCC!$M$20</definedName>
    <definedName name="MVP_Stub">DCC!$M$19</definedName>
    <definedName name="OLE_LINK1" localSheetId="7">CoReport!$AA$81</definedName>
    <definedName name="OLE_LINK1" localSheetId="5">ElecRep2Ch!#REF!</definedName>
    <definedName name="OLE_LINK1" localSheetId="4">ElecReport!#REF!</definedName>
    <definedName name="OLE_LINK1" localSheetId="18">MVEreport!#REF!</definedName>
    <definedName name="OLE_LINK1" localSheetId="15">'MVP+CoReport'!$AA$79</definedName>
    <definedName name="OLE_LINK1" localSheetId="16">MVPreport!$AA$78</definedName>
    <definedName name="_xlnm.Print_Area" localSheetId="24">Checking!$A$1:$K$86</definedName>
    <definedName name="REPORT_Dir">DCC!$B$9</definedName>
    <definedName name="THIS_Dir">DCC!$B$6</definedName>
  </definedNames>
  <calcPr calcId="191029"/>
</workbook>
</file>

<file path=xl/calcChain.xml><?xml version="1.0" encoding="utf-8"?>
<calcChain xmlns="http://schemas.openxmlformats.org/spreadsheetml/2006/main">
  <c r="E45" i="34" l="1"/>
  <c r="C16" i="48" l="1"/>
  <c r="A16" i="36"/>
  <c r="A16" i="44"/>
  <c r="I21" i="48" a="1"/>
  <c r="I20" i="48" a="1"/>
  <c r="I19" i="48" a="1"/>
  <c r="I18" i="48" a="1"/>
  <c r="I17" i="48" a="1"/>
  <c r="I16" i="48" a="1"/>
  <c r="I15" i="48" a="1"/>
  <c r="D21" i="48" a="1"/>
  <c r="D20" i="48" a="1"/>
  <c r="D19" i="48" a="1"/>
  <c r="D18" i="48" a="1"/>
  <c r="D17" i="48" a="1"/>
  <c r="D16" i="48" a="1"/>
  <c r="D15" i="48" a="1"/>
  <c r="I21" i="48" l="1"/>
  <c r="I20" i="48"/>
  <c r="I19" i="48"/>
  <c r="I18" i="48"/>
  <c r="I17" i="48"/>
  <c r="I16" i="48"/>
  <c r="I15" i="48"/>
  <c r="D21" i="48"/>
  <c r="D20" i="48"/>
  <c r="D19" i="48"/>
  <c r="D18" i="48"/>
  <c r="D17" i="48"/>
  <c r="D16" i="48"/>
  <c r="D15" i="48"/>
  <c r="Q9" i="34"/>
  <c r="B21" i="48" s="1"/>
  <c r="M21" i="48"/>
  <c r="C21" i="48"/>
  <c r="F21" i="48" a="1"/>
  <c r="F21" i="48" l="1"/>
  <c r="C15" i="48"/>
  <c r="C17" i="48"/>
  <c r="C18" i="48"/>
  <c r="C19" i="48"/>
  <c r="C20" i="48"/>
  <c r="F16" i="48" a="1"/>
  <c r="F20" i="48" a="1"/>
  <c r="F17" i="48" a="1"/>
  <c r="F15" i="48" a="1"/>
  <c r="F18" i="48" a="1"/>
  <c r="F19" i="48" a="1"/>
  <c r="F20" i="48" l="1"/>
  <c r="F19" i="48"/>
  <c r="F18" i="48"/>
  <c r="F17" i="48"/>
  <c r="F16" i="48"/>
  <c r="F15" i="48"/>
  <c r="M18" i="48"/>
  <c r="M19" i="48"/>
  <c r="M17" i="48"/>
  <c r="M16" i="48"/>
  <c r="M20" i="48"/>
  <c r="M15" i="48"/>
  <c r="B3" i="48"/>
  <c r="B1" i="48"/>
  <c r="B7" i="48"/>
  <c r="B6" i="48"/>
  <c r="B10" i="48" s="1"/>
  <c r="B9" i="48" l="1"/>
  <c r="B8" i="48"/>
  <c r="E18" i="39"/>
  <c r="B20" i="48" s="1"/>
  <c r="G18" i="38"/>
  <c r="B19" i="48" s="1"/>
  <c r="J19" i="48" s="1"/>
  <c r="B10" i="6" l="1"/>
  <c r="B9" i="6"/>
  <c r="B171" i="37" l="1"/>
  <c r="E171" i="37"/>
  <c r="R171" i="37"/>
  <c r="K171" i="37"/>
  <c r="I10" i="6" l="1"/>
  <c r="I8" i="34" l="1"/>
  <c r="J21" i="48" l="1"/>
  <c r="B15" i="48"/>
  <c r="J15" i="48" s="1"/>
  <c r="M7" i="38"/>
  <c r="M6" i="38"/>
  <c r="L13" i="39"/>
  <c r="L12" i="39"/>
  <c r="L23" i="20"/>
  <c r="C69" i="30" s="1"/>
  <c r="C68" i="30" s="1"/>
  <c r="L22" i="20"/>
  <c r="B69" i="30" s="1"/>
  <c r="C8" i="15"/>
  <c r="C7" i="15"/>
  <c r="B17" i="48" s="1"/>
  <c r="J17" i="48" s="1"/>
  <c r="V78" i="15"/>
  <c r="C49" i="30" s="1"/>
  <c r="C48" i="30" s="1"/>
  <c r="V77" i="15"/>
  <c r="B49" i="30" s="1"/>
  <c r="I31" i="34"/>
  <c r="C15" i="30" s="1"/>
  <c r="C14" i="30" s="1"/>
  <c r="I30" i="34"/>
  <c r="B15" i="30" s="1"/>
  <c r="R10" i="6"/>
  <c r="R9" i="6"/>
  <c r="Q10" i="6"/>
  <c r="Q9" i="6"/>
  <c r="H6" i="38" a="1"/>
  <c r="G183" i="45" a="1"/>
  <c r="G226" i="45" a="1"/>
  <c r="G192" i="33" a="1"/>
  <c r="G25" i="36" a="1"/>
  <c r="G236" i="33" a="1"/>
  <c r="G25" i="44" a="1"/>
  <c r="C40" i="30" l="1"/>
  <c r="C39" i="30" s="1"/>
  <c r="B40" i="30"/>
  <c r="G192" i="33"/>
  <c r="G236" i="33"/>
  <c r="G178" i="41" s="1"/>
  <c r="G25" i="44"/>
  <c r="G25" i="36"/>
  <c r="G145" i="36" s="1"/>
  <c r="H6" i="38"/>
  <c r="G183" i="45"/>
  <c r="G226" i="45"/>
  <c r="C101" i="30"/>
  <c r="C100" i="30" s="1"/>
  <c r="B101" i="30"/>
  <c r="B91" i="30"/>
  <c r="C91" i="30"/>
  <c r="C90" i="30" s="1"/>
  <c r="G227" i="45" a="1"/>
  <c r="G26" i="42" a="1"/>
  <c r="G26" i="33" a="1"/>
  <c r="G179" i="41" l="1"/>
  <c r="G145" i="44"/>
  <c r="G190" i="44"/>
  <c r="G26" i="42"/>
  <c r="G26" i="33"/>
  <c r="G227" i="45"/>
  <c r="L91" i="30"/>
  <c r="K91" i="30"/>
  <c r="G32" i="45" a="1"/>
  <c r="G32" i="41" a="1"/>
  <c r="G32" i="42" a="1"/>
  <c r="G26" i="41" a="1"/>
  <c r="G26" i="45" a="1"/>
  <c r="G26" i="41" l="1"/>
  <c r="G32" i="42"/>
  <c r="G186" i="42"/>
  <c r="G26" i="45"/>
  <c r="G32" i="45"/>
  <c r="G32" i="41"/>
  <c r="G31" i="39"/>
  <c r="G32" i="37" a="1"/>
  <c r="G32" i="33" a="1"/>
  <c r="G31" i="36" a="1"/>
  <c r="G31" i="44" a="1"/>
  <c r="G27" i="31" a="1"/>
  <c r="G26" i="37" a="1"/>
  <c r="G33" i="31" a="1"/>
  <c r="G26" i="37" l="1"/>
  <c r="G158" i="37" s="1"/>
  <c r="G32" i="37"/>
  <c r="G33" i="31"/>
  <c r="G27" i="31"/>
  <c r="G118" i="31" s="1"/>
  <c r="G32" i="33"/>
  <c r="G31" i="36"/>
  <c r="G31" i="44"/>
  <c r="F34" i="38"/>
  <c r="R48" i="38"/>
  <c r="R47" i="38"/>
  <c r="R46" i="38"/>
  <c r="R38" i="38" l="1"/>
  <c r="R37" i="38"/>
  <c r="L24" i="38" l="1"/>
  <c r="L23" i="38"/>
  <c r="L22" i="38"/>
  <c r="A40" i="45" l="1"/>
  <c r="A40" i="42" l="1"/>
  <c r="L93" i="30" l="1"/>
  <c r="K246" i="45"/>
  <c r="M5" i="20" l="1"/>
  <c r="B18" i="48" s="1"/>
  <c r="J18" i="48" s="1"/>
  <c r="B1" i="47" l="1"/>
  <c r="E25" i="39" l="1"/>
  <c r="K13" i="46" l="1"/>
  <c r="L13" i="46"/>
  <c r="K14" i="46"/>
  <c r="L14" i="46"/>
  <c r="K15" i="46"/>
  <c r="L15" i="46"/>
  <c r="K16" i="46"/>
  <c r="L16" i="46"/>
  <c r="K17" i="46"/>
  <c r="L17" i="46"/>
  <c r="K18" i="46"/>
  <c r="L18" i="46"/>
  <c r="K19" i="46"/>
  <c r="L19" i="46"/>
  <c r="K20" i="46"/>
  <c r="L20" i="46"/>
  <c r="K21" i="46"/>
  <c r="L21" i="46"/>
  <c r="K22" i="46"/>
  <c r="L22" i="46"/>
  <c r="K23" i="46"/>
  <c r="L23" i="46"/>
  <c r="K24" i="46"/>
  <c r="L24" i="46"/>
  <c r="K25" i="46"/>
  <c r="L25" i="46"/>
  <c r="K26" i="46"/>
  <c r="L26" i="46"/>
  <c r="K27" i="46"/>
  <c r="L27" i="46"/>
  <c r="K28" i="46"/>
  <c r="L28" i="46"/>
  <c r="K29" i="46"/>
  <c r="L29" i="46"/>
  <c r="K30" i="46"/>
  <c r="L30" i="46"/>
  <c r="K31" i="46"/>
  <c r="L31" i="46"/>
  <c r="K32" i="46"/>
  <c r="L32" i="46"/>
  <c r="K33" i="46"/>
  <c r="L33" i="46"/>
  <c r="K34" i="46"/>
  <c r="L34" i="46"/>
  <c r="K35" i="46"/>
  <c r="L35" i="46"/>
  <c r="K36" i="46"/>
  <c r="L36" i="46"/>
  <c r="K37" i="46"/>
  <c r="L37" i="46"/>
  <c r="K38" i="46"/>
  <c r="L38" i="46"/>
  <c r="K39" i="46"/>
  <c r="L39" i="46"/>
  <c r="K40" i="46"/>
  <c r="L40" i="46"/>
  <c r="K41" i="46"/>
  <c r="L41" i="46"/>
  <c r="K42" i="46"/>
  <c r="L42" i="46"/>
  <c r="K43" i="46"/>
  <c r="L43" i="46"/>
  <c r="K44" i="46"/>
  <c r="L44" i="46"/>
  <c r="K45" i="46"/>
  <c r="L45" i="46"/>
  <c r="K46" i="46"/>
  <c r="L46" i="46"/>
  <c r="K47" i="46"/>
  <c r="L47" i="46"/>
  <c r="K48" i="46"/>
  <c r="L48" i="46"/>
  <c r="K49" i="46"/>
  <c r="L49" i="46"/>
  <c r="K50" i="46"/>
  <c r="L50" i="46"/>
  <c r="K51" i="46"/>
  <c r="L51" i="46"/>
  <c r="K52" i="46"/>
  <c r="L52" i="46"/>
  <c r="K53" i="46"/>
  <c r="L53" i="46"/>
  <c r="K54" i="46"/>
  <c r="L54" i="46"/>
  <c r="K55" i="46"/>
  <c r="L55" i="46"/>
  <c r="K56" i="46"/>
  <c r="L56" i="46"/>
  <c r="K57" i="46"/>
  <c r="L57" i="46"/>
  <c r="K58" i="46"/>
  <c r="L58" i="46"/>
  <c r="K59" i="46"/>
  <c r="L59" i="46"/>
  <c r="K60" i="46"/>
  <c r="L60" i="46"/>
  <c r="K61" i="46"/>
  <c r="L61" i="46"/>
  <c r="K62" i="46"/>
  <c r="L62" i="46"/>
  <c r="K63" i="46"/>
  <c r="L63" i="46"/>
  <c r="K64" i="46"/>
  <c r="L64" i="46"/>
  <c r="K65" i="46"/>
  <c r="L65" i="46"/>
  <c r="K66" i="46"/>
  <c r="L66" i="46"/>
  <c r="K67" i="46"/>
  <c r="L67" i="46"/>
  <c r="K68" i="46"/>
  <c r="L68" i="46"/>
  <c r="K69" i="46"/>
  <c r="L69" i="46"/>
  <c r="K70" i="46"/>
  <c r="L70" i="46"/>
  <c r="K71" i="46"/>
  <c r="L71" i="46"/>
  <c r="K72" i="46"/>
  <c r="L72" i="46"/>
  <c r="K73" i="46"/>
  <c r="L73" i="46"/>
  <c r="K12" i="46"/>
  <c r="L12" i="46"/>
  <c r="J13" i="46"/>
  <c r="J14" i="46"/>
  <c r="J15" i="46"/>
  <c r="J16" i="46"/>
  <c r="J17" i="46"/>
  <c r="J18" i="46"/>
  <c r="J19" i="46"/>
  <c r="J20" i="46"/>
  <c r="J21" i="46"/>
  <c r="J22" i="46"/>
  <c r="J23" i="46"/>
  <c r="J24" i="46"/>
  <c r="J25" i="46"/>
  <c r="J26" i="46"/>
  <c r="J27" i="46"/>
  <c r="J28" i="46"/>
  <c r="J29" i="46"/>
  <c r="J30" i="46"/>
  <c r="J31" i="46"/>
  <c r="J32" i="46"/>
  <c r="J33" i="46"/>
  <c r="J34" i="46"/>
  <c r="J35" i="46"/>
  <c r="J36" i="46"/>
  <c r="J37" i="46"/>
  <c r="J38" i="46"/>
  <c r="J39" i="46"/>
  <c r="J40" i="46"/>
  <c r="J41" i="46"/>
  <c r="J42" i="46"/>
  <c r="J43" i="46"/>
  <c r="J44" i="46"/>
  <c r="J45" i="46"/>
  <c r="J46" i="46"/>
  <c r="J47" i="46"/>
  <c r="J48" i="46"/>
  <c r="J49" i="46"/>
  <c r="J50" i="46"/>
  <c r="J51" i="46"/>
  <c r="J52" i="46"/>
  <c r="J53" i="46"/>
  <c r="J54" i="46"/>
  <c r="J55" i="46"/>
  <c r="J56" i="46"/>
  <c r="J57" i="46"/>
  <c r="J58" i="46"/>
  <c r="J59" i="46"/>
  <c r="J60" i="46"/>
  <c r="J61" i="46"/>
  <c r="J62" i="46"/>
  <c r="J63" i="46"/>
  <c r="J64" i="46"/>
  <c r="J65" i="46"/>
  <c r="J66" i="46"/>
  <c r="J67" i="46"/>
  <c r="J68" i="46"/>
  <c r="J69" i="46"/>
  <c r="J70" i="46"/>
  <c r="J71" i="46"/>
  <c r="J72" i="46"/>
  <c r="J73" i="46"/>
  <c r="J12" i="46"/>
  <c r="I13" i="46"/>
  <c r="I14" i="46"/>
  <c r="I15" i="46"/>
  <c r="I16" i="46"/>
  <c r="I17" i="46"/>
  <c r="I18" i="46"/>
  <c r="I19" i="46"/>
  <c r="I20" i="46"/>
  <c r="I21" i="46"/>
  <c r="I22" i="46"/>
  <c r="I23" i="46"/>
  <c r="I24" i="46"/>
  <c r="I25" i="46"/>
  <c r="I26" i="46"/>
  <c r="I27" i="46"/>
  <c r="I28" i="46"/>
  <c r="I29" i="46"/>
  <c r="I30" i="46"/>
  <c r="I31" i="46"/>
  <c r="I32" i="46"/>
  <c r="I33" i="46"/>
  <c r="I34" i="46"/>
  <c r="I35" i="46"/>
  <c r="I36" i="46"/>
  <c r="I37" i="46"/>
  <c r="I38" i="46"/>
  <c r="I39" i="46"/>
  <c r="I40" i="46"/>
  <c r="I41" i="46"/>
  <c r="I42" i="46"/>
  <c r="I43" i="46"/>
  <c r="I44" i="46"/>
  <c r="I45" i="46"/>
  <c r="I46" i="46"/>
  <c r="I47" i="46"/>
  <c r="I48" i="46"/>
  <c r="I49" i="46"/>
  <c r="I50" i="46"/>
  <c r="I51" i="46"/>
  <c r="I52" i="46"/>
  <c r="I53" i="46"/>
  <c r="I54" i="46"/>
  <c r="I55" i="46"/>
  <c r="I56" i="46"/>
  <c r="I57" i="46"/>
  <c r="I58" i="46"/>
  <c r="I59" i="46"/>
  <c r="I60" i="46"/>
  <c r="I61" i="46"/>
  <c r="I62" i="46"/>
  <c r="I63" i="46"/>
  <c r="I64" i="46"/>
  <c r="I65" i="46"/>
  <c r="I66" i="46"/>
  <c r="I67" i="46"/>
  <c r="I68" i="46"/>
  <c r="I69" i="46"/>
  <c r="I70" i="46"/>
  <c r="I71" i="46"/>
  <c r="I72" i="46"/>
  <c r="I73" i="46"/>
  <c r="I12" i="46"/>
  <c r="J10" i="46"/>
  <c r="K10" i="46"/>
  <c r="L10" i="46"/>
  <c r="I10" i="46"/>
  <c r="B5" i="46" l="1"/>
  <c r="B4" i="46"/>
  <c r="M3" i="46"/>
  <c r="B3" i="46"/>
  <c r="A3" i="46"/>
  <c r="M1" i="46"/>
  <c r="K207" i="33" l="1"/>
  <c r="G28" i="45" l="1"/>
  <c r="S84" i="27" l="1"/>
  <c r="S85" i="27"/>
  <c r="S86" i="27"/>
  <c r="S87" i="27"/>
  <c r="S88" i="27"/>
  <c r="S89" i="27"/>
  <c r="S90" i="27"/>
  <c r="S91" i="27"/>
  <c r="G174" i="42" l="1"/>
  <c r="K198" i="45"/>
  <c r="G29" i="38"/>
  <c r="D29" i="38"/>
  <c r="C29" i="38"/>
  <c r="H30" i="38" s="1"/>
  <c r="H28" i="38"/>
  <c r="D49" i="38"/>
  <c r="D46" i="38"/>
  <c r="D43" i="38"/>
  <c r="G33" i="30"/>
  <c r="G21" i="44"/>
  <c r="G22" i="42"/>
  <c r="G22" i="37"/>
  <c r="G21" i="36"/>
  <c r="G23" i="31"/>
  <c r="G22" i="45"/>
  <c r="G22" i="33"/>
  <c r="M191" i="45"/>
  <c r="I191" i="45"/>
  <c r="G171" i="45"/>
  <c r="G214" i="45"/>
  <c r="T307" i="45"/>
  <c r="T286" i="45"/>
  <c r="G241" i="45"/>
  <c r="G240" i="45"/>
  <c r="G239" i="45"/>
  <c r="G233" i="45"/>
  <c r="I128" i="45"/>
  <c r="R127" i="45"/>
  <c r="O127" i="45"/>
  <c r="L127" i="45"/>
  <c r="T118" i="45"/>
  <c r="T110" i="45"/>
  <c r="H106" i="45"/>
  <c r="E106" i="45"/>
  <c r="T104" i="45"/>
  <c r="I99" i="45"/>
  <c r="R98" i="45"/>
  <c r="O98" i="45"/>
  <c r="L98" i="45"/>
  <c r="R97" i="45"/>
  <c r="R126" i="45" s="1"/>
  <c r="O97" i="45"/>
  <c r="O126" i="45" s="1"/>
  <c r="L97" i="45"/>
  <c r="L126" i="45" s="1"/>
  <c r="I97" i="45"/>
  <c r="I126" i="45" s="1"/>
  <c r="B93" i="45"/>
  <c r="B66" i="45"/>
  <c r="I298" i="45"/>
  <c r="G30" i="45"/>
  <c r="G24" i="45"/>
  <c r="G170" i="45" s="1"/>
  <c r="G21" i="45"/>
  <c r="G20" i="45"/>
  <c r="G19" i="45"/>
  <c r="G212" i="45" s="1"/>
  <c r="T12" i="45"/>
  <c r="A55" i="45" s="1"/>
  <c r="T11" i="45"/>
  <c r="J19" i="23"/>
  <c r="G141" i="36"/>
  <c r="N106" i="44"/>
  <c r="N107" i="44"/>
  <c r="K107" i="44"/>
  <c r="K106" i="44"/>
  <c r="K104" i="44"/>
  <c r="B34" i="34"/>
  <c r="K46" i="34"/>
  <c r="Q107" i="44" s="1"/>
  <c r="K45" i="34"/>
  <c r="Q106" i="44" s="1"/>
  <c r="E46" i="34"/>
  <c r="J16" i="23"/>
  <c r="A200" i="44"/>
  <c r="A201" i="44"/>
  <c r="A202" i="44"/>
  <c r="M210" i="44"/>
  <c r="M166" i="44"/>
  <c r="J202" i="44"/>
  <c r="J201" i="44"/>
  <c r="J200" i="44"/>
  <c r="J199" i="44"/>
  <c r="J198" i="44"/>
  <c r="J197" i="44"/>
  <c r="G202" i="44"/>
  <c r="G201" i="44"/>
  <c r="G200" i="44"/>
  <c r="G199" i="44"/>
  <c r="G198" i="44"/>
  <c r="G197" i="44"/>
  <c r="A199" i="44"/>
  <c r="A198" i="44"/>
  <c r="A197" i="44"/>
  <c r="J157" i="44"/>
  <c r="G157" i="44"/>
  <c r="A157" i="44"/>
  <c r="J156" i="44"/>
  <c r="G156" i="44"/>
  <c r="A156" i="44"/>
  <c r="J155" i="44"/>
  <c r="G155" i="44"/>
  <c r="A155" i="44"/>
  <c r="J154" i="44"/>
  <c r="G154" i="44"/>
  <c r="A154" i="44"/>
  <c r="J153" i="44"/>
  <c r="G153" i="44"/>
  <c r="A153" i="44"/>
  <c r="J152" i="44"/>
  <c r="G152" i="44"/>
  <c r="A152" i="44"/>
  <c r="J157" i="36"/>
  <c r="J156" i="36"/>
  <c r="J155" i="36"/>
  <c r="J154" i="36"/>
  <c r="J153" i="36"/>
  <c r="J152" i="36"/>
  <c r="G152" i="36"/>
  <c r="G153" i="36"/>
  <c r="G154" i="36"/>
  <c r="G155" i="36"/>
  <c r="G156" i="36"/>
  <c r="G157" i="36"/>
  <c r="A157" i="36"/>
  <c r="A156" i="36"/>
  <c r="A155" i="36"/>
  <c r="A154" i="36"/>
  <c r="A153" i="36"/>
  <c r="A152" i="36"/>
  <c r="G144" i="36"/>
  <c r="G140" i="36"/>
  <c r="G189" i="44"/>
  <c r="G186" i="44"/>
  <c r="G185" i="44"/>
  <c r="G144" i="44"/>
  <c r="G140" i="44"/>
  <c r="R18" i="34"/>
  <c r="P18" i="34"/>
  <c r="M202" i="44" s="1"/>
  <c r="R17" i="34"/>
  <c r="P17" i="34"/>
  <c r="M201" i="44" s="1"/>
  <c r="R16" i="34"/>
  <c r="P16" i="34"/>
  <c r="M200" i="44" s="1"/>
  <c r="R15" i="34"/>
  <c r="P15" i="34"/>
  <c r="M199" i="44" s="1"/>
  <c r="R14" i="34"/>
  <c r="P14" i="34"/>
  <c r="M198" i="44" s="1"/>
  <c r="R13" i="34"/>
  <c r="P13" i="34"/>
  <c r="M197" i="44" s="1"/>
  <c r="N105" i="44"/>
  <c r="K105" i="44"/>
  <c r="N104" i="44"/>
  <c r="B80" i="44"/>
  <c r="A80" i="44"/>
  <c r="B62" i="44"/>
  <c r="A41" i="44"/>
  <c r="I125" i="44"/>
  <c r="G29" i="44"/>
  <c r="G27" i="44"/>
  <c r="G23" i="44"/>
  <c r="G20" i="44"/>
  <c r="G19" i="44"/>
  <c r="G18" i="44"/>
  <c r="G138" i="44" s="1"/>
  <c r="T12" i="44"/>
  <c r="A170" i="44" s="1"/>
  <c r="T11" i="44"/>
  <c r="D3" i="34"/>
  <c r="B32" i="34"/>
  <c r="B97" i="44" s="1"/>
  <c r="AB21" i="30"/>
  <c r="AB20" i="30"/>
  <c r="AB19" i="30"/>
  <c r="AB18" i="30"/>
  <c r="AB17" i="30"/>
  <c r="AF114" i="30"/>
  <c r="AF108" i="30"/>
  <c r="AF90" i="30"/>
  <c r="AB16" i="30"/>
  <c r="AB15" i="30"/>
  <c r="AB14" i="30"/>
  <c r="AB13" i="30"/>
  <c r="AB12" i="30"/>
  <c r="AB11" i="30"/>
  <c r="AB9" i="30"/>
  <c r="AB8" i="30"/>
  <c r="AB7" i="30"/>
  <c r="O3" i="30"/>
  <c r="T6" i="30" s="1"/>
  <c r="G180" i="45" s="1"/>
  <c r="F84" i="30"/>
  <c r="BI21" i="30"/>
  <c r="BI20" i="30"/>
  <c r="AL11" i="30"/>
  <c r="Q31" i="38"/>
  <c r="R31" i="38" s="1"/>
  <c r="Q32" i="38"/>
  <c r="R32" i="38" s="1"/>
  <c r="Q33" i="38"/>
  <c r="R33" i="38" s="1"/>
  <c r="Q30" i="38"/>
  <c r="R30" i="38" s="1"/>
  <c r="L202" i="42"/>
  <c r="B87" i="42"/>
  <c r="B89" i="42"/>
  <c r="J17" i="23"/>
  <c r="AF84" i="30"/>
  <c r="E22" i="39"/>
  <c r="F25" i="39"/>
  <c r="H25" i="39" s="1"/>
  <c r="C44" i="26" s="1"/>
  <c r="F32" i="39"/>
  <c r="C43" i="26"/>
  <c r="C42" i="26"/>
  <c r="C41" i="26"/>
  <c r="C36" i="26"/>
  <c r="C35" i="26"/>
  <c r="C33" i="26"/>
  <c r="C32" i="26"/>
  <c r="C30" i="26"/>
  <c r="C29" i="26"/>
  <c r="C34" i="26"/>
  <c r="C31" i="26"/>
  <c r="C28" i="26"/>
  <c r="G24" i="42"/>
  <c r="G173" i="42" s="1"/>
  <c r="BI15" i="30"/>
  <c r="G28" i="42"/>
  <c r="T11" i="42"/>
  <c r="T12" i="42"/>
  <c r="A240" i="42" s="1"/>
  <c r="G19" i="42"/>
  <c r="G172" i="42" s="1"/>
  <c r="G20" i="42"/>
  <c r="G21" i="42"/>
  <c r="G30" i="42"/>
  <c r="I205" i="42"/>
  <c r="B68" i="42"/>
  <c r="T81" i="42"/>
  <c r="T101" i="42"/>
  <c r="L108" i="42"/>
  <c r="T117" i="42"/>
  <c r="L125" i="42"/>
  <c r="Q58" i="15"/>
  <c r="L15" i="15"/>
  <c r="L18" i="15"/>
  <c r="I50" i="26" s="1"/>
  <c r="L19" i="15"/>
  <c r="L20" i="15"/>
  <c r="M23" i="15"/>
  <c r="T88" i="27" s="1"/>
  <c r="T24" i="27" s="1"/>
  <c r="Q161" i="31" s="1"/>
  <c r="L26" i="15"/>
  <c r="L27" i="15"/>
  <c r="I51" i="26" s="1"/>
  <c r="L28" i="15"/>
  <c r="M31" i="15"/>
  <c r="L34" i="15"/>
  <c r="I53" i="26" s="1"/>
  <c r="L35" i="15"/>
  <c r="M39" i="15"/>
  <c r="T104" i="27" s="1"/>
  <c r="T35" i="27" s="1"/>
  <c r="L43" i="15"/>
  <c r="L44" i="15"/>
  <c r="I55" i="26" s="1"/>
  <c r="L47" i="15"/>
  <c r="L50" i="15"/>
  <c r="L51" i="15"/>
  <c r="L52" i="15"/>
  <c r="L55" i="15"/>
  <c r="M58" i="15"/>
  <c r="T58" i="15" s="1"/>
  <c r="L60" i="15"/>
  <c r="M63" i="15"/>
  <c r="T128" i="27" s="1"/>
  <c r="T56" i="27" s="1"/>
  <c r="Q201" i="31" s="1"/>
  <c r="L67" i="15"/>
  <c r="L68" i="15"/>
  <c r="L71" i="15"/>
  <c r="M16" i="15"/>
  <c r="N16" i="15" s="1"/>
  <c r="J18" i="15"/>
  <c r="H50" i="26" s="1"/>
  <c r="M24" i="15"/>
  <c r="T24" i="15" s="1"/>
  <c r="J26" i="15"/>
  <c r="J27" i="15"/>
  <c r="H51" i="26" s="1"/>
  <c r="J28" i="15"/>
  <c r="J34" i="15"/>
  <c r="H53" i="26" s="1"/>
  <c r="J42" i="15"/>
  <c r="J44" i="15"/>
  <c r="H55" i="26" s="1"/>
  <c r="M48" i="15"/>
  <c r="T113" i="27" s="1"/>
  <c r="T41" i="27" s="1"/>
  <c r="Q178" i="31" s="1"/>
  <c r="J52" i="15"/>
  <c r="M56" i="15"/>
  <c r="T121" i="27" s="1"/>
  <c r="T58" i="27" s="1"/>
  <c r="Q203" i="31" s="1"/>
  <c r="J58" i="15"/>
  <c r="J59" i="15"/>
  <c r="H58" i="26" s="1"/>
  <c r="J64" i="15"/>
  <c r="H59" i="26" s="1"/>
  <c r="J68" i="15"/>
  <c r="J72" i="15"/>
  <c r="T22" i="15"/>
  <c r="T23" i="15"/>
  <c r="T31" i="15"/>
  <c r="T37" i="15"/>
  <c r="C33" i="43"/>
  <c r="C34" i="43"/>
  <c r="C35" i="43"/>
  <c r="C36" i="43"/>
  <c r="C37" i="43"/>
  <c r="C38" i="43"/>
  <c r="C39" i="43"/>
  <c r="C40" i="43"/>
  <c r="C41" i="43"/>
  <c r="C42" i="43"/>
  <c r="C43" i="43"/>
  <c r="C44" i="43"/>
  <c r="C45" i="43"/>
  <c r="Q92" i="27"/>
  <c r="Q93" i="27"/>
  <c r="Q17" i="27" s="1"/>
  <c r="K154" i="31" s="1"/>
  <c r="Q94" i="27"/>
  <c r="Q20" i="27" s="1"/>
  <c r="F9" i="27" s="1"/>
  <c r="K125" i="31" s="1"/>
  <c r="Q95" i="27"/>
  <c r="Q25" i="27" s="1"/>
  <c r="K162" i="31" s="1"/>
  <c r="Q96" i="27"/>
  <c r="Q28" i="27" s="1"/>
  <c r="K165" i="31" s="1"/>
  <c r="Q97" i="27"/>
  <c r="Q14" i="27" s="1"/>
  <c r="K151" i="31" s="1"/>
  <c r="Q98" i="27"/>
  <c r="Q21" i="27" s="1"/>
  <c r="K158" i="31" s="1"/>
  <c r="Q99" i="27"/>
  <c r="Q31" i="27" s="1"/>
  <c r="Q100" i="27"/>
  <c r="Q34" i="27" s="1"/>
  <c r="K171" i="31" s="1"/>
  <c r="Q101" i="27"/>
  <c r="Q38" i="27" s="1"/>
  <c r="K175" i="31" s="1"/>
  <c r="Q102" i="27"/>
  <c r="Q22" i="27" s="1"/>
  <c r="K159" i="31" s="1"/>
  <c r="Q103" i="27"/>
  <c r="Q32" i="27" s="1"/>
  <c r="K169" i="31" s="1"/>
  <c r="Q104" i="27"/>
  <c r="Q35" i="27" s="1"/>
  <c r="Q105" i="27"/>
  <c r="Q39" i="27" s="1"/>
  <c r="K176" i="31" s="1"/>
  <c r="Q106" i="27"/>
  <c r="Q43" i="27" s="1"/>
  <c r="K180" i="31" s="1"/>
  <c r="Q107" i="27"/>
  <c r="Q33" i="27" s="1"/>
  <c r="K170" i="31" s="1"/>
  <c r="Q108" i="27"/>
  <c r="Q36" i="27" s="1"/>
  <c r="K173" i="31" s="1"/>
  <c r="Q109" i="27"/>
  <c r="Q40" i="27" s="1"/>
  <c r="Q110" i="27"/>
  <c r="Q44" i="27" s="1"/>
  <c r="K181" i="31" s="1"/>
  <c r="Q111" i="27"/>
  <c r="Q48" i="27" s="1"/>
  <c r="K193" i="31" s="1"/>
  <c r="Q112" i="27"/>
  <c r="Q37" i="27" s="1"/>
  <c r="K174" i="31" s="1"/>
  <c r="Q113" i="27"/>
  <c r="Q41" i="27" s="1"/>
  <c r="K178" i="31" s="1"/>
  <c r="Q114" i="27"/>
  <c r="Q45" i="27" s="1"/>
  <c r="Q115" i="27"/>
  <c r="Q49" i="27" s="1"/>
  <c r="K194" i="31" s="1"/>
  <c r="Q116" i="27"/>
  <c r="Q53" i="27" s="1"/>
  <c r="K198" i="31" s="1"/>
  <c r="Q117" i="27"/>
  <c r="Q42" i="27" s="1"/>
  <c r="K179" i="31" s="1"/>
  <c r="Q118" i="27"/>
  <c r="Q119" i="27"/>
  <c r="Q50" i="27" s="1"/>
  <c r="Q120" i="27"/>
  <c r="Q54" i="27" s="1"/>
  <c r="K199" i="31" s="1"/>
  <c r="Q121" i="27"/>
  <c r="Q122" i="27"/>
  <c r="Q123" i="27"/>
  <c r="Q51" i="27" s="1"/>
  <c r="K196" i="31" s="1"/>
  <c r="Q124" i="27"/>
  <c r="Q125" i="27"/>
  <c r="Q59" i="27" s="1"/>
  <c r="K204" i="31" s="1"/>
  <c r="Q126" i="27"/>
  <c r="Q62" i="27" s="1"/>
  <c r="K207" i="31" s="1"/>
  <c r="Q127" i="27"/>
  <c r="Q52" i="27" s="1"/>
  <c r="K197" i="31" s="1"/>
  <c r="Q128" i="27"/>
  <c r="Q56" i="27" s="1"/>
  <c r="K201" i="31" s="1"/>
  <c r="Q129" i="27"/>
  <c r="Q60" i="27" s="1"/>
  <c r="Q130" i="27"/>
  <c r="Q63" i="27" s="1"/>
  <c r="Q131" i="27"/>
  <c r="Q65" i="27" s="1"/>
  <c r="K210" i="31" s="1"/>
  <c r="Q132" i="27"/>
  <c r="Q133" i="27"/>
  <c r="Q61" i="27" s="1"/>
  <c r="K206" i="31" s="1"/>
  <c r="Q134" i="27"/>
  <c r="Q64" i="27" s="1"/>
  <c r="K209" i="31" s="1"/>
  <c r="Q135" i="27"/>
  <c r="Q66" i="27" s="1"/>
  <c r="K211" i="31" s="1"/>
  <c r="Q91" i="27"/>
  <c r="Q10" i="27" s="1"/>
  <c r="K147" i="31" s="1"/>
  <c r="P79" i="27"/>
  <c r="P80" i="27"/>
  <c r="P18" i="27" s="1"/>
  <c r="I155" i="31" s="1"/>
  <c r="P81" i="27"/>
  <c r="P23" i="27" s="1"/>
  <c r="I160" i="31" s="1"/>
  <c r="P82" i="27"/>
  <c r="P26" i="27" s="1"/>
  <c r="I163" i="31" s="1"/>
  <c r="P83" i="27"/>
  <c r="P29" i="27" s="1"/>
  <c r="I166" i="31" s="1"/>
  <c r="P84" i="27"/>
  <c r="P9" i="27" s="1"/>
  <c r="I146" i="31" s="1"/>
  <c r="P85" i="27"/>
  <c r="P12" i="27" s="1"/>
  <c r="I149" i="31" s="1"/>
  <c r="P86" i="27"/>
  <c r="P16" i="27" s="1"/>
  <c r="I153" i="31" s="1"/>
  <c r="P87" i="27"/>
  <c r="P19" i="27" s="1"/>
  <c r="I156" i="31" s="1"/>
  <c r="P88" i="27"/>
  <c r="P24" i="27" s="1"/>
  <c r="I161" i="31" s="1"/>
  <c r="P89" i="27"/>
  <c r="P27" i="27" s="1"/>
  <c r="I164" i="31" s="1"/>
  <c r="P90" i="27"/>
  <c r="P30" i="27" s="1"/>
  <c r="I167" i="31" s="1"/>
  <c r="P91" i="27"/>
  <c r="P10" i="27" s="1"/>
  <c r="I147" i="31" s="1"/>
  <c r="P92" i="27"/>
  <c r="P13" i="27" s="1"/>
  <c r="P93" i="27"/>
  <c r="P17" i="27" s="1"/>
  <c r="I154" i="31" s="1"/>
  <c r="P94" i="27"/>
  <c r="P20" i="27" s="1"/>
  <c r="P95" i="27"/>
  <c r="P96" i="27"/>
  <c r="P28" i="27" s="1"/>
  <c r="I165" i="31" s="1"/>
  <c r="P97" i="27"/>
  <c r="P14" i="27" s="1"/>
  <c r="I151" i="31" s="1"/>
  <c r="P98" i="27"/>
  <c r="P21" i="27" s="1"/>
  <c r="I158" i="31" s="1"/>
  <c r="P99" i="27"/>
  <c r="P31" i="27" s="1"/>
  <c r="P100" i="27"/>
  <c r="P34" i="27" s="1"/>
  <c r="I171" i="31" s="1"/>
  <c r="P101" i="27"/>
  <c r="P38" i="27" s="1"/>
  <c r="I175" i="31" s="1"/>
  <c r="P102" i="27"/>
  <c r="P22" i="27" s="1"/>
  <c r="I159" i="31" s="1"/>
  <c r="P103" i="27"/>
  <c r="P32" i="27" s="1"/>
  <c r="I169" i="31" s="1"/>
  <c r="P104" i="27"/>
  <c r="P35" i="27" s="1"/>
  <c r="P105" i="27"/>
  <c r="P39" i="27" s="1"/>
  <c r="I176" i="31" s="1"/>
  <c r="P106" i="27"/>
  <c r="P43" i="27" s="1"/>
  <c r="I180" i="31" s="1"/>
  <c r="P107" i="27"/>
  <c r="P33" i="27" s="1"/>
  <c r="I170" i="31" s="1"/>
  <c r="P108" i="27"/>
  <c r="P36" i="27" s="1"/>
  <c r="I173" i="31" s="1"/>
  <c r="P109" i="27"/>
  <c r="P40" i="27" s="1"/>
  <c r="P110" i="27"/>
  <c r="P44" i="27" s="1"/>
  <c r="I181" i="31" s="1"/>
  <c r="P111" i="27"/>
  <c r="P48" i="27" s="1"/>
  <c r="I193" i="31" s="1"/>
  <c r="P112" i="27"/>
  <c r="P37" i="27" s="1"/>
  <c r="I174" i="31" s="1"/>
  <c r="P78" i="27"/>
  <c r="P11" i="27" s="1"/>
  <c r="I148" i="31" s="1"/>
  <c r="P77" i="27"/>
  <c r="P8" i="27" s="1"/>
  <c r="I145" i="31" s="1"/>
  <c r="D73" i="15"/>
  <c r="Q138" i="27" s="1"/>
  <c r="Q69" i="27" s="1"/>
  <c r="D72" i="15"/>
  <c r="D71" i="15"/>
  <c r="Q136" i="27" s="1"/>
  <c r="Q67" i="27" s="1"/>
  <c r="K212" i="31" s="1"/>
  <c r="C10" i="43"/>
  <c r="C11" i="43"/>
  <c r="C12" i="43"/>
  <c r="C13" i="43"/>
  <c r="C14" i="43"/>
  <c r="C15" i="43"/>
  <c r="C16" i="43"/>
  <c r="C24" i="43"/>
  <c r="C25" i="43"/>
  <c r="C26" i="43"/>
  <c r="C27" i="43"/>
  <c r="C28" i="43"/>
  <c r="C29" i="43"/>
  <c r="C30" i="43"/>
  <c r="C31" i="43"/>
  <c r="C32" i="43"/>
  <c r="D24" i="43"/>
  <c r="D25" i="43"/>
  <c r="D26" i="43"/>
  <c r="D27" i="43"/>
  <c r="D28" i="43"/>
  <c r="D29" i="43"/>
  <c r="D30" i="43"/>
  <c r="D31" i="43"/>
  <c r="D32" i="43"/>
  <c r="D33" i="43"/>
  <c r="D34" i="43"/>
  <c r="D35" i="43"/>
  <c r="D36" i="43"/>
  <c r="D37" i="43"/>
  <c r="D38" i="43"/>
  <c r="D39" i="43"/>
  <c r="D40" i="43"/>
  <c r="D41" i="43"/>
  <c r="D42" i="43"/>
  <c r="D43" i="43"/>
  <c r="D44" i="43"/>
  <c r="D45" i="43"/>
  <c r="D46" i="43"/>
  <c r="D47" i="43"/>
  <c r="D48" i="43"/>
  <c r="D49" i="43"/>
  <c r="D50" i="43"/>
  <c r="D51" i="43"/>
  <c r="D52" i="43"/>
  <c r="D53" i="43"/>
  <c r="D54" i="43"/>
  <c r="D55" i="43"/>
  <c r="D56" i="43"/>
  <c r="D57" i="43"/>
  <c r="D58" i="43"/>
  <c r="D59" i="43"/>
  <c r="D60" i="43"/>
  <c r="D61" i="43"/>
  <c r="D62" i="43"/>
  <c r="D63" i="43"/>
  <c r="D64" i="43"/>
  <c r="D65" i="43"/>
  <c r="D66" i="43"/>
  <c r="D67" i="43"/>
  <c r="D68" i="43"/>
  <c r="U17" i="15"/>
  <c r="V17" i="15" s="1"/>
  <c r="U18" i="15"/>
  <c r="V18" i="15" s="1"/>
  <c r="U19" i="15"/>
  <c r="V19" i="15" s="1"/>
  <c r="U20" i="15"/>
  <c r="V20" i="15" s="1"/>
  <c r="U21" i="15"/>
  <c r="V21" i="15" s="1"/>
  <c r="U22" i="15"/>
  <c r="V22" i="15" s="1"/>
  <c r="U23" i="15"/>
  <c r="V23" i="15" s="1"/>
  <c r="U24" i="15"/>
  <c r="V24" i="15" s="1"/>
  <c r="U25" i="15"/>
  <c r="V25" i="15" s="1"/>
  <c r="U26" i="15"/>
  <c r="V26" i="15" s="1"/>
  <c r="M30" i="27"/>
  <c r="C167" i="31" s="1"/>
  <c r="N30" i="27"/>
  <c r="E167" i="31" s="1"/>
  <c r="R30" i="27"/>
  <c r="M167" i="31" s="1"/>
  <c r="S30" i="27"/>
  <c r="O167" i="31" s="1"/>
  <c r="M27" i="27"/>
  <c r="C164" i="31" s="1"/>
  <c r="N27" i="27"/>
  <c r="E164" i="31" s="1"/>
  <c r="R27" i="27"/>
  <c r="M164" i="31" s="1"/>
  <c r="S27" i="27"/>
  <c r="O164" i="31" s="1"/>
  <c r="M24" i="27"/>
  <c r="C161" i="31" s="1"/>
  <c r="N24" i="27"/>
  <c r="E161" i="31" s="1"/>
  <c r="R24" i="27"/>
  <c r="M161" i="31" s="1"/>
  <c r="S24" i="27"/>
  <c r="O161" i="31" s="1"/>
  <c r="L19" i="27"/>
  <c r="A156" i="31" s="1"/>
  <c r="M19" i="27"/>
  <c r="C156" i="31" s="1"/>
  <c r="N19" i="27"/>
  <c r="E156" i="31" s="1"/>
  <c r="R19" i="27"/>
  <c r="M156" i="31" s="1"/>
  <c r="S19" i="27"/>
  <c r="O156" i="31" s="1"/>
  <c r="M16" i="27"/>
  <c r="C153" i="31" s="1"/>
  <c r="N16" i="27"/>
  <c r="E153" i="31" s="1"/>
  <c r="R16" i="27"/>
  <c r="M153" i="31" s="1"/>
  <c r="S16" i="27"/>
  <c r="O153" i="31" s="1"/>
  <c r="M12" i="27"/>
  <c r="C149" i="31" s="1"/>
  <c r="N12" i="27"/>
  <c r="E149" i="31" s="1"/>
  <c r="R12" i="27"/>
  <c r="M149" i="31" s="1"/>
  <c r="S12" i="27"/>
  <c r="O149" i="31" s="1"/>
  <c r="M9" i="27"/>
  <c r="C146" i="31" s="1"/>
  <c r="N9" i="27"/>
  <c r="E146" i="31" s="1"/>
  <c r="R9" i="27"/>
  <c r="M146" i="31" s="1"/>
  <c r="S9" i="27"/>
  <c r="O146" i="31" s="1"/>
  <c r="L30" i="27"/>
  <c r="A167" i="31" s="1"/>
  <c r="L27" i="27"/>
  <c r="A164" i="31" s="1"/>
  <c r="L24" i="27"/>
  <c r="A161" i="31" s="1"/>
  <c r="L16" i="27"/>
  <c r="A153" i="31" s="1"/>
  <c r="L12" i="27"/>
  <c r="A149" i="31" s="1"/>
  <c r="L9" i="27"/>
  <c r="A146" i="31" s="1"/>
  <c r="Q16" i="15"/>
  <c r="Q23" i="15"/>
  <c r="M17" i="15"/>
  <c r="T82" i="27" s="1"/>
  <c r="T26" i="27" s="1"/>
  <c r="Q163" i="31" s="1"/>
  <c r="M21" i="15"/>
  <c r="N21" i="15" s="1"/>
  <c r="M22" i="15"/>
  <c r="T87" i="27" s="1"/>
  <c r="T19" i="27" s="1"/>
  <c r="Q156" i="31" s="1"/>
  <c r="M25" i="15"/>
  <c r="T90" i="27" s="1"/>
  <c r="T30" i="27" s="1"/>
  <c r="Q167" i="31" s="1"/>
  <c r="M29" i="15"/>
  <c r="N29" i="15" s="1"/>
  <c r="M30" i="15"/>
  <c r="T30" i="15" s="1"/>
  <c r="L16" i="15"/>
  <c r="L17" i="15"/>
  <c r="L21" i="15"/>
  <c r="L22" i="15"/>
  <c r="L23" i="15"/>
  <c r="L24" i="15"/>
  <c r="L25" i="15"/>
  <c r="J15" i="15"/>
  <c r="J16" i="15"/>
  <c r="J17" i="15"/>
  <c r="J21" i="15"/>
  <c r="J22" i="15"/>
  <c r="J23" i="15"/>
  <c r="J24" i="15"/>
  <c r="J25" i="15"/>
  <c r="H17" i="15"/>
  <c r="H18" i="15"/>
  <c r="G50" i="26" s="1"/>
  <c r="H19" i="15"/>
  <c r="H20" i="15"/>
  <c r="H21" i="15"/>
  <c r="H22" i="15"/>
  <c r="H23" i="15"/>
  <c r="H24" i="15"/>
  <c r="H25" i="15"/>
  <c r="H26" i="15"/>
  <c r="H27" i="15"/>
  <c r="G51" i="26" s="1"/>
  <c r="H28" i="15"/>
  <c r="J15" i="39"/>
  <c r="K194" i="42" s="1"/>
  <c r="E42" i="39"/>
  <c r="F24" i="39"/>
  <c r="E33" i="39"/>
  <c r="U73" i="15"/>
  <c r="V73" i="15" s="1"/>
  <c r="U72" i="15"/>
  <c r="V72" i="15" s="1"/>
  <c r="U71" i="15"/>
  <c r="V71" i="15" s="1"/>
  <c r="U70" i="15"/>
  <c r="V70" i="15" s="1"/>
  <c r="U69" i="15"/>
  <c r="V69" i="15" s="1"/>
  <c r="U68" i="15"/>
  <c r="V68" i="15" s="1"/>
  <c r="U67" i="15"/>
  <c r="V67" i="15" s="1"/>
  <c r="U66" i="15"/>
  <c r="V66" i="15"/>
  <c r="U65" i="15"/>
  <c r="V65" i="15" s="1"/>
  <c r="U64" i="15"/>
  <c r="V64" i="15" s="1"/>
  <c r="U63" i="15"/>
  <c r="V63" i="15" s="1"/>
  <c r="U62" i="15"/>
  <c r="V62" i="15" s="1"/>
  <c r="U61" i="15"/>
  <c r="V61" i="15" s="1"/>
  <c r="U60" i="15"/>
  <c r="V60" i="15" s="1"/>
  <c r="U59" i="15"/>
  <c r="V59" i="15" s="1"/>
  <c r="U58" i="15"/>
  <c r="V58" i="15" s="1"/>
  <c r="U57" i="15"/>
  <c r="V57" i="15" s="1"/>
  <c r="U56" i="15"/>
  <c r="V56" i="15" s="1"/>
  <c r="U55" i="15"/>
  <c r="V55" i="15" s="1"/>
  <c r="U54" i="15"/>
  <c r="V54" i="15"/>
  <c r="U53" i="15"/>
  <c r="V53" i="15"/>
  <c r="U52" i="15"/>
  <c r="V52" i="15" s="1"/>
  <c r="U51" i="15"/>
  <c r="V51" i="15"/>
  <c r="U50" i="15"/>
  <c r="V50" i="15"/>
  <c r="U49" i="15"/>
  <c r="V49" i="15" s="1"/>
  <c r="U48" i="15"/>
  <c r="V48" i="15" s="1"/>
  <c r="U47" i="15"/>
  <c r="V47" i="15" s="1"/>
  <c r="U46" i="15"/>
  <c r="V46" i="15" s="1"/>
  <c r="U45" i="15"/>
  <c r="V45" i="15"/>
  <c r="U44" i="15"/>
  <c r="V44" i="15" s="1"/>
  <c r="U43" i="15"/>
  <c r="V43" i="15"/>
  <c r="U42" i="15"/>
  <c r="V42" i="15" s="1"/>
  <c r="U41" i="15"/>
  <c r="V41" i="15" s="1"/>
  <c r="U40" i="15"/>
  <c r="V40" i="15" s="1"/>
  <c r="U39" i="15"/>
  <c r="V39" i="15" s="1"/>
  <c r="U38" i="15"/>
  <c r="V38" i="15" s="1"/>
  <c r="U37" i="15"/>
  <c r="V37" i="15" s="1"/>
  <c r="U36" i="15"/>
  <c r="V36" i="15" s="1"/>
  <c r="U35" i="15"/>
  <c r="V35" i="15" s="1"/>
  <c r="U34" i="15"/>
  <c r="V34" i="15" s="1"/>
  <c r="U33" i="15"/>
  <c r="V33" i="15" s="1"/>
  <c r="U32" i="15"/>
  <c r="V32" i="15" s="1"/>
  <c r="U31" i="15"/>
  <c r="V31" i="15"/>
  <c r="U30" i="15"/>
  <c r="V30" i="15" s="1"/>
  <c r="U29" i="15"/>
  <c r="V29" i="15"/>
  <c r="U28" i="15"/>
  <c r="V28" i="15" s="1"/>
  <c r="U27" i="15"/>
  <c r="V27" i="15"/>
  <c r="U16" i="15"/>
  <c r="V16" i="15" s="1"/>
  <c r="U15" i="15"/>
  <c r="V15" i="15" s="1"/>
  <c r="U14" i="15"/>
  <c r="V14" i="15" s="1"/>
  <c r="U13" i="15"/>
  <c r="V13" i="15" s="1"/>
  <c r="U12" i="15"/>
  <c r="V12" i="15" s="1"/>
  <c r="J14" i="20"/>
  <c r="I69" i="26" s="1"/>
  <c r="W71" i="15"/>
  <c r="S136" i="27" s="1"/>
  <c r="S67" i="27" s="1"/>
  <c r="O212" i="31" s="1"/>
  <c r="W73" i="15"/>
  <c r="S138" i="27" s="1"/>
  <c r="S69" i="27" s="1"/>
  <c r="W72" i="15"/>
  <c r="S137" i="27" s="1"/>
  <c r="S68" i="27" s="1"/>
  <c r="O213" i="31" s="1"/>
  <c r="E10" i="43"/>
  <c r="E11" i="43"/>
  <c r="E12" i="43"/>
  <c r="E13" i="43"/>
  <c r="E14" i="43"/>
  <c r="E15" i="43"/>
  <c r="E16" i="43"/>
  <c r="E24" i="43"/>
  <c r="E25" i="43"/>
  <c r="E26" i="43"/>
  <c r="E27" i="43"/>
  <c r="E28" i="43"/>
  <c r="E29" i="43"/>
  <c r="E30" i="43"/>
  <c r="E31" i="43"/>
  <c r="E32" i="43"/>
  <c r="E33" i="43"/>
  <c r="E34" i="43"/>
  <c r="E35" i="43"/>
  <c r="E36" i="43"/>
  <c r="E37" i="43"/>
  <c r="E38" i="43"/>
  <c r="E39" i="43"/>
  <c r="E40" i="43"/>
  <c r="E41" i="43"/>
  <c r="E42" i="43"/>
  <c r="E43" i="43"/>
  <c r="E44" i="43"/>
  <c r="E45" i="43"/>
  <c r="E46" i="43"/>
  <c r="E47" i="43"/>
  <c r="E48" i="43"/>
  <c r="E49" i="43"/>
  <c r="E50" i="43"/>
  <c r="E51" i="43"/>
  <c r="E52" i="43"/>
  <c r="E53" i="43"/>
  <c r="E54" i="43"/>
  <c r="E55" i="43"/>
  <c r="E56" i="43"/>
  <c r="E57" i="43"/>
  <c r="E58" i="43"/>
  <c r="E59" i="43"/>
  <c r="E60" i="43"/>
  <c r="E61" i="43"/>
  <c r="E62" i="43"/>
  <c r="E63" i="43"/>
  <c r="E64" i="43"/>
  <c r="E65" i="43"/>
  <c r="E66" i="43"/>
  <c r="E67" i="43"/>
  <c r="E68" i="43"/>
  <c r="E69" i="43"/>
  <c r="E70" i="43"/>
  <c r="E71" i="43"/>
  <c r="E28" i="38"/>
  <c r="AF48" i="30"/>
  <c r="M50" i="39"/>
  <c r="M49" i="39"/>
  <c r="M48" i="39"/>
  <c r="M47" i="39"/>
  <c r="M46" i="39"/>
  <c r="M45" i="39"/>
  <c r="M44" i="39"/>
  <c r="M43" i="39"/>
  <c r="M42" i="39"/>
  <c r="M41" i="39"/>
  <c r="M40" i="39"/>
  <c r="M39" i="39"/>
  <c r="M38" i="39"/>
  <c r="M37" i="39"/>
  <c r="M36" i="39"/>
  <c r="M35" i="39"/>
  <c r="M34" i="39"/>
  <c r="N33" i="39"/>
  <c r="M33" i="39"/>
  <c r="M32" i="39"/>
  <c r="B90" i="41"/>
  <c r="H103" i="41"/>
  <c r="E103" i="41"/>
  <c r="G24" i="41"/>
  <c r="G165" i="41" s="1"/>
  <c r="K234" i="41" s="1"/>
  <c r="G24" i="33"/>
  <c r="G179" i="33" s="1"/>
  <c r="R122" i="41"/>
  <c r="O122" i="41"/>
  <c r="L122" i="41"/>
  <c r="R95" i="41"/>
  <c r="O95" i="41"/>
  <c r="L95" i="41"/>
  <c r="Q15" i="38"/>
  <c r="G32" i="38" s="1"/>
  <c r="Q16" i="38"/>
  <c r="G33" i="38" s="1"/>
  <c r="Q14" i="38"/>
  <c r="G31" i="38" s="1"/>
  <c r="M31" i="34"/>
  <c r="G180" i="33"/>
  <c r="G224" i="33"/>
  <c r="G166" i="41"/>
  <c r="K198" i="41"/>
  <c r="G25" i="31"/>
  <c r="G106" i="31" s="1"/>
  <c r="M200" i="33"/>
  <c r="I200" i="33"/>
  <c r="C31" i="8"/>
  <c r="C32" i="8" s="1"/>
  <c r="C25" i="26" s="1"/>
  <c r="A237" i="31"/>
  <c r="A292" i="31"/>
  <c r="A265" i="31"/>
  <c r="L59" i="30"/>
  <c r="N41" i="6"/>
  <c r="AB6" i="30"/>
  <c r="AF30" i="30"/>
  <c r="AF24" i="30"/>
  <c r="B62" i="36"/>
  <c r="B80" i="36"/>
  <c r="AF96" i="30"/>
  <c r="AZ10" i="30"/>
  <c r="BA10" i="30" s="1"/>
  <c r="A80" i="36"/>
  <c r="C19" i="8"/>
  <c r="F245" i="33" s="1"/>
  <c r="A5" i="34"/>
  <c r="AF102" i="30"/>
  <c r="AB5" i="30"/>
  <c r="AF78" i="30"/>
  <c r="B68" i="33"/>
  <c r="AF13" i="30"/>
  <c r="G139" i="36" s="1"/>
  <c r="G23" i="36"/>
  <c r="AF60" i="30"/>
  <c r="D1" i="34"/>
  <c r="N17" i="6"/>
  <c r="N29" i="6" s="1"/>
  <c r="R17" i="6"/>
  <c r="S99" i="33" s="1"/>
  <c r="N18" i="6"/>
  <c r="R18" i="6"/>
  <c r="S100" i="33" s="1"/>
  <c r="R29" i="6"/>
  <c r="S121" i="33" s="1"/>
  <c r="R30" i="6"/>
  <c r="S122" i="33" s="1"/>
  <c r="G39" i="6"/>
  <c r="C17" i="26" s="1"/>
  <c r="G42" i="6"/>
  <c r="C12" i="26" s="1"/>
  <c r="G45" i="6"/>
  <c r="BL10" i="30"/>
  <c r="BL16" i="30" s="1"/>
  <c r="F62" i="30"/>
  <c r="B28" i="34"/>
  <c r="B33" i="34" s="1"/>
  <c r="M17" i="6"/>
  <c r="BM12" i="30"/>
  <c r="BN12" i="30" s="1"/>
  <c r="BM10" i="30"/>
  <c r="BM16" i="30" s="1"/>
  <c r="BN16" i="30" s="1"/>
  <c r="AT3" i="30"/>
  <c r="AV7" i="30" s="1"/>
  <c r="AV9" i="30" s="1"/>
  <c r="BG3" i="30"/>
  <c r="BI2" i="30" s="1"/>
  <c r="A60" i="42" s="1"/>
  <c r="AC3" i="30"/>
  <c r="T260" i="41"/>
  <c r="T239" i="41"/>
  <c r="G185" i="41"/>
  <c r="G193" i="41"/>
  <c r="G192" i="41"/>
  <c r="G191" i="41"/>
  <c r="I96" i="41"/>
  <c r="I123" i="41"/>
  <c r="R94" i="41"/>
  <c r="R121" i="41" s="1"/>
  <c r="O94" i="41"/>
  <c r="O121" i="41" s="1"/>
  <c r="L94" i="41"/>
  <c r="L121" i="41" s="1"/>
  <c r="I94" i="41"/>
  <c r="I121" i="41" s="1"/>
  <c r="T115" i="41"/>
  <c r="T107" i="41"/>
  <c r="I55" i="41"/>
  <c r="G30" i="41"/>
  <c r="G28" i="41"/>
  <c r="T12" i="41"/>
  <c r="A85" i="41" s="1"/>
  <c r="T101" i="41"/>
  <c r="B68" i="41"/>
  <c r="A40" i="41"/>
  <c r="G22" i="41"/>
  <c r="G21" i="41"/>
  <c r="G20" i="41"/>
  <c r="G19" i="41"/>
  <c r="G164" i="41" s="1"/>
  <c r="T11" i="41"/>
  <c r="B5" i="39"/>
  <c r="E40" i="39" s="1"/>
  <c r="F40" i="39" s="1"/>
  <c r="B4" i="39"/>
  <c r="P12" i="39" s="1"/>
  <c r="C36" i="39"/>
  <c r="G43" i="39" s="1"/>
  <c r="L104" i="30"/>
  <c r="G31" i="42" s="1"/>
  <c r="L94" i="30"/>
  <c r="G31" i="41" s="1"/>
  <c r="R3" i="39"/>
  <c r="B3" i="39"/>
  <c r="A3" i="39"/>
  <c r="E31" i="39" s="1"/>
  <c r="F30" i="39" s="1"/>
  <c r="R1" i="39"/>
  <c r="D16" i="39"/>
  <c r="E16" i="39"/>
  <c r="F16" i="39"/>
  <c r="G16" i="39"/>
  <c r="D42" i="39"/>
  <c r="D40" i="39"/>
  <c r="L58" i="38"/>
  <c r="M58" i="38" s="1"/>
  <c r="Q58" i="38" s="1"/>
  <c r="K58" i="38"/>
  <c r="L57" i="38"/>
  <c r="K57" i="38"/>
  <c r="L56" i="38"/>
  <c r="K56" i="38"/>
  <c r="L55" i="38"/>
  <c r="K55" i="38"/>
  <c r="L48" i="38"/>
  <c r="K16" i="38"/>
  <c r="I16" i="38"/>
  <c r="G16" i="38"/>
  <c r="E16" i="38"/>
  <c r="K15" i="38"/>
  <c r="I15" i="38"/>
  <c r="G15" i="38"/>
  <c r="E15" i="38"/>
  <c r="K14" i="38"/>
  <c r="I14" i="38"/>
  <c r="G14" i="38"/>
  <c r="E14" i="38"/>
  <c r="P3" i="38"/>
  <c r="P1" i="38"/>
  <c r="P3" i="15"/>
  <c r="P1" i="15"/>
  <c r="B5" i="38"/>
  <c r="B4" i="38"/>
  <c r="B3" i="38"/>
  <c r="A3" i="38"/>
  <c r="T12" i="37"/>
  <c r="A181" i="37" s="1"/>
  <c r="T11" i="37"/>
  <c r="T12" i="33"/>
  <c r="A295" i="33" s="1"/>
  <c r="T11" i="33"/>
  <c r="T12" i="36"/>
  <c r="A93" i="36" s="1"/>
  <c r="T11" i="36"/>
  <c r="T13" i="31"/>
  <c r="A141" i="31" s="1"/>
  <c r="T12" i="31"/>
  <c r="G30" i="37"/>
  <c r="G31" i="31"/>
  <c r="G30" i="33"/>
  <c r="L72" i="30"/>
  <c r="A31" i="37" s="1"/>
  <c r="L24" i="30"/>
  <c r="A29" i="36" s="1"/>
  <c r="L52" i="30"/>
  <c r="A32" i="31" s="1"/>
  <c r="L43" i="30"/>
  <c r="G31" i="33" s="1"/>
  <c r="AF54" i="30"/>
  <c r="R8" i="27"/>
  <c r="M145" i="31" s="1"/>
  <c r="R10" i="27"/>
  <c r="M147" i="31" s="1"/>
  <c r="R11" i="27"/>
  <c r="M148" i="31" s="1"/>
  <c r="R13" i="27"/>
  <c r="G8" i="27" s="1"/>
  <c r="M124" i="31" s="1"/>
  <c r="R14" i="27"/>
  <c r="M151" i="31" s="1"/>
  <c r="R15" i="27"/>
  <c r="M152" i="31" s="1"/>
  <c r="R17" i="27"/>
  <c r="M154" i="31" s="1"/>
  <c r="R18" i="27"/>
  <c r="M155" i="31" s="1"/>
  <c r="R20" i="27"/>
  <c r="G9" i="27" s="1"/>
  <c r="M125" i="31" s="1"/>
  <c r="R21" i="27"/>
  <c r="M158" i="31" s="1"/>
  <c r="R22" i="27"/>
  <c r="M159" i="31" s="1"/>
  <c r="R23" i="27"/>
  <c r="M160" i="31" s="1"/>
  <c r="R25" i="27"/>
  <c r="M162" i="31" s="1"/>
  <c r="R26" i="27"/>
  <c r="M163" i="31" s="1"/>
  <c r="R28" i="27"/>
  <c r="M165" i="31" s="1"/>
  <c r="R29" i="27"/>
  <c r="M166" i="31" s="1"/>
  <c r="R31" i="27"/>
  <c r="M168" i="31" s="1"/>
  <c r="R32" i="27"/>
  <c r="M169" i="31" s="1"/>
  <c r="R33" i="27"/>
  <c r="M170" i="31" s="1"/>
  <c r="R34" i="27"/>
  <c r="M171" i="31" s="1"/>
  <c r="R35" i="27"/>
  <c r="M172" i="31" s="1"/>
  <c r="R36" i="27"/>
  <c r="M173" i="31" s="1"/>
  <c r="R37" i="27"/>
  <c r="M174" i="31" s="1"/>
  <c r="R38" i="27"/>
  <c r="M175" i="31" s="1"/>
  <c r="R39" i="27"/>
  <c r="M176" i="31" s="1"/>
  <c r="R40" i="27"/>
  <c r="G12" i="27" s="1"/>
  <c r="M128" i="31" s="1"/>
  <c r="R41" i="27"/>
  <c r="M178" i="31" s="1"/>
  <c r="R42" i="27"/>
  <c r="M179" i="31" s="1"/>
  <c r="R43" i="27"/>
  <c r="M180" i="31" s="1"/>
  <c r="R44" i="27"/>
  <c r="M181" i="31" s="1"/>
  <c r="R45" i="27"/>
  <c r="G13" i="27" s="1"/>
  <c r="M129" i="31" s="1"/>
  <c r="R46" i="27"/>
  <c r="M183" i="31" s="1"/>
  <c r="R47" i="27"/>
  <c r="M184" i="31" s="1"/>
  <c r="R48" i="27"/>
  <c r="M193" i="31" s="1"/>
  <c r="R49" i="27"/>
  <c r="M194" i="31" s="1"/>
  <c r="R50" i="27"/>
  <c r="M195" i="31" s="1"/>
  <c r="R51" i="27"/>
  <c r="M196" i="31" s="1"/>
  <c r="R52" i="27"/>
  <c r="M197" i="31" s="1"/>
  <c r="R53" i="27"/>
  <c r="M198" i="31" s="1"/>
  <c r="R54" i="27"/>
  <c r="M199" i="31" s="1"/>
  <c r="R55" i="27"/>
  <c r="G15" i="27" s="1"/>
  <c r="M131" i="31" s="1"/>
  <c r="R56" i="27"/>
  <c r="M201" i="31" s="1"/>
  <c r="R57" i="27"/>
  <c r="M202" i="31" s="1"/>
  <c r="R58" i="27"/>
  <c r="M203" i="31" s="1"/>
  <c r="R59" i="27"/>
  <c r="M204" i="31" s="1"/>
  <c r="R60" i="27"/>
  <c r="M205" i="31" s="1"/>
  <c r="R61" i="27"/>
  <c r="M206" i="31" s="1"/>
  <c r="R62" i="27"/>
  <c r="M207" i="31" s="1"/>
  <c r="R63" i="27"/>
  <c r="G17" i="27" s="1"/>
  <c r="M133" i="31" s="1"/>
  <c r="R64" i="27"/>
  <c r="M209" i="31" s="1"/>
  <c r="R65" i="27"/>
  <c r="M210" i="31" s="1"/>
  <c r="R66" i="27"/>
  <c r="M211" i="31" s="1"/>
  <c r="R67" i="27"/>
  <c r="M212" i="31" s="1"/>
  <c r="R68" i="27"/>
  <c r="M213" i="31" s="1"/>
  <c r="R69" i="27"/>
  <c r="M214" i="31" s="1"/>
  <c r="B4" i="26"/>
  <c r="B3" i="26"/>
  <c r="C20" i="26"/>
  <c r="B20" i="26"/>
  <c r="C8" i="26"/>
  <c r="B8" i="26"/>
  <c r="M166" i="36"/>
  <c r="AF72" i="30"/>
  <c r="AF66" i="30"/>
  <c r="AF42" i="30"/>
  <c r="AF36" i="30"/>
  <c r="AF18" i="30"/>
  <c r="AF14" i="30"/>
  <c r="AG14" i="30" s="1"/>
  <c r="M105" i="36"/>
  <c r="M104" i="36"/>
  <c r="J105" i="36"/>
  <c r="J104" i="36"/>
  <c r="T279" i="33"/>
  <c r="T265" i="33"/>
  <c r="Q102" i="33"/>
  <c r="Q124" i="33" s="1"/>
  <c r="U12" i="30"/>
  <c r="V12" i="30" s="1"/>
  <c r="G100" i="33" s="1"/>
  <c r="K245" i="33"/>
  <c r="K41" i="34"/>
  <c r="Q105" i="44" s="1"/>
  <c r="K40" i="34"/>
  <c r="Q104" i="44" s="1"/>
  <c r="L176" i="37"/>
  <c r="R170" i="37"/>
  <c r="R169" i="37"/>
  <c r="R168" i="37"/>
  <c r="R167" i="37"/>
  <c r="R166" i="37"/>
  <c r="R165" i="37"/>
  <c r="R164" i="37"/>
  <c r="E170" i="37"/>
  <c r="E169" i="37"/>
  <c r="E168" i="37"/>
  <c r="E167" i="37"/>
  <c r="E166" i="37"/>
  <c r="E165" i="37"/>
  <c r="K170" i="37"/>
  <c r="K169" i="37"/>
  <c r="K168" i="37"/>
  <c r="K167" i="37"/>
  <c r="K166" i="37"/>
  <c r="K165" i="37"/>
  <c r="K164" i="37"/>
  <c r="E164" i="37"/>
  <c r="B170" i="37"/>
  <c r="B169" i="37"/>
  <c r="B168" i="37"/>
  <c r="B167" i="37"/>
  <c r="B166" i="37"/>
  <c r="B165" i="37"/>
  <c r="B164" i="37"/>
  <c r="B5" i="20"/>
  <c r="B68" i="37"/>
  <c r="AV15" i="30"/>
  <c r="G24" i="37" s="1"/>
  <c r="AV10" i="30"/>
  <c r="AE11" i="30"/>
  <c r="AF71" i="30" s="1"/>
  <c r="U10" i="30"/>
  <c r="V10" i="30" s="1"/>
  <c r="G32" i="30"/>
  <c r="I137" i="37"/>
  <c r="G28" i="37"/>
  <c r="A40" i="37"/>
  <c r="G21" i="6"/>
  <c r="B111" i="36" s="1"/>
  <c r="Q15" i="30"/>
  <c r="B100" i="36" s="1"/>
  <c r="I56" i="36"/>
  <c r="A41" i="36"/>
  <c r="G29" i="36"/>
  <c r="G27" i="36"/>
  <c r="G21" i="37"/>
  <c r="G20" i="37"/>
  <c r="G19" i="37"/>
  <c r="G145" i="37" s="1"/>
  <c r="G20" i="36"/>
  <c r="G19" i="36"/>
  <c r="G18" i="36"/>
  <c r="G138" i="36" s="1"/>
  <c r="L250" i="33"/>
  <c r="T114" i="33"/>
  <c r="T106" i="33"/>
  <c r="A40" i="33"/>
  <c r="G28" i="33"/>
  <c r="G21" i="33"/>
  <c r="G20" i="33"/>
  <c r="G19" i="33"/>
  <c r="G178" i="33" s="1"/>
  <c r="D5" i="8"/>
  <c r="B5" i="8"/>
  <c r="B12" i="8"/>
  <c r="B8" i="18"/>
  <c r="D13" i="18" s="1"/>
  <c r="E14" i="18" s="1"/>
  <c r="B7" i="18"/>
  <c r="B6" i="18"/>
  <c r="A6" i="18"/>
  <c r="D23" i="18" s="1"/>
  <c r="E24" i="18" s="1"/>
  <c r="B3" i="20"/>
  <c r="A3" i="20"/>
  <c r="R36" i="20" s="1"/>
  <c r="B3" i="8"/>
  <c r="A3" i="8"/>
  <c r="E10" i="8" s="1"/>
  <c r="B7" i="6"/>
  <c r="C7" i="26" s="1"/>
  <c r="B6" i="6"/>
  <c r="B7" i="26" s="1"/>
  <c r="B5" i="6"/>
  <c r="A5" i="6"/>
  <c r="D25" i="6" s="1"/>
  <c r="E26" i="6" s="1"/>
  <c r="L139" i="31"/>
  <c r="O54" i="27"/>
  <c r="G199" i="31" s="1"/>
  <c r="N54" i="27"/>
  <c r="E199" i="31" s="1"/>
  <c r="M54" i="27"/>
  <c r="C199" i="31" s="1"/>
  <c r="L54" i="27"/>
  <c r="A199" i="31" s="1"/>
  <c r="B69" i="31"/>
  <c r="A41" i="31"/>
  <c r="I141" i="31"/>
  <c r="G29" i="31"/>
  <c r="G22" i="31"/>
  <c r="G21" i="31"/>
  <c r="G20" i="31"/>
  <c r="G105" i="31" s="1"/>
  <c r="B5" i="15"/>
  <c r="B4" i="15"/>
  <c r="B3" i="15"/>
  <c r="A3" i="15"/>
  <c r="F8" i="15" s="1"/>
  <c r="L8" i="27"/>
  <c r="A145" i="31" s="1"/>
  <c r="M8" i="27"/>
  <c r="C145" i="31" s="1"/>
  <c r="N8" i="27"/>
  <c r="E145" i="31" s="1"/>
  <c r="L10" i="27"/>
  <c r="A147" i="31" s="1"/>
  <c r="M10" i="27"/>
  <c r="C147" i="31" s="1"/>
  <c r="N10" i="27"/>
  <c r="E147" i="31" s="1"/>
  <c r="L11" i="27"/>
  <c r="A148" i="31" s="1"/>
  <c r="M11" i="27"/>
  <c r="C148" i="31" s="1"/>
  <c r="N11" i="27"/>
  <c r="E148" i="31" s="1"/>
  <c r="L13" i="27"/>
  <c r="A150" i="31" s="1"/>
  <c r="M13" i="27"/>
  <c r="C150" i="31" s="1"/>
  <c r="N13" i="27"/>
  <c r="E150" i="31" s="1"/>
  <c r="Q13" i="27"/>
  <c r="K150" i="31" s="1"/>
  <c r="L14" i="27"/>
  <c r="A151" i="31" s="1"/>
  <c r="M14" i="27"/>
  <c r="C151" i="31" s="1"/>
  <c r="N14" i="27"/>
  <c r="E151" i="31" s="1"/>
  <c r="L15" i="27"/>
  <c r="A152" i="31" s="1"/>
  <c r="M15" i="27"/>
  <c r="C152" i="31" s="1"/>
  <c r="N15" i="27"/>
  <c r="E152" i="31" s="1"/>
  <c r="P15" i="27"/>
  <c r="I152" i="31" s="1"/>
  <c r="L17" i="27"/>
  <c r="A154" i="31" s="1"/>
  <c r="M17" i="27"/>
  <c r="C154" i="31" s="1"/>
  <c r="N17" i="27"/>
  <c r="E154" i="31" s="1"/>
  <c r="L18" i="27"/>
  <c r="A155" i="31" s="1"/>
  <c r="M18" i="27"/>
  <c r="C155" i="31" s="1"/>
  <c r="N18" i="27"/>
  <c r="E155" i="31" s="1"/>
  <c r="L20" i="27"/>
  <c r="A9" i="27" s="1"/>
  <c r="A125" i="31" s="1"/>
  <c r="M20" i="27"/>
  <c r="C157" i="31" s="1"/>
  <c r="N20" i="27"/>
  <c r="E157" i="31" s="1"/>
  <c r="L21" i="27"/>
  <c r="A158" i="31" s="1"/>
  <c r="M21" i="27"/>
  <c r="C158" i="31" s="1"/>
  <c r="N21" i="27"/>
  <c r="E158" i="31" s="1"/>
  <c r="L22" i="27"/>
  <c r="A159" i="31" s="1"/>
  <c r="M22" i="27"/>
  <c r="C159" i="31" s="1"/>
  <c r="N22" i="27"/>
  <c r="E159" i="31" s="1"/>
  <c r="L23" i="27"/>
  <c r="A160" i="31" s="1"/>
  <c r="M23" i="27"/>
  <c r="C160" i="31" s="1"/>
  <c r="N23" i="27"/>
  <c r="E160" i="31" s="1"/>
  <c r="L25" i="27"/>
  <c r="A162" i="31" s="1"/>
  <c r="M25" i="27"/>
  <c r="C162" i="31" s="1"/>
  <c r="N25" i="27"/>
  <c r="E162" i="31" s="1"/>
  <c r="P25" i="27"/>
  <c r="I162" i="31" s="1"/>
  <c r="L26" i="27"/>
  <c r="A163" i="31" s="1"/>
  <c r="M26" i="27"/>
  <c r="C163" i="31" s="1"/>
  <c r="N26" i="27"/>
  <c r="E163" i="31" s="1"/>
  <c r="L28" i="27"/>
  <c r="A165" i="31" s="1"/>
  <c r="M28" i="27"/>
  <c r="C165" i="31" s="1"/>
  <c r="N28" i="27"/>
  <c r="E165" i="31" s="1"/>
  <c r="L29" i="27"/>
  <c r="A166" i="31" s="1"/>
  <c r="M29" i="27"/>
  <c r="C166" i="31" s="1"/>
  <c r="N29" i="27"/>
  <c r="E166" i="31" s="1"/>
  <c r="L31" i="27"/>
  <c r="A168" i="31" s="1"/>
  <c r="M31" i="27"/>
  <c r="C168" i="31" s="1"/>
  <c r="N31" i="27"/>
  <c r="E168" i="31" s="1"/>
  <c r="L32" i="27"/>
  <c r="A169" i="31" s="1"/>
  <c r="M32" i="27"/>
  <c r="C169" i="31" s="1"/>
  <c r="N32" i="27"/>
  <c r="E169" i="31" s="1"/>
  <c r="L33" i="27"/>
  <c r="A170" i="31" s="1"/>
  <c r="M33" i="27"/>
  <c r="C170" i="31" s="1"/>
  <c r="N33" i="27"/>
  <c r="E170" i="31" s="1"/>
  <c r="L34" i="27"/>
  <c r="A171" i="31" s="1"/>
  <c r="M34" i="27"/>
  <c r="C171" i="31" s="1"/>
  <c r="N34" i="27"/>
  <c r="E171" i="31" s="1"/>
  <c r="L35" i="27"/>
  <c r="A11" i="27" s="1"/>
  <c r="A127" i="31" s="1"/>
  <c r="M35" i="27"/>
  <c r="C172" i="31" s="1"/>
  <c r="N35" i="27"/>
  <c r="E172" i="31" s="1"/>
  <c r="L36" i="27"/>
  <c r="A173" i="31" s="1"/>
  <c r="M36" i="27"/>
  <c r="C173" i="31" s="1"/>
  <c r="N36" i="27"/>
  <c r="E173" i="31" s="1"/>
  <c r="L37" i="27"/>
  <c r="A174" i="31" s="1"/>
  <c r="M37" i="27"/>
  <c r="C174" i="31" s="1"/>
  <c r="N37" i="27"/>
  <c r="E174" i="31" s="1"/>
  <c r="O37" i="27"/>
  <c r="G174" i="31" s="1"/>
  <c r="L38" i="27"/>
  <c r="A175" i="31" s="1"/>
  <c r="M38" i="27"/>
  <c r="C175" i="31" s="1"/>
  <c r="N38" i="27"/>
  <c r="E175" i="31" s="1"/>
  <c r="L39" i="27"/>
  <c r="A176" i="31" s="1"/>
  <c r="M39" i="27"/>
  <c r="C176" i="31" s="1"/>
  <c r="N39" i="27"/>
  <c r="E176" i="31" s="1"/>
  <c r="L40" i="27"/>
  <c r="A12" i="27" s="1"/>
  <c r="A128" i="31" s="1"/>
  <c r="M40" i="27"/>
  <c r="C177" i="31" s="1"/>
  <c r="N40" i="27"/>
  <c r="E177" i="31" s="1"/>
  <c r="L41" i="27"/>
  <c r="A178" i="31" s="1"/>
  <c r="M41" i="27"/>
  <c r="C178" i="31" s="1"/>
  <c r="N41" i="27"/>
  <c r="E178" i="31" s="1"/>
  <c r="O41" i="27"/>
  <c r="G178" i="31" s="1"/>
  <c r="L42" i="27"/>
  <c r="A179" i="31" s="1"/>
  <c r="M42" i="27"/>
  <c r="C179" i="31" s="1"/>
  <c r="N42" i="27"/>
  <c r="E179" i="31" s="1"/>
  <c r="O42" i="27"/>
  <c r="G179" i="31" s="1"/>
  <c r="L43" i="27"/>
  <c r="A180" i="31" s="1"/>
  <c r="M43" i="27"/>
  <c r="C180" i="31" s="1"/>
  <c r="N43" i="27"/>
  <c r="E180" i="31" s="1"/>
  <c r="L44" i="27"/>
  <c r="A181" i="31" s="1"/>
  <c r="M44" i="27"/>
  <c r="C181" i="31" s="1"/>
  <c r="N44" i="27"/>
  <c r="E181" i="31" s="1"/>
  <c r="L45" i="27"/>
  <c r="A13" i="27" s="1"/>
  <c r="A129" i="31" s="1"/>
  <c r="M45" i="27"/>
  <c r="C182" i="31" s="1"/>
  <c r="N45" i="27"/>
  <c r="E182" i="31" s="1"/>
  <c r="O45" i="27"/>
  <c r="D13" i="27" s="1"/>
  <c r="G129" i="31" s="1"/>
  <c r="L46" i="27"/>
  <c r="A183" i="31" s="1"/>
  <c r="M46" i="27"/>
  <c r="C183" i="31" s="1"/>
  <c r="N46" i="27"/>
  <c r="E183" i="31" s="1"/>
  <c r="O46" i="27"/>
  <c r="G183" i="31" s="1"/>
  <c r="Q46" i="27"/>
  <c r="K183" i="31" s="1"/>
  <c r="L47" i="27"/>
  <c r="A184" i="31" s="1"/>
  <c r="M47" i="27"/>
  <c r="C184" i="31" s="1"/>
  <c r="N47" i="27"/>
  <c r="E184" i="31" s="1"/>
  <c r="O47" i="27"/>
  <c r="G184" i="31" s="1"/>
  <c r="Q47" i="27"/>
  <c r="K184" i="31" s="1"/>
  <c r="L48" i="27"/>
  <c r="A193" i="31" s="1"/>
  <c r="M48" i="27"/>
  <c r="C193" i="31" s="1"/>
  <c r="N48" i="27"/>
  <c r="E193" i="31" s="1"/>
  <c r="L49" i="27"/>
  <c r="A194" i="31" s="1"/>
  <c r="M49" i="27"/>
  <c r="C194" i="31" s="1"/>
  <c r="N49" i="27"/>
  <c r="E194" i="31" s="1"/>
  <c r="O49" i="27"/>
  <c r="G194" i="31" s="1"/>
  <c r="L50" i="27"/>
  <c r="A195" i="31" s="1"/>
  <c r="M50" i="27"/>
  <c r="B14" i="27" s="1"/>
  <c r="C130" i="31" s="1"/>
  <c r="N50" i="27"/>
  <c r="E195" i="31" s="1"/>
  <c r="O50" i="27"/>
  <c r="G195" i="31" s="1"/>
  <c r="L51" i="27"/>
  <c r="A196" i="31" s="1"/>
  <c r="M51" i="27"/>
  <c r="C196" i="31" s="1"/>
  <c r="N51" i="27"/>
  <c r="E196" i="31" s="1"/>
  <c r="O51" i="27"/>
  <c r="G196" i="31" s="1"/>
  <c r="L52" i="27"/>
  <c r="A197" i="31" s="1"/>
  <c r="M52" i="27"/>
  <c r="C197" i="31" s="1"/>
  <c r="N52" i="27"/>
  <c r="E197" i="31" s="1"/>
  <c r="O52" i="27"/>
  <c r="G197" i="31" s="1"/>
  <c r="L53" i="27"/>
  <c r="A198" i="31" s="1"/>
  <c r="M53" i="27"/>
  <c r="C198" i="31" s="1"/>
  <c r="N53" i="27"/>
  <c r="E198" i="31" s="1"/>
  <c r="O53" i="27"/>
  <c r="G198" i="31" s="1"/>
  <c r="L55" i="27"/>
  <c r="A15" i="27" s="1"/>
  <c r="A131" i="31" s="1"/>
  <c r="M55" i="27"/>
  <c r="C200" i="31" s="1"/>
  <c r="N55" i="27"/>
  <c r="E200" i="31" s="1"/>
  <c r="O55" i="27"/>
  <c r="D15" i="27" s="1"/>
  <c r="G131" i="31" s="1"/>
  <c r="Q55" i="27"/>
  <c r="K200" i="31" s="1"/>
  <c r="L56" i="27"/>
  <c r="A201" i="31" s="1"/>
  <c r="M56" i="27"/>
  <c r="C201" i="31" s="1"/>
  <c r="N56" i="27"/>
  <c r="E201" i="31" s="1"/>
  <c r="O56" i="27"/>
  <c r="G201" i="31" s="1"/>
  <c r="L57" i="27"/>
  <c r="A202" i="31" s="1"/>
  <c r="M57" i="27"/>
  <c r="C202" i="31" s="1"/>
  <c r="N57" i="27"/>
  <c r="E202" i="31" s="1"/>
  <c r="O57" i="27"/>
  <c r="G202" i="31" s="1"/>
  <c r="Q57" i="27"/>
  <c r="K202" i="31" s="1"/>
  <c r="L58" i="27"/>
  <c r="A203" i="31" s="1"/>
  <c r="M58" i="27"/>
  <c r="C203" i="31" s="1"/>
  <c r="N58" i="27"/>
  <c r="E203" i="31" s="1"/>
  <c r="O58" i="27"/>
  <c r="G203" i="31" s="1"/>
  <c r="Q58" i="27"/>
  <c r="K203" i="31" s="1"/>
  <c r="L59" i="27"/>
  <c r="A204" i="31" s="1"/>
  <c r="M59" i="27"/>
  <c r="C204" i="31" s="1"/>
  <c r="N59" i="27"/>
  <c r="E204" i="31" s="1"/>
  <c r="O59" i="27"/>
  <c r="G204" i="31" s="1"/>
  <c r="L60" i="27"/>
  <c r="A16" i="27" s="1"/>
  <c r="A132" i="31" s="1"/>
  <c r="M60" i="27"/>
  <c r="C205" i="31" s="1"/>
  <c r="N60" i="27"/>
  <c r="E205" i="31" s="1"/>
  <c r="O60" i="27"/>
  <c r="D16" i="27" s="1"/>
  <c r="G132" i="31" s="1"/>
  <c r="L61" i="27"/>
  <c r="A206" i="31" s="1"/>
  <c r="M61" i="27"/>
  <c r="C206" i="31" s="1"/>
  <c r="N61" i="27"/>
  <c r="E206" i="31" s="1"/>
  <c r="O61" i="27"/>
  <c r="G206" i="31" s="1"/>
  <c r="L62" i="27"/>
  <c r="A207" i="31" s="1"/>
  <c r="M62" i="27"/>
  <c r="C207" i="31" s="1"/>
  <c r="N62" i="27"/>
  <c r="E207" i="31" s="1"/>
  <c r="O62" i="27"/>
  <c r="G207" i="31" s="1"/>
  <c r="L63" i="27"/>
  <c r="A17" i="27" s="1"/>
  <c r="A133" i="31" s="1"/>
  <c r="M63" i="27"/>
  <c r="C208" i="31" s="1"/>
  <c r="N63" i="27"/>
  <c r="C17" i="27" s="1"/>
  <c r="E133" i="31" s="1"/>
  <c r="O63" i="27"/>
  <c r="D17" i="27" s="1"/>
  <c r="G133" i="31" s="1"/>
  <c r="L64" i="27"/>
  <c r="A209" i="31" s="1"/>
  <c r="M64" i="27"/>
  <c r="C209" i="31" s="1"/>
  <c r="N64" i="27"/>
  <c r="E209" i="31" s="1"/>
  <c r="O64" i="27"/>
  <c r="G209" i="31" s="1"/>
  <c r="L65" i="27"/>
  <c r="A210" i="31" s="1"/>
  <c r="M65" i="27"/>
  <c r="C210" i="31" s="1"/>
  <c r="N65" i="27"/>
  <c r="E210" i="31" s="1"/>
  <c r="O65" i="27"/>
  <c r="G210" i="31" s="1"/>
  <c r="L66" i="27"/>
  <c r="A211" i="31" s="1"/>
  <c r="M66" i="27"/>
  <c r="C211" i="31" s="1"/>
  <c r="N66" i="27"/>
  <c r="E211" i="31" s="1"/>
  <c r="O66" i="27"/>
  <c r="G211" i="31" s="1"/>
  <c r="L67" i="27"/>
  <c r="A212" i="31" s="1"/>
  <c r="M67" i="27"/>
  <c r="C212" i="31" s="1"/>
  <c r="N67" i="27"/>
  <c r="E212" i="31" s="1"/>
  <c r="O67" i="27"/>
  <c r="G212" i="31" s="1"/>
  <c r="L68" i="27"/>
  <c r="A213" i="31" s="1"/>
  <c r="M68" i="27"/>
  <c r="C213" i="31" s="1"/>
  <c r="N68" i="27"/>
  <c r="E213" i="31" s="1"/>
  <c r="O68" i="27"/>
  <c r="G213" i="31" s="1"/>
  <c r="L69" i="27"/>
  <c r="A18" i="27" s="1"/>
  <c r="A134" i="31" s="1"/>
  <c r="M69" i="27"/>
  <c r="C214" i="31" s="1"/>
  <c r="N69" i="27"/>
  <c r="C18" i="27" s="1"/>
  <c r="E134" i="31" s="1"/>
  <c r="O69" i="27"/>
  <c r="G214" i="31" s="1"/>
  <c r="S135" i="27"/>
  <c r="S66" i="27" s="1"/>
  <c r="O211" i="31" s="1"/>
  <c r="S134" i="27"/>
  <c r="S64" i="27" s="1"/>
  <c r="O209" i="31" s="1"/>
  <c r="S133" i="27"/>
  <c r="S61" i="27" s="1"/>
  <c r="O206" i="31" s="1"/>
  <c r="S132" i="27"/>
  <c r="S57" i="27" s="1"/>
  <c r="O202" i="31" s="1"/>
  <c r="S131" i="27"/>
  <c r="S65" i="27" s="1"/>
  <c r="O210" i="31" s="1"/>
  <c r="S130" i="27"/>
  <c r="S63" i="27" s="1"/>
  <c r="S129" i="27"/>
  <c r="S60" i="27" s="1"/>
  <c r="S128" i="27"/>
  <c r="S56" i="27" s="1"/>
  <c r="O201" i="31" s="1"/>
  <c r="S127" i="27"/>
  <c r="S52" i="27" s="1"/>
  <c r="O197" i="31" s="1"/>
  <c r="S126" i="27"/>
  <c r="S62" i="27" s="1"/>
  <c r="O207" i="31" s="1"/>
  <c r="S125" i="27"/>
  <c r="S59" i="27" s="1"/>
  <c r="O204" i="31" s="1"/>
  <c r="S124" i="27"/>
  <c r="S55" i="27" s="1"/>
  <c r="S123" i="27"/>
  <c r="S51" i="27" s="1"/>
  <c r="O196" i="31" s="1"/>
  <c r="S122" i="27"/>
  <c r="S47" i="27" s="1"/>
  <c r="O184" i="31" s="1"/>
  <c r="S121" i="27"/>
  <c r="S58" i="27" s="1"/>
  <c r="O203" i="31" s="1"/>
  <c r="S120" i="27"/>
  <c r="S54" i="27" s="1"/>
  <c r="O199" i="31" s="1"/>
  <c r="S119" i="27"/>
  <c r="S50" i="27" s="1"/>
  <c r="S118" i="27"/>
  <c r="S46" i="27" s="1"/>
  <c r="O183" i="31" s="1"/>
  <c r="S117" i="27"/>
  <c r="S42" i="27" s="1"/>
  <c r="O179" i="31" s="1"/>
  <c r="S116" i="27"/>
  <c r="S53" i="27" s="1"/>
  <c r="O198" i="31" s="1"/>
  <c r="S115" i="27"/>
  <c r="S49" i="27" s="1"/>
  <c r="O194" i="31" s="1"/>
  <c r="S114" i="27"/>
  <c r="S45" i="27" s="1"/>
  <c r="S113" i="27"/>
  <c r="S41" i="27" s="1"/>
  <c r="O178" i="31" s="1"/>
  <c r="S112" i="27"/>
  <c r="S37" i="27" s="1"/>
  <c r="O174" i="31" s="1"/>
  <c r="S111" i="27"/>
  <c r="S48" i="27" s="1"/>
  <c r="O193" i="31" s="1"/>
  <c r="S110" i="27"/>
  <c r="S44" i="27" s="1"/>
  <c r="O181" i="31" s="1"/>
  <c r="S109" i="27"/>
  <c r="S40" i="27" s="1"/>
  <c r="S108" i="27"/>
  <c r="S36" i="27" s="1"/>
  <c r="O173" i="31" s="1"/>
  <c r="S107" i="27"/>
  <c r="S33" i="27" s="1"/>
  <c r="O170" i="31" s="1"/>
  <c r="S106" i="27"/>
  <c r="S43" i="27" s="1"/>
  <c r="O180" i="31" s="1"/>
  <c r="S105" i="27"/>
  <c r="S39" i="27" s="1"/>
  <c r="O176" i="31" s="1"/>
  <c r="S104" i="27"/>
  <c r="S35" i="27" s="1"/>
  <c r="S103" i="27"/>
  <c r="S32" i="27" s="1"/>
  <c r="O169" i="31" s="1"/>
  <c r="S102" i="27"/>
  <c r="S22" i="27" s="1"/>
  <c r="O159" i="31" s="1"/>
  <c r="S101" i="27"/>
  <c r="S38" i="27" s="1"/>
  <c r="O175" i="31" s="1"/>
  <c r="S100" i="27"/>
  <c r="S34" i="27" s="1"/>
  <c r="O171" i="31" s="1"/>
  <c r="S99" i="27"/>
  <c r="S31" i="27" s="1"/>
  <c r="S98" i="27"/>
  <c r="S21" i="27" s="1"/>
  <c r="O158" i="31" s="1"/>
  <c r="S97" i="27"/>
  <c r="S14" i="27" s="1"/>
  <c r="O151" i="31" s="1"/>
  <c r="S96" i="27"/>
  <c r="S28" i="27" s="1"/>
  <c r="O165" i="31" s="1"/>
  <c r="S95" i="27"/>
  <c r="S25" i="27" s="1"/>
  <c r="O162" i="31" s="1"/>
  <c r="S94" i="27"/>
  <c r="S20" i="27" s="1"/>
  <c r="S93" i="27"/>
  <c r="S17" i="27" s="1"/>
  <c r="O154" i="31" s="1"/>
  <c r="S92" i="27"/>
  <c r="S13" i="27" s="1"/>
  <c r="S10" i="27"/>
  <c r="O147" i="31" s="1"/>
  <c r="S83" i="27"/>
  <c r="S29" i="27" s="1"/>
  <c r="O166" i="31" s="1"/>
  <c r="S82" i="27"/>
  <c r="S26" i="27" s="1"/>
  <c r="O163" i="31" s="1"/>
  <c r="S81" i="27"/>
  <c r="S23" i="27" s="1"/>
  <c r="O160" i="31" s="1"/>
  <c r="S80" i="27"/>
  <c r="S18" i="27" s="1"/>
  <c r="O155" i="31" s="1"/>
  <c r="S79" i="27"/>
  <c r="S15" i="27" s="1"/>
  <c r="O152" i="31" s="1"/>
  <c r="S78" i="27"/>
  <c r="S11" i="27" s="1"/>
  <c r="O148" i="31" s="1"/>
  <c r="S77" i="27"/>
  <c r="S8" i="27" s="1"/>
  <c r="O145" i="31" s="1"/>
  <c r="F55" i="26"/>
  <c r="F56" i="26"/>
  <c r="F60" i="26"/>
  <c r="F59" i="26"/>
  <c r="F58" i="26"/>
  <c r="F57" i="26"/>
  <c r="F54" i="26"/>
  <c r="F53" i="26"/>
  <c r="F52" i="26"/>
  <c r="F51" i="26"/>
  <c r="F50" i="26"/>
  <c r="F49" i="26"/>
  <c r="L73" i="15"/>
  <c r="L72" i="15"/>
  <c r="J73" i="15"/>
  <c r="J71" i="15"/>
  <c r="H73" i="15"/>
  <c r="H72" i="15"/>
  <c r="H71" i="15"/>
  <c r="M73" i="15"/>
  <c r="T138" i="27" s="1"/>
  <c r="T69" i="27" s="1"/>
  <c r="I18" i="27" s="1"/>
  <c r="Q134" i="31" s="1"/>
  <c r="M70" i="15"/>
  <c r="T70" i="15" s="1"/>
  <c r="M69" i="15"/>
  <c r="T69" i="15" s="1"/>
  <c r="M65" i="15"/>
  <c r="T65" i="15" s="1"/>
  <c r="J60" i="26" s="1"/>
  <c r="M64" i="15"/>
  <c r="T64" i="15" s="1"/>
  <c r="J59" i="26" s="1"/>
  <c r="Q63" i="15"/>
  <c r="M62" i="15"/>
  <c r="T62" i="15" s="1"/>
  <c r="M61" i="15"/>
  <c r="T61" i="15" s="1"/>
  <c r="M57" i="15"/>
  <c r="T122" i="27" s="1"/>
  <c r="T47" i="27" s="1"/>
  <c r="Q184" i="31" s="1"/>
  <c r="Q56" i="15"/>
  <c r="M54" i="15"/>
  <c r="T119" i="27" s="1"/>
  <c r="T50" i="27" s="1"/>
  <c r="Q195" i="31" s="1"/>
  <c r="T54" i="15"/>
  <c r="J57" i="26" s="1"/>
  <c r="M53" i="15"/>
  <c r="T118" i="27" s="1"/>
  <c r="T46" i="27" s="1"/>
  <c r="Q183" i="31" s="1"/>
  <c r="M51" i="15"/>
  <c r="T116" i="27" s="1"/>
  <c r="T53" i="27" s="1"/>
  <c r="Q198" i="31" s="1"/>
  <c r="M49" i="15"/>
  <c r="Q49" i="15" s="1"/>
  <c r="K56" i="26" s="1"/>
  <c r="Q48" i="15"/>
  <c r="M46" i="15"/>
  <c r="T111" i="27" s="1"/>
  <c r="T48" i="27" s="1"/>
  <c r="Q193" i="31" s="1"/>
  <c r="M45" i="15"/>
  <c r="T45" i="15" s="1"/>
  <c r="M41" i="15"/>
  <c r="Q41" i="15" s="1"/>
  <c r="M40" i="15"/>
  <c r="N40" i="15" s="1"/>
  <c r="M38" i="15"/>
  <c r="M37" i="15"/>
  <c r="Q37" i="15" s="1"/>
  <c r="M34" i="15"/>
  <c r="T34" i="15" s="1"/>
  <c r="J53" i="26" s="1"/>
  <c r="M33" i="15"/>
  <c r="T98" i="27" s="1"/>
  <c r="T21" i="27" s="1"/>
  <c r="Q158" i="31" s="1"/>
  <c r="M32" i="15"/>
  <c r="Q32" i="15" s="1"/>
  <c r="M14" i="15"/>
  <c r="T14" i="15" s="1"/>
  <c r="M13" i="15"/>
  <c r="T13" i="15" s="1"/>
  <c r="Q54" i="15"/>
  <c r="K57" i="26" s="1"/>
  <c r="Q39" i="15"/>
  <c r="K54" i="26" s="1"/>
  <c r="L70" i="15"/>
  <c r="J70" i="15"/>
  <c r="H70" i="15"/>
  <c r="L69" i="15"/>
  <c r="J69" i="15"/>
  <c r="H69" i="15"/>
  <c r="H68" i="15"/>
  <c r="H67" i="15"/>
  <c r="L66" i="15"/>
  <c r="J66" i="15"/>
  <c r="H66" i="15"/>
  <c r="L65" i="15"/>
  <c r="I60" i="26" s="1"/>
  <c r="J65" i="15"/>
  <c r="H60" i="26" s="1"/>
  <c r="H65" i="15"/>
  <c r="G60" i="26" s="1"/>
  <c r="L64" i="15"/>
  <c r="I59" i="26" s="1"/>
  <c r="H64" i="15"/>
  <c r="G59" i="26" s="1"/>
  <c r="J63" i="15"/>
  <c r="H63" i="15"/>
  <c r="L62" i="15"/>
  <c r="J62" i="15"/>
  <c r="H62" i="15"/>
  <c r="L61" i="15"/>
  <c r="J61" i="15"/>
  <c r="H61" i="15"/>
  <c r="H60" i="15"/>
  <c r="L59" i="15"/>
  <c r="I58" i="26" s="1"/>
  <c r="H59" i="15"/>
  <c r="G58" i="26" s="1"/>
  <c r="H58" i="15"/>
  <c r="L57" i="15"/>
  <c r="J57" i="15"/>
  <c r="H57" i="15"/>
  <c r="L56" i="15"/>
  <c r="J56" i="15"/>
  <c r="H56" i="15"/>
  <c r="J55" i="15"/>
  <c r="H55" i="15"/>
  <c r="L54" i="15"/>
  <c r="I57" i="26" s="1"/>
  <c r="J54" i="15"/>
  <c r="H57" i="26" s="1"/>
  <c r="H54" i="15"/>
  <c r="G57" i="26" s="1"/>
  <c r="L53" i="15"/>
  <c r="J53" i="15"/>
  <c r="H53" i="15"/>
  <c r="H52" i="15"/>
  <c r="J51" i="15"/>
  <c r="H51" i="15"/>
  <c r="H50" i="15"/>
  <c r="L49" i="15"/>
  <c r="I56" i="26" s="1"/>
  <c r="J49" i="15"/>
  <c r="H56" i="26" s="1"/>
  <c r="H49" i="15"/>
  <c r="G56" i="26" s="1"/>
  <c r="L48" i="15"/>
  <c r="J48" i="15"/>
  <c r="H48" i="15"/>
  <c r="J47" i="15"/>
  <c r="H47" i="15"/>
  <c r="L46" i="15"/>
  <c r="J46" i="15"/>
  <c r="H46" i="15"/>
  <c r="L45" i="15"/>
  <c r="J45" i="15"/>
  <c r="H45" i="15"/>
  <c r="H44" i="15"/>
  <c r="G55" i="26" s="1"/>
  <c r="J43" i="15"/>
  <c r="H43" i="15"/>
  <c r="L42" i="15"/>
  <c r="H42" i="15"/>
  <c r="L41" i="15"/>
  <c r="J41" i="15"/>
  <c r="H41" i="15"/>
  <c r="L40" i="15"/>
  <c r="J40" i="15"/>
  <c r="H40" i="15"/>
  <c r="L39" i="15"/>
  <c r="I54" i="26" s="1"/>
  <c r="J39" i="15"/>
  <c r="H54" i="26" s="1"/>
  <c r="H39" i="15"/>
  <c r="G54" i="26" s="1"/>
  <c r="L38" i="15"/>
  <c r="J38" i="15"/>
  <c r="H38" i="15"/>
  <c r="L37" i="15"/>
  <c r="J37" i="15"/>
  <c r="H37" i="15"/>
  <c r="L36" i="15"/>
  <c r="H36" i="15"/>
  <c r="J35" i="15"/>
  <c r="H35" i="15"/>
  <c r="H34" i="15"/>
  <c r="G53" i="26" s="1"/>
  <c r="L33" i="15"/>
  <c r="J33" i="15"/>
  <c r="H33" i="15"/>
  <c r="L32" i="15"/>
  <c r="J32" i="15"/>
  <c r="H32" i="15"/>
  <c r="J31" i="15"/>
  <c r="H31" i="15"/>
  <c r="L30" i="15"/>
  <c r="J30" i="15"/>
  <c r="H30" i="15"/>
  <c r="L29" i="15"/>
  <c r="I52" i="26" s="1"/>
  <c r="J29" i="15"/>
  <c r="H52" i="26" s="1"/>
  <c r="H29" i="15"/>
  <c r="G52" i="26" s="1"/>
  <c r="H16" i="15"/>
  <c r="H15" i="15"/>
  <c r="L14" i="15"/>
  <c r="J14" i="15"/>
  <c r="H14" i="15"/>
  <c r="L13" i="15"/>
  <c r="J13" i="15"/>
  <c r="H13" i="15"/>
  <c r="C15" i="26"/>
  <c r="S28" i="20"/>
  <c r="S27" i="20"/>
  <c r="G3" i="26"/>
  <c r="G1" i="26"/>
  <c r="B44" i="6"/>
  <c r="F41" i="6"/>
  <c r="E41" i="6"/>
  <c r="D41" i="6"/>
  <c r="B41" i="6"/>
  <c r="C11" i="26" s="1"/>
  <c r="A44" i="6"/>
  <c r="A41" i="6"/>
  <c r="D36" i="6"/>
  <c r="F38" i="6"/>
  <c r="E38" i="6"/>
  <c r="D38" i="6"/>
  <c r="A38" i="6"/>
  <c r="B38" i="6"/>
  <c r="C16" i="26" s="1"/>
  <c r="N19" i="20"/>
  <c r="N18" i="20"/>
  <c r="O170" i="37" s="1"/>
  <c r="N17" i="20"/>
  <c r="L17" i="20" s="1"/>
  <c r="N16" i="20"/>
  <c r="L16" i="20" s="1"/>
  <c r="M16" i="20" s="1"/>
  <c r="N15" i="20"/>
  <c r="L15" i="20" s="1"/>
  <c r="N14" i="20"/>
  <c r="O166" i="37" s="1"/>
  <c r="N13" i="20"/>
  <c r="O165" i="37" s="1"/>
  <c r="N12" i="20"/>
  <c r="O164" i="37" s="1"/>
  <c r="D27" i="6"/>
  <c r="E27" i="6" s="1"/>
  <c r="D31" i="8"/>
  <c r="P1" i="20"/>
  <c r="P3" i="20"/>
  <c r="F10" i="20"/>
  <c r="H10" i="20"/>
  <c r="J10" i="20"/>
  <c r="F12" i="20"/>
  <c r="G67" i="26" s="1"/>
  <c r="H12" i="20"/>
  <c r="H67" i="26" s="1"/>
  <c r="J12" i="20"/>
  <c r="I67" i="26" s="1"/>
  <c r="F13" i="20"/>
  <c r="G68" i="26" s="1"/>
  <c r="H13" i="20"/>
  <c r="H68" i="26" s="1"/>
  <c r="J13" i="20"/>
  <c r="I68" i="26" s="1"/>
  <c r="F14" i="20"/>
  <c r="G69" i="26" s="1"/>
  <c r="H14" i="20"/>
  <c r="H69" i="26" s="1"/>
  <c r="F15" i="20"/>
  <c r="G70" i="26" s="1"/>
  <c r="H15" i="20"/>
  <c r="H70" i="26" s="1"/>
  <c r="J15" i="20"/>
  <c r="I70" i="26" s="1"/>
  <c r="F16" i="20"/>
  <c r="G71" i="26" s="1"/>
  <c r="H16" i="20"/>
  <c r="H71" i="26" s="1"/>
  <c r="J16" i="20"/>
  <c r="I71" i="26" s="1"/>
  <c r="F17" i="20"/>
  <c r="G72" i="26" s="1"/>
  <c r="H17" i="20"/>
  <c r="H72" i="26" s="1"/>
  <c r="J17" i="20"/>
  <c r="I72" i="26" s="1"/>
  <c r="F18" i="20"/>
  <c r="G73" i="26" s="1"/>
  <c r="H18" i="20"/>
  <c r="H73" i="26" s="1"/>
  <c r="J18" i="20"/>
  <c r="I73" i="26" s="1"/>
  <c r="F19" i="20"/>
  <c r="H19" i="20"/>
  <c r="J19" i="20"/>
  <c r="R37" i="20"/>
  <c r="R38" i="20"/>
  <c r="M12" i="15"/>
  <c r="T12" i="15" s="1"/>
  <c r="J49" i="26" s="1"/>
  <c r="L10" i="15"/>
  <c r="J10" i="15"/>
  <c r="H10" i="15"/>
  <c r="J12" i="15"/>
  <c r="H49" i="26" s="1"/>
  <c r="L12" i="15"/>
  <c r="I49" i="26" s="1"/>
  <c r="H12" i="15"/>
  <c r="G49" i="26" s="1"/>
  <c r="C29" i="6"/>
  <c r="F44" i="6" s="1"/>
  <c r="C19" i="6"/>
  <c r="D44" i="6" s="1"/>
  <c r="D19" i="6"/>
  <c r="E44" i="6" s="1"/>
  <c r="R91" i="15"/>
  <c r="R92" i="15"/>
  <c r="G7" i="8"/>
  <c r="G5" i="8"/>
  <c r="D4" i="18"/>
  <c r="D2" i="18"/>
  <c r="C27" i="18"/>
  <c r="D25" i="18"/>
  <c r="E25" i="18" s="1"/>
  <c r="D26" i="18"/>
  <c r="E26" i="18" s="1"/>
  <c r="E22" i="18"/>
  <c r="C17" i="18"/>
  <c r="D17" i="18"/>
  <c r="E16" i="18"/>
  <c r="E15" i="18"/>
  <c r="E12" i="18"/>
  <c r="E14" i="6"/>
  <c r="D3" i="6"/>
  <c r="D1" i="6"/>
  <c r="D28" i="6"/>
  <c r="E24" i="6"/>
  <c r="D9" i="11"/>
  <c r="D5" i="11" s="1"/>
  <c r="E18" i="6"/>
  <c r="E17" i="6"/>
  <c r="Q13" i="20"/>
  <c r="K68" i="26" s="1"/>
  <c r="I214" i="33"/>
  <c r="F17" i="34"/>
  <c r="M156" i="36" s="1"/>
  <c r="H17" i="34"/>
  <c r="B8" i="8"/>
  <c r="E40" i="34"/>
  <c r="H104" i="44" s="1"/>
  <c r="H106" i="44" s="1"/>
  <c r="B9" i="8"/>
  <c r="D32" i="8" s="1"/>
  <c r="D25" i="26" s="1"/>
  <c r="H13" i="34"/>
  <c r="F13" i="34"/>
  <c r="M152" i="36" s="1"/>
  <c r="B10" i="8"/>
  <c r="H15" i="34"/>
  <c r="F15" i="34"/>
  <c r="M154" i="36" s="1"/>
  <c r="H14" i="34"/>
  <c r="F14" i="34"/>
  <c r="M153" i="44" s="1"/>
  <c r="H16" i="34"/>
  <c r="F16" i="34"/>
  <c r="M155" i="44" s="1"/>
  <c r="H18" i="34"/>
  <c r="F18" i="34"/>
  <c r="M157" i="36" s="1"/>
  <c r="Q17" i="20"/>
  <c r="K72" i="26" s="1"/>
  <c r="T16" i="20"/>
  <c r="J71" i="26" s="1"/>
  <c r="Q19" i="20"/>
  <c r="T18" i="20"/>
  <c r="J73" i="26" s="1"/>
  <c r="Q12" i="20"/>
  <c r="K67" i="26" s="1"/>
  <c r="Q18" i="20"/>
  <c r="K73" i="26" s="1"/>
  <c r="T12" i="20"/>
  <c r="J67" i="26" s="1"/>
  <c r="Q12" i="15"/>
  <c r="K49" i="26" s="1"/>
  <c r="Q13" i="30"/>
  <c r="G181" i="33" s="1"/>
  <c r="Q31" i="15"/>
  <c r="Q61" i="15"/>
  <c r="Q38" i="15"/>
  <c r="Q62" i="15"/>
  <c r="L31" i="15"/>
  <c r="M67" i="15"/>
  <c r="T132" i="27" s="1"/>
  <c r="T57" i="27" s="1"/>
  <c r="Q202" i="31" s="1"/>
  <c r="M43" i="15"/>
  <c r="T43" i="15" s="1"/>
  <c r="M35" i="15"/>
  <c r="Q35" i="15" s="1"/>
  <c r="S80" i="15"/>
  <c r="M68" i="15"/>
  <c r="N68" i="15" s="1"/>
  <c r="M60" i="15"/>
  <c r="N60" i="15" s="1"/>
  <c r="T60" i="15"/>
  <c r="M36" i="15"/>
  <c r="Q36" i="15" s="1"/>
  <c r="M20" i="15"/>
  <c r="Q20" i="15" s="1"/>
  <c r="L63" i="15"/>
  <c r="M15" i="15"/>
  <c r="T80" i="27" s="1"/>
  <c r="T18" i="27" s="1"/>
  <c r="Q155" i="31" s="1"/>
  <c r="M47" i="15"/>
  <c r="Q47" i="15" s="1"/>
  <c r="M55" i="15"/>
  <c r="Q55" i="15" s="1"/>
  <c r="T55" i="15"/>
  <c r="M66" i="15"/>
  <c r="T66" i="15" s="1"/>
  <c r="M50" i="15"/>
  <c r="T115" i="27" s="1"/>
  <c r="T49" i="27" s="1"/>
  <c r="Q194" i="31" s="1"/>
  <c r="L58" i="15"/>
  <c r="M71" i="15"/>
  <c r="T71" i="15" s="1"/>
  <c r="M28" i="15"/>
  <c r="Q28" i="15" s="1"/>
  <c r="M59" i="15"/>
  <c r="N59" i="15" s="1"/>
  <c r="M59" i="46" s="1"/>
  <c r="N59" i="46" s="1"/>
  <c r="U124" i="27" s="1"/>
  <c r="M27" i="15"/>
  <c r="N27" i="15" s="1"/>
  <c r="T27" i="15"/>
  <c r="J51" i="26" s="1"/>
  <c r="M19" i="15"/>
  <c r="N19" i="15" s="1"/>
  <c r="M19" i="46" s="1"/>
  <c r="N19" i="46" s="1"/>
  <c r="U84" i="27" s="1"/>
  <c r="M42" i="15"/>
  <c r="T107" i="27" s="1"/>
  <c r="T33" i="27" s="1"/>
  <c r="Q170" i="31" s="1"/>
  <c r="M26" i="15"/>
  <c r="N26" i="15" s="1"/>
  <c r="M26" i="46" s="1"/>
  <c r="N26" i="46" s="1"/>
  <c r="U91" i="27" s="1"/>
  <c r="T26" i="15"/>
  <c r="M18" i="15"/>
  <c r="T83" i="27" s="1"/>
  <c r="T29" i="27" s="1"/>
  <c r="Q166" i="31" s="1"/>
  <c r="M52" i="15"/>
  <c r="Q52" i="15" s="1"/>
  <c r="J36" i="15"/>
  <c r="J67" i="15"/>
  <c r="J20" i="15"/>
  <c r="S79" i="15"/>
  <c r="M44" i="15"/>
  <c r="T44" i="15" s="1"/>
  <c r="J55" i="26" s="1"/>
  <c r="M72" i="15"/>
  <c r="Q72" i="15" s="1"/>
  <c r="J19" i="15"/>
  <c r="J50" i="15"/>
  <c r="J60" i="15"/>
  <c r="N58" i="15"/>
  <c r="Q10" i="30"/>
  <c r="B95" i="33" s="1"/>
  <c r="T10" i="30"/>
  <c r="AE10" i="30"/>
  <c r="AL10" i="30" s="1"/>
  <c r="Q137" i="27"/>
  <c r="Q68" i="27" s="1"/>
  <c r="K213" i="31" s="1"/>
  <c r="D70" i="43"/>
  <c r="M150" i="31"/>
  <c r="AY10" i="30"/>
  <c r="AY11" i="30" s="1"/>
  <c r="N24" i="15"/>
  <c r="M24" i="46" s="1"/>
  <c r="N24" i="46" s="1"/>
  <c r="U89" i="27" s="1"/>
  <c r="T32" i="15"/>
  <c r="T41" i="15"/>
  <c r="T28" i="15"/>
  <c r="T68" i="15"/>
  <c r="T49" i="15"/>
  <c r="J56" i="26" s="1"/>
  <c r="T56" i="15"/>
  <c r="T38" i="15"/>
  <c r="T15" i="15"/>
  <c r="T36" i="15"/>
  <c r="T73" i="15"/>
  <c r="T18" i="15"/>
  <c r="J50" i="26" s="1"/>
  <c r="T48" i="15"/>
  <c r="I200" i="41"/>
  <c r="L47" i="38"/>
  <c r="M177" i="31"/>
  <c r="G141" i="44"/>
  <c r="E30" i="38"/>
  <c r="I122" i="45"/>
  <c r="T13" i="20" l="1"/>
  <c r="J68" i="26" s="1"/>
  <c r="N30" i="15"/>
  <c r="T81" i="27"/>
  <c r="T23" i="27" s="1"/>
  <c r="Q160" i="31" s="1"/>
  <c r="C9" i="27"/>
  <c r="E125" i="31" s="1"/>
  <c r="A30" i="37"/>
  <c r="G200" i="31"/>
  <c r="M208" i="31"/>
  <c r="A177" i="31"/>
  <c r="C15" i="27"/>
  <c r="E131" i="31" s="1"/>
  <c r="Q214" i="31"/>
  <c r="N33" i="15"/>
  <c r="M33" i="46" s="1"/>
  <c r="N33" i="46" s="1"/>
  <c r="U98" i="27" s="1"/>
  <c r="B13" i="27"/>
  <c r="C129" i="31" s="1"/>
  <c r="N73" i="15"/>
  <c r="M73" i="46" s="1"/>
  <c r="N73" i="46" s="1"/>
  <c r="U138" i="27" s="1"/>
  <c r="A205" i="31"/>
  <c r="AD2" i="30"/>
  <c r="A61" i="44" s="1"/>
  <c r="D71" i="43"/>
  <c r="G14" i="27"/>
  <c r="M130" i="31" s="1"/>
  <c r="A208" i="31"/>
  <c r="A214" i="31"/>
  <c r="K208" i="31"/>
  <c r="F17" i="27"/>
  <c r="K133" i="31" s="1"/>
  <c r="F13" i="27"/>
  <c r="K129" i="31" s="1"/>
  <c r="K182" i="31"/>
  <c r="M157" i="44"/>
  <c r="B17" i="27"/>
  <c r="C133" i="31" s="1"/>
  <c r="B10" i="27"/>
  <c r="C126" i="31" s="1"/>
  <c r="I14" i="27"/>
  <c r="Q130" i="31" s="1"/>
  <c r="B9" i="27"/>
  <c r="C125" i="31" s="1"/>
  <c r="N55" i="15"/>
  <c r="M55" i="46" s="1"/>
  <c r="N55" i="46" s="1"/>
  <c r="U120" i="27" s="1"/>
  <c r="D14" i="27"/>
  <c r="G130" i="31" s="1"/>
  <c r="E208" i="31"/>
  <c r="G18" i="27"/>
  <c r="M134" i="31" s="1"/>
  <c r="F8" i="27"/>
  <c r="K124" i="31" s="1"/>
  <c r="A8" i="27"/>
  <c r="A124" i="31" s="1"/>
  <c r="Q104" i="36"/>
  <c r="M182" i="31"/>
  <c r="N45" i="15"/>
  <c r="M45" i="46" s="1"/>
  <c r="N45" i="46" s="1"/>
  <c r="U110" i="27" s="1"/>
  <c r="T25" i="33"/>
  <c r="B2" i="48"/>
  <c r="L19" i="20"/>
  <c r="M19" i="20" s="1"/>
  <c r="O171" i="37"/>
  <c r="T110" i="27"/>
  <c r="T44" i="27" s="1"/>
  <c r="Q181" i="31" s="1"/>
  <c r="N14" i="15"/>
  <c r="M14" i="46" s="1"/>
  <c r="N14" i="46" s="1"/>
  <c r="U79" i="27" s="1"/>
  <c r="N34" i="15"/>
  <c r="M34" i="46" s="1"/>
  <c r="N34" i="46" s="1"/>
  <c r="U99" i="27" s="1"/>
  <c r="N12" i="15"/>
  <c r="M12" i="46" s="1"/>
  <c r="N12" i="46" s="1"/>
  <c r="U77" i="27" s="1"/>
  <c r="N61" i="15"/>
  <c r="M61" i="46" s="1"/>
  <c r="N61" i="46" s="1"/>
  <c r="U126" i="27" s="1"/>
  <c r="N63" i="15"/>
  <c r="M63" i="46" s="1"/>
  <c r="N63" i="46" s="1"/>
  <c r="U128" i="27" s="1"/>
  <c r="N64" i="15"/>
  <c r="M64" i="46" s="1"/>
  <c r="N64" i="46" s="1"/>
  <c r="U129" i="27" s="1"/>
  <c r="N50" i="15"/>
  <c r="M50" i="46" s="1"/>
  <c r="N50" i="46" s="1"/>
  <c r="U115" i="27" s="1"/>
  <c r="N67" i="15"/>
  <c r="M67" i="46" s="1"/>
  <c r="N67" i="46" s="1"/>
  <c r="U132" i="27" s="1"/>
  <c r="N20" i="15"/>
  <c r="M20" i="46" s="1"/>
  <c r="N20" i="46" s="1"/>
  <c r="U85" i="27" s="1"/>
  <c r="E12" i="27"/>
  <c r="I128" i="31" s="1"/>
  <c r="I177" i="31"/>
  <c r="O58" i="38"/>
  <c r="AF65" i="30"/>
  <c r="G146" i="37"/>
  <c r="G184" i="44"/>
  <c r="T124" i="27"/>
  <c r="T55" i="27" s="1"/>
  <c r="Q200" i="31" s="1"/>
  <c r="N47" i="15"/>
  <c r="M47" i="46" s="1"/>
  <c r="N47" i="46" s="1"/>
  <c r="U112" i="27" s="1"/>
  <c r="N52" i="15"/>
  <c r="M52" i="46" s="1"/>
  <c r="N52" i="46" s="1"/>
  <c r="U117" i="27" s="1"/>
  <c r="N25" i="15"/>
  <c r="M25" i="46" s="1"/>
  <c r="N25" i="46" s="1"/>
  <c r="U90" i="27" s="1"/>
  <c r="N56" i="15"/>
  <c r="M56" i="46" s="1"/>
  <c r="N56" i="46" s="1"/>
  <c r="U121" i="27" s="1"/>
  <c r="F10" i="27"/>
  <c r="K126" i="31" s="1"/>
  <c r="K168" i="31"/>
  <c r="I251" i="41"/>
  <c r="A14" i="27"/>
  <c r="A130" i="31" s="1"/>
  <c r="E17" i="18"/>
  <c r="M157" i="31"/>
  <c r="I285" i="41"/>
  <c r="BI13" i="30"/>
  <c r="G175" i="42" s="1"/>
  <c r="A182" i="31"/>
  <c r="L13" i="20"/>
  <c r="M13" i="20" s="1"/>
  <c r="I85" i="41"/>
  <c r="I126" i="41"/>
  <c r="O168" i="31"/>
  <c r="H10" i="27"/>
  <c r="O126" i="31" s="1"/>
  <c r="C13" i="27"/>
  <c r="E129" i="31" s="1"/>
  <c r="A10" i="27"/>
  <c r="A126" i="31" s="1"/>
  <c r="B15" i="27"/>
  <c r="C131" i="31" s="1"/>
  <c r="A157" i="31"/>
  <c r="Q105" i="36"/>
  <c r="AZ16" i="30"/>
  <c r="BA16" i="30" s="1"/>
  <c r="G147" i="37" s="1"/>
  <c r="T86" i="27"/>
  <c r="T16" i="27" s="1"/>
  <c r="Q153" i="31" s="1"/>
  <c r="C195" i="31"/>
  <c r="M200" i="31"/>
  <c r="E214" i="31"/>
  <c r="C12" i="27"/>
  <c r="E128" i="31" s="1"/>
  <c r="O55" i="38"/>
  <c r="G205" i="31"/>
  <c r="T120" i="27"/>
  <c r="T54" i="27" s="1"/>
  <c r="Q199" i="31" s="1"/>
  <c r="T133" i="27"/>
  <c r="T61" i="27" s="1"/>
  <c r="Q206" i="31" s="1"/>
  <c r="F15" i="27"/>
  <c r="K131" i="31" s="1"/>
  <c r="C11" i="27"/>
  <c r="E127" i="31" s="1"/>
  <c r="B18" i="27"/>
  <c r="C134" i="31" s="1"/>
  <c r="M57" i="38"/>
  <c r="Q57" i="38" s="1"/>
  <c r="O57" i="38"/>
  <c r="F14" i="27"/>
  <c r="K130" i="31" s="1"/>
  <c r="K195" i="31"/>
  <c r="F11" i="27"/>
  <c r="K127" i="31" s="1"/>
  <c r="K172" i="31"/>
  <c r="I157" i="31"/>
  <c r="E9" i="27"/>
  <c r="I125" i="31" s="1"/>
  <c r="K205" i="31"/>
  <c r="F16" i="27"/>
  <c r="K132" i="31" s="1"/>
  <c r="A172" i="31"/>
  <c r="G208" i="31"/>
  <c r="G182" i="31"/>
  <c r="C10" i="27"/>
  <c r="E126" i="31" s="1"/>
  <c r="G16" i="27"/>
  <c r="M132" i="31" s="1"/>
  <c r="G10" i="27"/>
  <c r="M126" i="31" s="1"/>
  <c r="D45" i="6"/>
  <c r="D69" i="43"/>
  <c r="B8" i="27"/>
  <c r="C124" i="31" s="1"/>
  <c r="K157" i="31"/>
  <c r="G11" i="27"/>
  <c r="M127" i="31" s="1"/>
  <c r="B16" i="27"/>
  <c r="C132" i="31" s="1"/>
  <c r="A200" i="31"/>
  <c r="O169" i="37"/>
  <c r="F45" i="6"/>
  <c r="B12" i="27"/>
  <c r="C128" i="31" s="1"/>
  <c r="B11" i="27"/>
  <c r="C127" i="31" s="1"/>
  <c r="E45" i="6"/>
  <c r="H45" i="6" s="1"/>
  <c r="D27" i="18"/>
  <c r="E27" i="18" s="1"/>
  <c r="AV8" i="30"/>
  <c r="G149" i="37" s="1"/>
  <c r="M56" i="38"/>
  <c r="Q56" i="38" s="1"/>
  <c r="O150" i="31"/>
  <c r="H8" i="27"/>
  <c r="O124" i="31" s="1"/>
  <c r="E11" i="27"/>
  <c r="I127" i="31" s="1"/>
  <c r="I172" i="31"/>
  <c r="T85" i="27"/>
  <c r="T12" i="27" s="1"/>
  <c r="Q149" i="31" s="1"/>
  <c r="G187" i="44"/>
  <c r="C16" i="27"/>
  <c r="E132" i="31" s="1"/>
  <c r="F39" i="6"/>
  <c r="M55" i="38"/>
  <c r="Q55" i="38" s="1"/>
  <c r="C8" i="27"/>
  <c r="E124" i="31" s="1"/>
  <c r="C14" i="27"/>
  <c r="E130" i="31" s="1"/>
  <c r="D18" i="27"/>
  <c r="G134" i="31" s="1"/>
  <c r="Q15" i="20"/>
  <c r="K70" i="26" s="1"/>
  <c r="Q16" i="20"/>
  <c r="K71" i="26" s="1"/>
  <c r="T15" i="20"/>
  <c r="J70" i="26" s="1"/>
  <c r="Q14" i="20"/>
  <c r="K69" i="26" s="1"/>
  <c r="T19" i="20"/>
  <c r="T14" i="20"/>
  <c r="J69" i="26" s="1"/>
  <c r="T17" i="20"/>
  <c r="J72" i="26" s="1"/>
  <c r="Q29" i="15"/>
  <c r="K52" i="26" s="1"/>
  <c r="Q57" i="15"/>
  <c r="T47" i="15"/>
  <c r="Q70" i="15"/>
  <c r="Q34" i="15"/>
  <c r="K53" i="26" s="1"/>
  <c r="Q50" i="15"/>
  <c r="Q33" i="15"/>
  <c r="T72" i="15"/>
  <c r="T35" i="15"/>
  <c r="Q46" i="15"/>
  <c r="T20" i="15"/>
  <c r="Q18" i="15"/>
  <c r="K50" i="26" s="1"/>
  <c r="Q24" i="15"/>
  <c r="T19" i="15"/>
  <c r="T63" i="15"/>
  <c r="T33" i="15"/>
  <c r="T46" i="15"/>
  <c r="T29" i="15"/>
  <c r="J52" i="26" s="1"/>
  <c r="Q21" i="15"/>
  <c r="T42" i="15"/>
  <c r="Q68" i="15"/>
  <c r="M156" i="44"/>
  <c r="M154" i="44"/>
  <c r="C20" i="8"/>
  <c r="C22" i="26" s="1"/>
  <c r="G31" i="37"/>
  <c r="AU2" i="30"/>
  <c r="B4" i="20" s="1"/>
  <c r="AZ11" i="30"/>
  <c r="BA11" i="30" s="1"/>
  <c r="AV4" i="30"/>
  <c r="B62" i="37" s="1"/>
  <c r="L14" i="20"/>
  <c r="M14" i="20" s="1"/>
  <c r="N35" i="15"/>
  <c r="N18" i="15"/>
  <c r="M18" i="46" s="1"/>
  <c r="N18" i="46" s="1"/>
  <c r="U83" i="27" s="1"/>
  <c r="N36" i="15"/>
  <c r="M36" i="46" s="1"/>
  <c r="N36" i="46" s="1"/>
  <c r="U101" i="27" s="1"/>
  <c r="N43" i="15"/>
  <c r="M43" i="46" s="1"/>
  <c r="N43" i="46" s="1"/>
  <c r="U108" i="27" s="1"/>
  <c r="N54" i="15"/>
  <c r="M54" i="46" s="1"/>
  <c r="N54" i="46" s="1"/>
  <c r="U119" i="27" s="1"/>
  <c r="N46" i="15"/>
  <c r="M46" i="46" s="1"/>
  <c r="N46" i="46" s="1"/>
  <c r="U111" i="27" s="1"/>
  <c r="T94" i="27"/>
  <c r="T20" i="27" s="1"/>
  <c r="Q157" i="31" s="1"/>
  <c r="T97" i="27"/>
  <c r="T14" i="27" s="1"/>
  <c r="Q151" i="31" s="1"/>
  <c r="T78" i="27"/>
  <c r="T11" i="27" s="1"/>
  <c r="Q148" i="31" s="1"/>
  <c r="N53" i="15"/>
  <c r="M53" i="46" s="1"/>
  <c r="N53" i="46" s="1"/>
  <c r="U118" i="27" s="1"/>
  <c r="N57" i="15"/>
  <c r="M57" i="46" s="1"/>
  <c r="N57" i="46" s="1"/>
  <c r="U122" i="27" s="1"/>
  <c r="N32" i="15"/>
  <c r="M32" i="46" s="1"/>
  <c r="N32" i="46" s="1"/>
  <c r="U97" i="27" s="1"/>
  <c r="N42" i="15"/>
  <c r="M42" i="46" s="1"/>
  <c r="N42" i="46" s="1"/>
  <c r="U107" i="27" s="1"/>
  <c r="N71" i="15"/>
  <c r="M71" i="46" s="1"/>
  <c r="N71" i="46" s="1"/>
  <c r="U136" i="27" s="1"/>
  <c r="T102" i="27"/>
  <c r="T22" i="27" s="1"/>
  <c r="Q159" i="31" s="1"/>
  <c r="N13" i="15"/>
  <c r="M13" i="46" s="1"/>
  <c r="N13" i="46" s="1"/>
  <c r="U78" i="27" s="1"/>
  <c r="N37" i="15"/>
  <c r="M37" i="46" s="1"/>
  <c r="N37" i="46" s="1"/>
  <c r="U102" i="27" s="1"/>
  <c r="N48" i="15"/>
  <c r="M48" i="46" s="1"/>
  <c r="N48" i="46" s="1"/>
  <c r="U113" i="27" s="1"/>
  <c r="N23" i="15"/>
  <c r="M155" i="36"/>
  <c r="AV6" i="30"/>
  <c r="B64" i="37" s="1"/>
  <c r="AV13" i="30"/>
  <c r="G148" i="37" s="1"/>
  <c r="AV2" i="30"/>
  <c r="A60" i="37" s="1"/>
  <c r="AV3" i="30"/>
  <c r="B61" i="37" s="1"/>
  <c r="AV5" i="30"/>
  <c r="B63" i="37" s="1"/>
  <c r="I56" i="31"/>
  <c r="G172" i="45"/>
  <c r="A29" i="44"/>
  <c r="A30" i="36"/>
  <c r="G30" i="36"/>
  <c r="T100" i="27"/>
  <c r="T34" i="27" s="1"/>
  <c r="Q171" i="31" s="1"/>
  <c r="T79" i="27"/>
  <c r="T15" i="27" s="1"/>
  <c r="Q152" i="31" s="1"/>
  <c r="T84" i="27"/>
  <c r="T9" i="27" s="1"/>
  <c r="Q146" i="31" s="1"/>
  <c r="T109" i="27"/>
  <c r="T40" i="27" s="1"/>
  <c r="Q177" i="31" s="1"/>
  <c r="T117" i="27"/>
  <c r="T42" i="27" s="1"/>
  <c r="Q179" i="31" s="1"/>
  <c r="T95" i="27"/>
  <c r="T25" i="27" s="1"/>
  <c r="Q162" i="31" s="1"/>
  <c r="T112" i="27"/>
  <c r="T37" i="27" s="1"/>
  <c r="Q174" i="31" s="1"/>
  <c r="T129" i="27"/>
  <c r="T60" i="27" s="1"/>
  <c r="Q205" i="31" s="1"/>
  <c r="T123" i="27"/>
  <c r="T51" i="27" s="1"/>
  <c r="Q196" i="31" s="1"/>
  <c r="M153" i="36"/>
  <c r="A189" i="31"/>
  <c r="A97" i="31"/>
  <c r="A241" i="31"/>
  <c r="A303" i="31"/>
  <c r="I303" i="31"/>
  <c r="G142" i="44"/>
  <c r="G167" i="41"/>
  <c r="G108" i="31"/>
  <c r="G225" i="33"/>
  <c r="G215" i="45"/>
  <c r="G30" i="44"/>
  <c r="A30" i="44"/>
  <c r="I56" i="44"/>
  <c r="T77" i="27"/>
  <c r="T8" i="27" s="1"/>
  <c r="Q145" i="31" s="1"/>
  <c r="K177" i="31"/>
  <c r="F12" i="27"/>
  <c r="K128" i="31" s="1"/>
  <c r="F18" i="27"/>
  <c r="K134" i="31" s="1"/>
  <c r="K214" i="31"/>
  <c r="E10" i="27"/>
  <c r="I126" i="31" s="1"/>
  <c r="I168" i="31"/>
  <c r="I150" i="31"/>
  <c r="E8" i="27"/>
  <c r="I124" i="31" s="1"/>
  <c r="M2" i="46"/>
  <c r="B2" i="47"/>
  <c r="L18" i="20"/>
  <c r="M18" i="20" s="1"/>
  <c r="M17" i="20"/>
  <c r="O168" i="37"/>
  <c r="M15" i="20"/>
  <c r="O167" i="37"/>
  <c r="L12" i="20"/>
  <c r="M12" i="20" s="1"/>
  <c r="T92" i="27"/>
  <c r="T13" i="27" s="1"/>
  <c r="Q150" i="31" s="1"/>
  <c r="T99" i="27"/>
  <c r="T31" i="27" s="1"/>
  <c r="I10" i="27" s="1"/>
  <c r="Q126" i="31" s="1"/>
  <c r="N39" i="15"/>
  <c r="M39" i="46" s="1"/>
  <c r="N39" i="46" s="1"/>
  <c r="U104" i="27" s="1"/>
  <c r="N44" i="15"/>
  <c r="M44" i="46" s="1"/>
  <c r="N44" i="46" s="1"/>
  <c r="U109" i="27" s="1"/>
  <c r="N49" i="15"/>
  <c r="M49" i="46" s="1"/>
  <c r="N49" i="46" s="1"/>
  <c r="U114" i="27" s="1"/>
  <c r="T114" i="27"/>
  <c r="T45" i="27" s="1"/>
  <c r="I13" i="27" s="1"/>
  <c r="Q129" i="31" s="1"/>
  <c r="X71" i="15"/>
  <c r="A31" i="31"/>
  <c r="E41" i="34"/>
  <c r="F104" i="36"/>
  <c r="I93" i="44"/>
  <c r="I215" i="44"/>
  <c r="I170" i="44"/>
  <c r="BL11" i="30"/>
  <c r="L107" i="42"/>
  <c r="BL12" i="30"/>
  <c r="BI10" i="30"/>
  <c r="BM11" i="30"/>
  <c r="BN11" i="30" s="1"/>
  <c r="B117" i="33"/>
  <c r="B94" i="45"/>
  <c r="B91" i="41"/>
  <c r="I93" i="36"/>
  <c r="I170" i="36"/>
  <c r="A56" i="31"/>
  <c r="A56" i="44"/>
  <c r="E117" i="44"/>
  <c r="A42" i="39"/>
  <c r="O17" i="6"/>
  <c r="E19" i="6"/>
  <c r="Q17" i="15"/>
  <c r="T105" i="27"/>
  <c r="T39" i="27" s="1"/>
  <c r="Q176" i="31" s="1"/>
  <c r="T89" i="27"/>
  <c r="T27" i="27" s="1"/>
  <c r="Q164" i="31" s="1"/>
  <c r="T52" i="15"/>
  <c r="T101" i="27"/>
  <c r="T38" i="27" s="1"/>
  <c r="Q175" i="31" s="1"/>
  <c r="Q71" i="15"/>
  <c r="Q69" i="15"/>
  <c r="Q30" i="15"/>
  <c r="Q45" i="15"/>
  <c r="T17" i="15"/>
  <c r="Q67" i="15"/>
  <c r="T136" i="27"/>
  <c r="T67" i="27" s="1"/>
  <c r="Q212" i="31" s="1"/>
  <c r="T108" i="27"/>
  <c r="T36" i="27" s="1"/>
  <c r="Q173" i="31" s="1"/>
  <c r="T59" i="15"/>
  <c r="J58" i="26" s="1"/>
  <c r="Q13" i="15"/>
  <c r="Q14" i="15"/>
  <c r="Q51" i="15"/>
  <c r="Q64" i="15"/>
  <c r="K59" i="26" s="1"/>
  <c r="Q73" i="15"/>
  <c r="Q22" i="15"/>
  <c r="T57" i="15"/>
  <c r="T16" i="15"/>
  <c r="Q66" i="15"/>
  <c r="Q27" i="15"/>
  <c r="K51" i="26" s="1"/>
  <c r="Q42" i="15"/>
  <c r="Q53" i="15"/>
  <c r="T51" i="15"/>
  <c r="Q44" i="15"/>
  <c r="K55" i="26" s="1"/>
  <c r="Q26" i="15"/>
  <c r="T126" i="27"/>
  <c r="T62" i="27" s="1"/>
  <c r="Q207" i="31" s="1"/>
  <c r="Q40" i="15"/>
  <c r="T53" i="15"/>
  <c r="T50" i="15"/>
  <c r="T25" i="15"/>
  <c r="Q65" i="15"/>
  <c r="K60" i="26" s="1"/>
  <c r="Q43" i="15"/>
  <c r="Q25" i="15"/>
  <c r="T67" i="15"/>
  <c r="T21" i="15"/>
  <c r="T39" i="15"/>
  <c r="J54" i="26" s="1"/>
  <c r="Q60" i="15"/>
  <c r="Q15" i="15"/>
  <c r="T40" i="15"/>
  <c r="Q59" i="15"/>
  <c r="K58" i="26" s="1"/>
  <c r="Q19" i="15"/>
  <c r="Q172" i="31"/>
  <c r="I11" i="27"/>
  <c r="Q127" i="31" s="1"/>
  <c r="M21" i="46"/>
  <c r="N21" i="46" s="1"/>
  <c r="U86" i="27" s="1"/>
  <c r="W86" i="27"/>
  <c r="N31" i="15"/>
  <c r="T96" i="27"/>
  <c r="T28" i="27" s="1"/>
  <c r="Q165" i="31" s="1"/>
  <c r="T93" i="27"/>
  <c r="T17" i="27" s="1"/>
  <c r="Q154" i="31" s="1"/>
  <c r="N28" i="15"/>
  <c r="N66" i="15"/>
  <c r="T131" i="27"/>
  <c r="T65" i="27" s="1"/>
  <c r="Q210" i="31" s="1"/>
  <c r="T125" i="27"/>
  <c r="T59" i="27" s="1"/>
  <c r="Q204" i="31" s="1"/>
  <c r="M29" i="46"/>
  <c r="N29" i="46" s="1"/>
  <c r="U94" i="27" s="1"/>
  <c r="W94" i="27"/>
  <c r="N15" i="15"/>
  <c r="M30" i="46"/>
  <c r="N30" i="46" s="1"/>
  <c r="U95" i="27" s="1"/>
  <c r="W95" i="27"/>
  <c r="M27" i="46"/>
  <c r="N27" i="46" s="1"/>
  <c r="U92" i="27" s="1"/>
  <c r="W92" i="27"/>
  <c r="M60" i="46"/>
  <c r="N60" i="46" s="1"/>
  <c r="U125" i="27" s="1"/>
  <c r="W125" i="27"/>
  <c r="T103" i="27"/>
  <c r="T32" i="27" s="1"/>
  <c r="Q169" i="31" s="1"/>
  <c r="N38" i="15"/>
  <c r="T135" i="27"/>
  <c r="T66" i="27" s="1"/>
  <c r="Q211" i="31" s="1"/>
  <c r="N70" i="15"/>
  <c r="W84" i="27"/>
  <c r="U9" i="27" s="1"/>
  <c r="S146" i="31" s="1"/>
  <c r="W124" i="27"/>
  <c r="U55" i="27" s="1"/>
  <c r="N62" i="15"/>
  <c r="T127" i="27"/>
  <c r="T52" i="27" s="1"/>
  <c r="Q197" i="31" s="1"/>
  <c r="N65" i="15"/>
  <c r="T130" i="27"/>
  <c r="T63" i="27" s="1"/>
  <c r="X73" i="15"/>
  <c r="N41" i="15"/>
  <c r="T106" i="27"/>
  <c r="T43" i="27" s="1"/>
  <c r="Q180" i="31" s="1"/>
  <c r="M68" i="46"/>
  <c r="N68" i="46" s="1"/>
  <c r="U133" i="27" s="1"/>
  <c r="W133" i="27"/>
  <c r="M58" i="46"/>
  <c r="N58" i="46" s="1"/>
  <c r="U123" i="27" s="1"/>
  <c r="W123" i="27"/>
  <c r="N69" i="15"/>
  <c r="T134" i="27"/>
  <c r="T64" i="27" s="1"/>
  <c r="Q209" i="31" s="1"/>
  <c r="M16" i="46"/>
  <c r="N16" i="46" s="1"/>
  <c r="U81" i="27" s="1"/>
  <c r="W81" i="27"/>
  <c r="N72" i="15"/>
  <c r="X72" i="15"/>
  <c r="T137" i="27"/>
  <c r="T68" i="27" s="1"/>
  <c r="Q213" i="31" s="1"/>
  <c r="W91" i="27"/>
  <c r="U10" i="27" s="1"/>
  <c r="S147" i="31" s="1"/>
  <c r="M40" i="46"/>
  <c r="N40" i="46" s="1"/>
  <c r="U105" i="27" s="1"/>
  <c r="W105" i="27"/>
  <c r="T91" i="27"/>
  <c r="T10" i="27" s="1"/>
  <c r="Q147" i="31" s="1"/>
  <c r="N51" i="15"/>
  <c r="N22" i="15"/>
  <c r="N17" i="15"/>
  <c r="W89" i="27"/>
  <c r="U27" i="27" s="1"/>
  <c r="S164" i="31" s="1"/>
  <c r="B97" i="36"/>
  <c r="M152" i="44"/>
  <c r="E113" i="36"/>
  <c r="U17" i="6"/>
  <c r="I240" i="42"/>
  <c r="I55" i="42"/>
  <c r="I95" i="42"/>
  <c r="I165" i="42"/>
  <c r="I157" i="41"/>
  <c r="G31" i="45"/>
  <c r="G32" i="31"/>
  <c r="N99" i="33"/>
  <c r="N100" i="33" s="1"/>
  <c r="T17" i="6"/>
  <c r="M18" i="6"/>
  <c r="O18" i="6" s="1"/>
  <c r="T11" i="30"/>
  <c r="M30" i="6" s="1"/>
  <c r="T12" i="30"/>
  <c r="A97" i="37"/>
  <c r="A55" i="37"/>
  <c r="A137" i="37"/>
  <c r="A157" i="41"/>
  <c r="E115" i="44"/>
  <c r="B113" i="44"/>
  <c r="O56" i="38"/>
  <c r="C18" i="26"/>
  <c r="N34" i="6"/>
  <c r="I127" i="45" s="1"/>
  <c r="D29" i="6"/>
  <c r="E29" i="6" s="1"/>
  <c r="B13" i="8"/>
  <c r="E15" i="8" s="1"/>
  <c r="R87" i="15"/>
  <c r="N32" i="39"/>
  <c r="AA7" i="15"/>
  <c r="D15" i="6"/>
  <c r="E39" i="6"/>
  <c r="H39" i="6" s="1"/>
  <c r="F42" i="6"/>
  <c r="D42" i="6"/>
  <c r="D39" i="6"/>
  <c r="E42" i="6"/>
  <c r="H42" i="6" s="1"/>
  <c r="N39" i="39"/>
  <c r="N48" i="39"/>
  <c r="N37" i="39"/>
  <c r="B42" i="39"/>
  <c r="D43" i="39" s="1"/>
  <c r="Q4" i="30"/>
  <c r="B62" i="33" s="1"/>
  <c r="Q7" i="30"/>
  <c r="B65" i="33" s="1"/>
  <c r="P2" i="30"/>
  <c r="B100" i="44"/>
  <c r="B77" i="36"/>
  <c r="B77" i="44"/>
  <c r="Q3" i="30"/>
  <c r="Q8" i="30"/>
  <c r="G216" i="45" s="1"/>
  <c r="Q2" i="30"/>
  <c r="A60" i="33" s="1"/>
  <c r="Y8" i="30"/>
  <c r="C37" i="38" s="1"/>
  <c r="L92" i="38" s="1"/>
  <c r="Q5" i="30"/>
  <c r="B63" i="41" s="1"/>
  <c r="Q6" i="30"/>
  <c r="B64" i="41" s="1"/>
  <c r="A126" i="41"/>
  <c r="AY16" i="30"/>
  <c r="O208" i="31"/>
  <c r="H17" i="27"/>
  <c r="O133" i="31" s="1"/>
  <c r="O157" i="31"/>
  <c r="H9" i="27"/>
  <c r="O125" i="31" s="1"/>
  <c r="O172" i="31"/>
  <c r="H11" i="27"/>
  <c r="O127" i="31" s="1"/>
  <c r="O177" i="31"/>
  <c r="H12" i="27"/>
  <c r="O128" i="31" s="1"/>
  <c r="O182" i="31"/>
  <c r="H13" i="27"/>
  <c r="O129" i="31" s="1"/>
  <c r="O195" i="31"/>
  <c r="H14" i="27"/>
  <c r="O130" i="31" s="1"/>
  <c r="O214" i="31"/>
  <c r="H18" i="27"/>
  <c r="O134" i="31" s="1"/>
  <c r="O200" i="31"/>
  <c r="H15" i="27"/>
  <c r="O131" i="31" s="1"/>
  <c r="H16" i="27"/>
  <c r="O132" i="31" s="1"/>
  <c r="O205" i="31"/>
  <c r="A170" i="33"/>
  <c r="A92" i="33"/>
  <c r="A55" i="33"/>
  <c r="I92" i="33"/>
  <c r="A257" i="33"/>
  <c r="A214" i="33"/>
  <c r="A133" i="33"/>
  <c r="G223" i="33"/>
  <c r="I97" i="37"/>
  <c r="I181" i="37"/>
  <c r="I55" i="37"/>
  <c r="I97" i="31"/>
  <c r="I189" i="31"/>
  <c r="I241" i="31"/>
  <c r="A125" i="44"/>
  <c r="A93" i="44"/>
  <c r="D18" i="8"/>
  <c r="G213" i="45"/>
  <c r="K282" i="45" s="1"/>
  <c r="I85" i="45"/>
  <c r="I161" i="45"/>
  <c r="I332" i="45"/>
  <c r="A161" i="45"/>
  <c r="A85" i="45"/>
  <c r="A248" i="45"/>
  <c r="I248" i="45"/>
  <c r="A205" i="45"/>
  <c r="A332" i="45"/>
  <c r="I55" i="45"/>
  <c r="A122" i="45"/>
  <c r="A298" i="45"/>
  <c r="B11" i="8"/>
  <c r="F15" i="8"/>
  <c r="D33" i="8" s="1"/>
  <c r="C10" i="8"/>
  <c r="D30" i="8" s="1"/>
  <c r="D20" i="8"/>
  <c r="C9" i="8"/>
  <c r="E28" i="6"/>
  <c r="A95" i="42"/>
  <c r="A31" i="42"/>
  <c r="A165" i="42"/>
  <c r="A30" i="42"/>
  <c r="A135" i="42"/>
  <c r="A205" i="42"/>
  <c r="A55" i="42"/>
  <c r="I205" i="45"/>
  <c r="N42" i="39"/>
  <c r="BN10" i="30"/>
  <c r="L123" i="42" s="1"/>
  <c r="N35" i="39"/>
  <c r="N50" i="39"/>
  <c r="N46" i="39"/>
  <c r="N40" i="39"/>
  <c r="N49" i="39"/>
  <c r="N44" i="39"/>
  <c r="N43" i="39"/>
  <c r="N38" i="39"/>
  <c r="N45" i="39"/>
  <c r="N47" i="39"/>
  <c r="N34" i="39"/>
  <c r="N41" i="39"/>
  <c r="N36" i="39"/>
  <c r="B6" i="38"/>
  <c r="G99" i="33"/>
  <c r="G121" i="33" s="1"/>
  <c r="G107" i="31"/>
  <c r="U11" i="30"/>
  <c r="V11" i="30" s="1"/>
  <c r="G122" i="33" s="1"/>
  <c r="AF95" i="30"/>
  <c r="AE8" i="30"/>
  <c r="AF9" i="30" s="1"/>
  <c r="BI18" i="30"/>
  <c r="BJ18" i="30" s="1"/>
  <c r="I125" i="36"/>
  <c r="G139" i="44"/>
  <c r="AF3" i="30"/>
  <c r="B85" i="36" s="1"/>
  <c r="A285" i="41"/>
  <c r="A251" i="41"/>
  <c r="A55" i="41"/>
  <c r="A200" i="41"/>
  <c r="M8" i="20"/>
  <c r="G222" i="33"/>
  <c r="G183" i="44"/>
  <c r="R35" i="20"/>
  <c r="R34" i="20"/>
  <c r="R33" i="20"/>
  <c r="D8" i="20"/>
  <c r="P2" i="20"/>
  <c r="T29" i="44"/>
  <c r="T27" i="45"/>
  <c r="D3" i="18"/>
  <c r="T27" i="41"/>
  <c r="T29" i="31"/>
  <c r="D2" i="34"/>
  <c r="T28" i="37"/>
  <c r="P2" i="38"/>
  <c r="T25" i="42"/>
  <c r="R2" i="39"/>
  <c r="G6" i="8"/>
  <c r="G2" i="26"/>
  <c r="P2" i="15"/>
  <c r="D2" i="6"/>
  <c r="T29" i="36"/>
  <c r="A31" i="33"/>
  <c r="A30" i="33"/>
  <c r="F29" i="38"/>
  <c r="E115" i="36"/>
  <c r="B68" i="36"/>
  <c r="B68" i="44"/>
  <c r="R89" i="15"/>
  <c r="I55" i="33"/>
  <c r="BI4" i="30"/>
  <c r="B62" i="42" s="1"/>
  <c r="G142" i="36"/>
  <c r="A30" i="45"/>
  <c r="AY12" i="30"/>
  <c r="I257" i="33"/>
  <c r="A30" i="41"/>
  <c r="M29" i="6"/>
  <c r="G169" i="45"/>
  <c r="R90" i="15"/>
  <c r="A125" i="36"/>
  <c r="A170" i="36"/>
  <c r="I170" i="33"/>
  <c r="I295" i="33"/>
  <c r="BI3" i="30"/>
  <c r="B61" i="42" s="1"/>
  <c r="I135" i="42"/>
  <c r="A215" i="44"/>
  <c r="R88" i="15"/>
  <c r="M8" i="15"/>
  <c r="BI8" i="30"/>
  <c r="G176" i="42" s="1"/>
  <c r="A56" i="36"/>
  <c r="BI7" i="30"/>
  <c r="B65" i="42" s="1"/>
  <c r="BI6" i="30"/>
  <c r="B64" i="42" s="1"/>
  <c r="BH2" i="30"/>
  <c r="BI5" i="30"/>
  <c r="B63" i="42" s="1"/>
  <c r="A31" i="45"/>
  <c r="I133" i="33"/>
  <c r="A31" i="41"/>
  <c r="G189" i="33"/>
  <c r="B65" i="37"/>
  <c r="W98" i="27" l="1"/>
  <c r="U21" i="27" s="1"/>
  <c r="S158" i="31" s="1"/>
  <c r="W79" i="27"/>
  <c r="W90" i="27"/>
  <c r="W138" i="27"/>
  <c r="U69" i="27" s="1"/>
  <c r="J18" i="27" s="1"/>
  <c r="S134" i="31" s="1"/>
  <c r="W126" i="27"/>
  <c r="U62" i="27" s="1"/>
  <c r="S207" i="31" s="1"/>
  <c r="W128" i="27"/>
  <c r="U56" i="27" s="1"/>
  <c r="S201" i="31" s="1"/>
  <c r="A61" i="36"/>
  <c r="W110" i="27"/>
  <c r="U44" i="27" s="1"/>
  <c r="S181" i="31" s="1"/>
  <c r="W120" i="27"/>
  <c r="U54" i="27" s="1"/>
  <c r="S199" i="31" s="1"/>
  <c r="W117" i="27"/>
  <c r="U42" i="27" s="1"/>
  <c r="S179" i="31" s="1"/>
  <c r="W99" i="27"/>
  <c r="U31" i="27" s="1"/>
  <c r="S168" i="31" s="1"/>
  <c r="W77" i="27"/>
  <c r="U8" i="27"/>
  <c r="S145" i="31" s="1"/>
  <c r="U30" i="27"/>
  <c r="S167" i="31" s="1"/>
  <c r="W115" i="27"/>
  <c r="U49" i="27" s="1"/>
  <c r="S194" i="31" s="1"/>
  <c r="I15" i="27"/>
  <c r="Q131" i="31" s="1"/>
  <c r="W132" i="27"/>
  <c r="U57" i="27" s="1"/>
  <c r="S202" i="31" s="1"/>
  <c r="W122" i="27"/>
  <c r="U47" i="27" s="1"/>
  <c r="S184" i="31" s="1"/>
  <c r="W112" i="27"/>
  <c r="W85" i="27"/>
  <c r="U12" i="27" s="1"/>
  <c r="S149" i="31" s="1"/>
  <c r="W129" i="27"/>
  <c r="U60" i="27" s="1"/>
  <c r="S205" i="31" s="1"/>
  <c r="W121" i="27"/>
  <c r="L90" i="38"/>
  <c r="L91" i="38"/>
  <c r="L82" i="38"/>
  <c r="I9" i="27"/>
  <c r="Q125" i="31" s="1"/>
  <c r="U61" i="27"/>
  <c r="S206" i="31" s="1"/>
  <c r="U59" i="27"/>
  <c r="S204" i="31" s="1"/>
  <c r="U51" i="27"/>
  <c r="S196" i="31" s="1"/>
  <c r="U15" i="27"/>
  <c r="S152" i="31" s="1"/>
  <c r="U20" i="27"/>
  <c r="S157" i="31" s="1"/>
  <c r="W97" i="27"/>
  <c r="U14" i="27" s="1"/>
  <c r="S151" i="31" s="1"/>
  <c r="W118" i="27"/>
  <c r="U46" i="27" s="1"/>
  <c r="S183" i="31" s="1"/>
  <c r="U39" i="27"/>
  <c r="S176" i="31" s="1"/>
  <c r="U25" i="27"/>
  <c r="S162" i="31" s="1"/>
  <c r="W101" i="27"/>
  <c r="U38" i="27" s="1"/>
  <c r="S175" i="31" s="1"/>
  <c r="N122" i="33"/>
  <c r="U58" i="27"/>
  <c r="S203" i="31" s="1"/>
  <c r="U16" i="27"/>
  <c r="S153" i="31" s="1"/>
  <c r="U23" i="27"/>
  <c r="S160" i="31" s="1"/>
  <c r="U13" i="27"/>
  <c r="S150" i="31" s="1"/>
  <c r="U37" i="27"/>
  <c r="S174" i="31" s="1"/>
  <c r="W119" i="27"/>
  <c r="U50" i="27" s="1"/>
  <c r="J14" i="27" s="1"/>
  <c r="S130" i="31" s="1"/>
  <c r="W111" i="27"/>
  <c r="U48" i="27" s="1"/>
  <c r="S193" i="31" s="1"/>
  <c r="W136" i="27"/>
  <c r="U67" i="27" s="1"/>
  <c r="S212" i="31" s="1"/>
  <c r="N121" i="33"/>
  <c r="W108" i="27"/>
  <c r="U36" i="27" s="1"/>
  <c r="S173" i="31" s="1"/>
  <c r="I8" i="27"/>
  <c r="Q124" i="31" s="1"/>
  <c r="L124" i="42"/>
  <c r="W113" i="27"/>
  <c r="U41" i="27" s="1"/>
  <c r="S178" i="31" s="1"/>
  <c r="W83" i="27"/>
  <c r="U29" i="27" s="1"/>
  <c r="S166" i="31" s="1"/>
  <c r="I16" i="27"/>
  <c r="Q132" i="31" s="1"/>
  <c r="B24" i="8"/>
  <c r="C24" i="26" s="1"/>
  <c r="W107" i="27"/>
  <c r="U33" i="27" s="1"/>
  <c r="S170" i="31" s="1"/>
  <c r="M23" i="46"/>
  <c r="N23" i="46" s="1"/>
  <c r="U88" i="27" s="1"/>
  <c r="W88" i="27"/>
  <c r="W78" i="27"/>
  <c r="U11" i="27" s="1"/>
  <c r="S148" i="31" s="1"/>
  <c r="W114" i="27"/>
  <c r="U45" i="27" s="1"/>
  <c r="J13" i="27" s="1"/>
  <c r="S129" i="31" s="1"/>
  <c r="W102" i="27"/>
  <c r="U22" i="27" s="1"/>
  <c r="S159" i="31" s="1"/>
  <c r="M35" i="46"/>
  <c r="N35" i="46" s="1"/>
  <c r="U100" i="27" s="1"/>
  <c r="W100" i="27"/>
  <c r="I12" i="27"/>
  <c r="Q128" i="31" s="1"/>
  <c r="N22" i="6"/>
  <c r="Q168" i="31"/>
  <c r="C23" i="26"/>
  <c r="W104" i="27"/>
  <c r="U35" i="27" s="1"/>
  <c r="S172" i="31" s="1"/>
  <c r="W109" i="27"/>
  <c r="U40" i="27" s="1"/>
  <c r="S177" i="31" s="1"/>
  <c r="Q182" i="31"/>
  <c r="F105" i="36"/>
  <c r="H105" i="44"/>
  <c r="H107" i="44" s="1"/>
  <c r="M38" i="46"/>
  <c r="N38" i="46" s="1"/>
  <c r="U103" i="27" s="1"/>
  <c r="W103" i="27"/>
  <c r="I17" i="27"/>
  <c r="Q133" i="31" s="1"/>
  <c r="Q208" i="31"/>
  <c r="M17" i="46"/>
  <c r="N17" i="46" s="1"/>
  <c r="U82" i="27" s="1"/>
  <c r="W82" i="27"/>
  <c r="M62" i="46"/>
  <c r="N62" i="46" s="1"/>
  <c r="U127" i="27" s="1"/>
  <c r="W127" i="27"/>
  <c r="M65" i="46"/>
  <c r="N65" i="46" s="1"/>
  <c r="U130" i="27" s="1"/>
  <c r="W130" i="27"/>
  <c r="M22" i="46"/>
  <c r="N22" i="46" s="1"/>
  <c r="U87" i="27" s="1"/>
  <c r="W87" i="27"/>
  <c r="S200" i="31"/>
  <c r="J15" i="27"/>
  <c r="S131" i="31" s="1"/>
  <c r="M15" i="46"/>
  <c r="N15" i="46" s="1"/>
  <c r="U80" i="27" s="1"/>
  <c r="W80" i="27"/>
  <c r="M51" i="46"/>
  <c r="N51" i="46" s="1"/>
  <c r="U116" i="27" s="1"/>
  <c r="W116" i="27"/>
  <c r="M66" i="46"/>
  <c r="N66" i="46" s="1"/>
  <c r="U131" i="27" s="1"/>
  <c r="W131" i="27"/>
  <c r="M69" i="46"/>
  <c r="N69" i="46" s="1"/>
  <c r="U134" i="27" s="1"/>
  <c r="W134" i="27"/>
  <c r="M31" i="46"/>
  <c r="N31" i="46" s="1"/>
  <c r="U96" i="27" s="1"/>
  <c r="W96" i="27"/>
  <c r="M41" i="46"/>
  <c r="N41" i="46" s="1"/>
  <c r="U106" i="27" s="1"/>
  <c r="W106" i="27"/>
  <c r="M70" i="46"/>
  <c r="N70" i="46" s="1"/>
  <c r="U135" i="27" s="1"/>
  <c r="W135" i="27"/>
  <c r="M28" i="46"/>
  <c r="N28" i="46" s="1"/>
  <c r="U93" i="27" s="1"/>
  <c r="W93" i="27"/>
  <c r="M72" i="46"/>
  <c r="N72" i="46" s="1"/>
  <c r="U137" i="27" s="1"/>
  <c r="W137" i="27"/>
  <c r="C33" i="8"/>
  <c r="C34" i="8" s="1"/>
  <c r="C26" i="26" s="1"/>
  <c r="B23" i="8"/>
  <c r="N43" i="6"/>
  <c r="I122" i="41"/>
  <c r="Q123" i="33"/>
  <c r="N30" i="6"/>
  <c r="O30" i="6" s="1"/>
  <c r="E36" i="6"/>
  <c r="F36" i="6" s="1"/>
  <c r="E16" i="6"/>
  <c r="E43" i="39"/>
  <c r="H43" i="39" s="1"/>
  <c r="B59" i="45"/>
  <c r="B61" i="41"/>
  <c r="B61" i="33"/>
  <c r="B62" i="31"/>
  <c r="F50" i="38" a="1"/>
  <c r="F50" i="38" s="1"/>
  <c r="L77" i="38"/>
  <c r="C49" i="38" a="1"/>
  <c r="C49" i="38" s="1"/>
  <c r="L76" i="38"/>
  <c r="L79" i="38"/>
  <c r="A43" i="38"/>
  <c r="L75" i="38"/>
  <c r="B66" i="31"/>
  <c r="B65" i="41"/>
  <c r="Q9" i="30"/>
  <c r="Q14" i="30" s="1"/>
  <c r="G175" i="41" s="1"/>
  <c r="F47" i="38" a="1"/>
  <c r="F47" i="38" s="1"/>
  <c r="L80" i="38"/>
  <c r="A46" i="38"/>
  <c r="F44" i="38" a="1"/>
  <c r="F44" i="38" s="1"/>
  <c r="B63" i="45"/>
  <c r="C46" i="38" a="1"/>
  <c r="C46" i="38" s="1"/>
  <c r="L73" i="38"/>
  <c r="L84" i="38"/>
  <c r="L72" i="38"/>
  <c r="C43" i="38" a="1"/>
  <c r="C43" i="38" s="1"/>
  <c r="G168" i="41"/>
  <c r="A58" i="45"/>
  <c r="G109" i="31"/>
  <c r="B63" i="31"/>
  <c r="B62" i="41"/>
  <c r="G226" i="33"/>
  <c r="A60" i="41"/>
  <c r="B60" i="45"/>
  <c r="A61" i="31"/>
  <c r="B65" i="31"/>
  <c r="B61" i="45"/>
  <c r="L81" i="38"/>
  <c r="L74" i="38"/>
  <c r="B64" i="31"/>
  <c r="L70" i="38"/>
  <c r="B64" i="33"/>
  <c r="L69" i="38"/>
  <c r="L78" i="38"/>
  <c r="B62" i="45"/>
  <c r="L83" i="38"/>
  <c r="A49" i="38"/>
  <c r="L71" i="38"/>
  <c r="B63" i="33"/>
  <c r="D22" i="26"/>
  <c r="D23" i="26"/>
  <c r="C23" i="8"/>
  <c r="P52" i="39"/>
  <c r="L106" i="42"/>
  <c r="BJ19" i="30"/>
  <c r="BJ20" i="30" s="1"/>
  <c r="BJ21" i="30" s="1"/>
  <c r="BK21" i="30" s="1"/>
  <c r="BJ22" i="30" s="1"/>
  <c r="AF8" i="30"/>
  <c r="AF10" i="30" s="1"/>
  <c r="AF11" i="30" s="1"/>
  <c r="AG11" i="30" s="1"/>
  <c r="AF101" i="30" s="1"/>
  <c r="B85" i="44"/>
  <c r="BI9" i="30"/>
  <c r="P34" i="6"/>
  <c r="O29" i="6"/>
  <c r="U22" i="39"/>
  <c r="S214" i="31" l="1"/>
  <c r="J10" i="27"/>
  <c r="S126" i="31" s="1"/>
  <c r="H280" i="33"/>
  <c r="I9" i="6"/>
  <c r="J16" i="27"/>
  <c r="S132" i="31" s="1"/>
  <c r="J9" i="27"/>
  <c r="S125" i="31" s="1"/>
  <c r="S195" i="31"/>
  <c r="U68" i="27"/>
  <c r="S213" i="31" s="1"/>
  <c r="U28" i="27"/>
  <c r="S165" i="31" s="1"/>
  <c r="U18" i="27"/>
  <c r="S155" i="31" s="1"/>
  <c r="J8" i="27"/>
  <c r="S124" i="31" s="1"/>
  <c r="U32" i="27"/>
  <c r="S169" i="31" s="1"/>
  <c r="U17" i="27"/>
  <c r="S154" i="31" s="1"/>
  <c r="U64" i="27"/>
  <c r="S209" i="31" s="1"/>
  <c r="U52" i="27"/>
  <c r="S197" i="31" s="1"/>
  <c r="U66" i="27"/>
  <c r="S211" i="31" s="1"/>
  <c r="U65" i="27"/>
  <c r="S210" i="31" s="1"/>
  <c r="U19" i="27"/>
  <c r="S156" i="31" s="1"/>
  <c r="U26" i="27"/>
  <c r="S163" i="31" s="1"/>
  <c r="U24" i="27"/>
  <c r="S161" i="31" s="1"/>
  <c r="U43" i="27"/>
  <c r="S180" i="31" s="1"/>
  <c r="U53" i="27"/>
  <c r="S198" i="31" s="1"/>
  <c r="U63" i="27"/>
  <c r="J17" i="27" s="1"/>
  <c r="S133" i="31" s="1"/>
  <c r="U34" i="27"/>
  <c r="S171" i="31" s="1"/>
  <c r="Q13" i="38"/>
  <c r="R16" i="38" s="1"/>
  <c r="I95" i="41"/>
  <c r="J11" i="27"/>
  <c r="S127" i="31" s="1"/>
  <c r="S182" i="31"/>
  <c r="C10" i="26"/>
  <c r="C13" i="26" s="1"/>
  <c r="I98" i="45"/>
  <c r="Q101" i="33"/>
  <c r="N42" i="6"/>
  <c r="H281" i="33" s="1"/>
  <c r="J12" i="27"/>
  <c r="S128" i="31" s="1"/>
  <c r="G233" i="33"/>
  <c r="B78" i="41"/>
  <c r="B79" i="45"/>
  <c r="B81" i="33"/>
  <c r="B82" i="41"/>
  <c r="G223" i="45"/>
  <c r="B83" i="45"/>
  <c r="AF83" i="30"/>
  <c r="AF119" i="30"/>
  <c r="AF53" i="30"/>
  <c r="AF77" i="30"/>
  <c r="AF29" i="30"/>
  <c r="AF107" i="30"/>
  <c r="AF12" i="30"/>
  <c r="AF113" i="30"/>
  <c r="AF47" i="30"/>
  <c r="AF35" i="30"/>
  <c r="AF23" i="30"/>
  <c r="AF89" i="30"/>
  <c r="AF15" i="30"/>
  <c r="B120" i="42" s="1"/>
  <c r="AF59" i="30"/>
  <c r="AF41" i="30"/>
  <c r="P13" i="39"/>
  <c r="P24" i="39"/>
  <c r="P23" i="39"/>
  <c r="P25" i="39"/>
  <c r="P22" i="39"/>
  <c r="U21" i="39"/>
  <c r="U24" i="39"/>
  <c r="P26" i="39"/>
  <c r="U23" i="39"/>
  <c r="P21" i="39"/>
  <c r="U25" i="39"/>
  <c r="U26" i="39"/>
  <c r="M24" i="38"/>
  <c r="M22" i="38"/>
  <c r="M48" i="38"/>
  <c r="M23" i="38"/>
  <c r="M47" i="38"/>
  <c r="J20" i="48" l="1"/>
  <c r="I11" i="6"/>
  <c r="B16" i="48" s="1"/>
  <c r="J16" i="48" s="1"/>
  <c r="S23" i="38"/>
  <c r="T23" i="38" s="1"/>
  <c r="S24" i="38"/>
  <c r="T24" i="38" s="1"/>
  <c r="S22" i="38"/>
  <c r="T22" i="38" s="1"/>
  <c r="O22" i="38"/>
  <c r="R13" i="38"/>
  <c r="O23" i="38"/>
  <c r="O24" i="38"/>
  <c r="R14" i="38"/>
  <c r="K191" i="41" s="1"/>
  <c r="S208" i="31"/>
  <c r="K185" i="41"/>
  <c r="R15" i="38"/>
  <c r="D32" i="38" s="1"/>
  <c r="G34" i="38"/>
  <c r="N23" i="38"/>
  <c r="N24" i="38"/>
  <c r="M49" i="38"/>
  <c r="N22" i="38"/>
  <c r="K233" i="45"/>
  <c r="AF7" i="30"/>
  <c r="B118" i="41" s="1"/>
  <c r="O21" i="39"/>
  <c r="T26" i="39"/>
  <c r="T22" i="39"/>
  <c r="O22" i="39"/>
  <c r="T25" i="39"/>
  <c r="O23" i="39"/>
  <c r="T24" i="39"/>
  <c r="O26" i="39"/>
  <c r="O25" i="39"/>
  <c r="T23" i="39"/>
  <c r="O24" i="39"/>
  <c r="T21" i="39"/>
  <c r="K193" i="41"/>
  <c r="K241" i="45"/>
  <c r="E49" i="38"/>
  <c r="E50" i="38" s="1"/>
  <c r="G50" i="38" s="1"/>
  <c r="C39" i="26" s="1"/>
  <c r="D33" i="38"/>
  <c r="E43" i="38"/>
  <c r="E44" i="38" s="1"/>
  <c r="G44" i="38" s="1"/>
  <c r="C37" i="26" s="1"/>
  <c r="E46" i="38"/>
  <c r="E47" i="38" s="1"/>
  <c r="G47" i="38" s="1"/>
  <c r="C38" i="26" s="1"/>
  <c r="Q23" i="38"/>
  <c r="Q22" i="38"/>
  <c r="Q24" i="38"/>
  <c r="L32" i="38" l="1"/>
  <c r="L30" i="38"/>
  <c r="P24" i="38"/>
  <c r="P23" i="38"/>
  <c r="R40" i="38" s="1"/>
  <c r="P22" i="38"/>
  <c r="R39" i="38" s="1"/>
  <c r="K239" i="45"/>
  <c r="L31" i="38"/>
  <c r="D31" i="38"/>
  <c r="K240" i="45"/>
  <c r="K192" i="41"/>
  <c r="R22" i="38"/>
  <c r="R24" i="38"/>
  <c r="R23" i="38"/>
  <c r="B121" i="45"/>
  <c r="R44" i="38" l="1"/>
  <c r="R43" i="38"/>
  <c r="R42" i="38"/>
  <c r="O33" i="38"/>
  <c r="O36" i="38"/>
  <c r="B288" i="45"/>
  <c r="B241" i="41"/>
  <c r="O32" i="38"/>
  <c r="O39" i="38"/>
  <c r="O31" i="38"/>
  <c r="O29" i="38"/>
  <c r="O40" i="38"/>
  <c r="O34" i="38"/>
  <c r="O30" i="38"/>
  <c r="O41" i="38"/>
  <c r="O38" i="38"/>
  <c r="O37" i="38"/>
  <c r="O35" i="38"/>
  <c r="N55" i="38"/>
  <c r="N58" i="38"/>
  <c r="N56" i="38"/>
  <c r="N57" i="38"/>
  <c r="C33" i="38" l="1"/>
  <c r="F33" i="38" s="1"/>
  <c r="C32" i="38"/>
  <c r="F32" i="38" s="1"/>
  <c r="C31" i="38"/>
  <c r="F31" i="38" s="1"/>
  <c r="H31" i="38" s="1"/>
  <c r="H34" i="38"/>
  <c r="E31" i="38" l="1"/>
  <c r="H33" i="38" l="1"/>
  <c r="E33" i="38"/>
  <c r="H32" i="38"/>
  <c r="E32" i="38"/>
  <c r="F42" i="39"/>
  <c r="F43" i="39" s="1"/>
  <c r="G33" i="39"/>
  <c r="F33" i="3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Chris Oliver</author>
  </authors>
  <commentList>
    <comment ref="J40" authorId="0" shapeId="0" xr:uid="{00000000-0006-0000-0300-000001000000}">
      <text>
        <r>
          <rPr>
            <b/>
            <sz val="9"/>
            <color indexed="81"/>
            <rFont val="Tahoma"/>
            <family val="2"/>
          </rPr>
          <t>Chris Oliver:</t>
        </r>
        <r>
          <rPr>
            <sz val="9"/>
            <color indexed="81"/>
            <rFont val="Tahoma"/>
            <family val="2"/>
          </rPr>
          <t xml:space="preserve">
Must be in pC</t>
        </r>
      </text>
    </comment>
    <comment ref="J41" authorId="0" shapeId="0" xr:uid="{00000000-0006-0000-0300-000002000000}">
      <text>
        <r>
          <rPr>
            <b/>
            <sz val="9"/>
            <color indexed="81"/>
            <rFont val="Tahoma"/>
            <family val="2"/>
          </rPr>
          <t>Chris Oliver:</t>
        </r>
        <r>
          <rPr>
            <sz val="9"/>
            <color indexed="81"/>
            <rFont val="Tahoma"/>
            <family val="2"/>
          </rPr>
          <t xml:space="preserve">
Must be in pC</t>
        </r>
      </text>
    </comment>
    <comment ref="J45" authorId="0" shapeId="0" xr:uid="{C2465118-630D-4FBA-BD31-D76D5C3A238C}">
      <text>
        <r>
          <rPr>
            <b/>
            <sz val="9"/>
            <color indexed="81"/>
            <rFont val="Tahoma"/>
            <family val="2"/>
          </rPr>
          <t>Chris Oliver:</t>
        </r>
        <r>
          <rPr>
            <sz val="9"/>
            <color indexed="81"/>
            <rFont val="Tahoma"/>
            <family val="2"/>
          </rPr>
          <t xml:space="preserve">
Must be in pC</t>
        </r>
      </text>
    </comment>
    <comment ref="J46" authorId="0" shapeId="0" xr:uid="{F0877799-31FC-46B2-8A30-7D6FA31D746C}">
      <text>
        <r>
          <rPr>
            <b/>
            <sz val="9"/>
            <color indexed="81"/>
            <rFont val="Tahoma"/>
            <family val="2"/>
          </rPr>
          <t>Chris Oliver:</t>
        </r>
        <r>
          <rPr>
            <sz val="9"/>
            <color indexed="81"/>
            <rFont val="Tahoma"/>
            <family val="2"/>
          </rPr>
          <t xml:space="preserve">
Must be in pC</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Duncan Butler</author>
  </authors>
  <commentList>
    <comment ref="G5" authorId="0" shapeId="0" xr:uid="{00000000-0006-0000-0800-000001000000}">
      <text>
        <r>
          <rPr>
            <b/>
            <sz val="9"/>
            <color indexed="81"/>
            <rFont val="Tahoma"/>
            <family val="2"/>
          </rPr>
          <t xml:space="preserve">Measurer to set to Yes when the results are ready for the report to be created.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tc={44278979-8856-473F-A339-C824A92035A5}</author>
  </authors>
  <commentList>
    <comment ref="P11" authorId="0" shapeId="0" xr:uid="{00000000-0006-0000-0E00-000001000000}">
      <text>
        <r>
          <rPr>
            <sz val="10"/>
            <rFont val="Arial"/>
            <family val="2"/>
          </rPr>
          <t>[Threaded comment]
Your version of Excel allows you to read this threaded comment; however, any edits to it will get removed if the file is opened in a newer version of Excel. Learn more: https://go.microsoft.com/fwlink/?linkid=870924
Comment:
    Versa values 2021</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<sst xmlns="http://schemas.openxmlformats.org/spreadsheetml/2006/main" count="3793" uniqueCount="1527">
  <si>
    <t>(mGy/nC)</t>
  </si>
  <si>
    <t>QA</t>
  </si>
  <si>
    <t>Client</t>
  </si>
  <si>
    <t>Ratio</t>
  </si>
  <si>
    <t>chamber</t>
  </si>
  <si>
    <t>to</t>
  </si>
  <si>
    <t>Previous</t>
  </si>
  <si>
    <t>mGy/nC</t>
  </si>
  <si>
    <t>calibration</t>
  </si>
  <si>
    <t>Quality Manual ID</t>
  </si>
  <si>
    <t>Software:</t>
  </si>
  <si>
    <t>Package:</t>
  </si>
  <si>
    <t xml:space="preserve">Authors: </t>
  </si>
  <si>
    <t>Authorised by:</t>
  </si>
  <si>
    <t xml:space="preserve">Last modified: </t>
  </si>
  <si>
    <t>IMPORTANT!!!</t>
  </si>
  <si>
    <r>
      <t>Fields in yellow</t>
    </r>
    <r>
      <rPr>
        <sz val="12"/>
        <rFont val="Arial"/>
        <family val="2"/>
      </rPr>
      <t xml:space="preserve"> must be filled out by the operator</t>
    </r>
  </si>
  <si>
    <t>Fields in blue come directly from the Data sheet</t>
  </si>
  <si>
    <t>Fields in green are calculated from information entered into the spreadsheet</t>
  </si>
  <si>
    <t>History</t>
  </si>
  <si>
    <t>Date</t>
  </si>
  <si>
    <t>Author</t>
  </si>
  <si>
    <t>Version</t>
  </si>
  <si>
    <t>Change</t>
  </si>
  <si>
    <t>DJB</t>
  </si>
  <si>
    <t>1-Development</t>
  </si>
  <si>
    <t>Version 1 created from the uncontrolled version</t>
  </si>
  <si>
    <t>Client Chamber</t>
  </si>
  <si>
    <t>Serial Number</t>
  </si>
  <si>
    <t>1. Comparison with ARPANSA QA Chamber</t>
  </si>
  <si>
    <r>
      <t>60</t>
    </r>
    <r>
      <rPr>
        <sz val="10"/>
        <rFont val="Arial"/>
        <family val="2"/>
      </rPr>
      <t>Co air kerma</t>
    </r>
  </si>
  <si>
    <r>
      <t>60</t>
    </r>
    <r>
      <rPr>
        <sz val="10"/>
        <rFont val="Arial"/>
        <family val="2"/>
      </rPr>
      <t>Co absorbed dose to water</t>
    </r>
  </si>
  <si>
    <t>CAL number</t>
  </si>
  <si>
    <t>2. Comparison with Previous Calibration</t>
  </si>
  <si>
    <t>QA chamber serial number</t>
  </si>
  <si>
    <t>Beam ID</t>
  </si>
  <si>
    <t>kVp</t>
  </si>
  <si>
    <t>CF</t>
  </si>
  <si>
    <t>(%)</t>
  </si>
  <si>
    <t>Current</t>
  </si>
  <si>
    <t>Eeff</t>
  </si>
  <si>
    <t>(keV)</t>
  </si>
  <si>
    <r>
      <t>N</t>
    </r>
    <r>
      <rPr>
        <vertAlign val="subscript"/>
        <sz val="10"/>
        <rFont val="Arial"/>
        <family val="2"/>
      </rPr>
      <t>D,w</t>
    </r>
  </si>
  <si>
    <r>
      <t>N</t>
    </r>
    <r>
      <rPr>
        <vertAlign val="subscript"/>
        <sz val="10"/>
        <rFont val="Arial"/>
        <family val="2"/>
      </rPr>
      <t>K</t>
    </r>
  </si>
  <si>
    <t>Diff QA ch</t>
  </si>
  <si>
    <t>Graphs:</t>
  </si>
  <si>
    <t>(R/nC)</t>
  </si>
  <si>
    <t>Average values</t>
  </si>
  <si>
    <t>(mC/kg/nC)</t>
  </si>
  <si>
    <r>
      <t>QA Ratio Checks:</t>
    </r>
    <r>
      <rPr>
        <b/>
        <vertAlign val="superscript"/>
        <sz val="12"/>
        <rFont val="Arial"/>
        <family val="2"/>
      </rPr>
      <t xml:space="preserve"> 60</t>
    </r>
    <r>
      <rPr>
        <b/>
        <sz val="12"/>
        <rFont val="Arial"/>
        <family val="2"/>
      </rPr>
      <t xml:space="preserve">Co and </t>
    </r>
    <r>
      <rPr>
        <b/>
        <vertAlign val="superscript"/>
        <sz val="12"/>
        <rFont val="Arial"/>
        <family val="2"/>
      </rPr>
      <t>137</t>
    </r>
    <r>
      <rPr>
        <b/>
        <sz val="12"/>
        <rFont val="Arial"/>
        <family val="2"/>
      </rPr>
      <t>Cs Air Kerma Therapy Calibration Results</t>
    </r>
  </si>
  <si>
    <r>
      <t>137</t>
    </r>
    <r>
      <rPr>
        <sz val="10"/>
        <rFont val="Arial"/>
        <family val="2"/>
      </rPr>
      <t>Cs air kerma</t>
    </r>
  </si>
  <si>
    <r>
      <t>N</t>
    </r>
    <r>
      <rPr>
        <vertAlign val="subscript"/>
        <sz val="10"/>
        <rFont val="Arial"/>
        <family val="2"/>
      </rPr>
      <t>K,Cs-137</t>
    </r>
  </si>
  <si>
    <r>
      <t>Ratio N</t>
    </r>
    <r>
      <rPr>
        <vertAlign val="subscript"/>
        <sz val="10"/>
        <rFont val="Arial"/>
        <family val="2"/>
      </rPr>
      <t>K,Cs-137</t>
    </r>
    <r>
      <rPr>
        <sz val="10"/>
        <rFont val="Arial"/>
        <family val="2"/>
      </rPr>
      <t>/N</t>
    </r>
    <r>
      <rPr>
        <vertAlign val="subscript"/>
        <sz val="10"/>
        <rFont val="Arial"/>
        <family val="2"/>
      </rPr>
      <t>K</t>
    </r>
  </si>
  <si>
    <t>Electrometer range</t>
  </si>
  <si>
    <t>Electrometer units</t>
  </si>
  <si>
    <t>Electromer cal factor</t>
  </si>
  <si>
    <t>Chamber</t>
  </si>
  <si>
    <t>Known absorbed dose rate</t>
  </si>
  <si>
    <t>Combined calibration coefficient</t>
  </si>
  <si>
    <t>1. Separate measurements</t>
  </si>
  <si>
    <t>2. Combined measurement</t>
  </si>
  <si>
    <t>Dosemeter rate</t>
  </si>
  <si>
    <t>(from charge sensitivity spreadsheet)</t>
  </si>
  <si>
    <t>mGy/s</t>
  </si>
  <si>
    <t>(A)</t>
  </si>
  <si>
    <t>(B)</t>
  </si>
  <si>
    <t>Finished period of development using data from CAL00243 and 246</t>
  </si>
  <si>
    <t>Co/Cs</t>
  </si>
  <si>
    <t>1-Testing</t>
  </si>
  <si>
    <t>Deleted 'Q' sheet. Cosmetic changes.</t>
  </si>
  <si>
    <t>Current calibration</t>
  </si>
  <si>
    <t>Previous calibration</t>
  </si>
  <si>
    <r>
      <t>r</t>
    </r>
    <r>
      <rPr>
        <i/>
        <vertAlign val="subscript"/>
        <sz val="10"/>
        <rFont val="Arial"/>
        <family val="2"/>
      </rPr>
      <t>1</t>
    </r>
  </si>
  <si>
    <r>
      <t>r</t>
    </r>
    <r>
      <rPr>
        <i/>
        <vertAlign val="subscript"/>
        <sz val="10"/>
        <rFont val="Arial"/>
        <family val="2"/>
      </rPr>
      <t>2</t>
    </r>
  </si>
  <si>
    <r>
      <t>r</t>
    </r>
    <r>
      <rPr>
        <i/>
        <vertAlign val="subscript"/>
        <sz val="10"/>
        <rFont val="Arial"/>
        <family val="2"/>
      </rPr>
      <t>1</t>
    </r>
    <r>
      <rPr>
        <i/>
        <sz val="10"/>
        <rFont val="Arial"/>
        <family val="2"/>
      </rPr>
      <t xml:space="preserve"> / r</t>
    </r>
    <r>
      <rPr>
        <i/>
        <vertAlign val="subscript"/>
        <sz val="10"/>
        <rFont val="Arial"/>
        <family val="2"/>
      </rPr>
      <t>2</t>
    </r>
  </si>
  <si>
    <r>
      <t>r</t>
    </r>
    <r>
      <rPr>
        <i/>
        <vertAlign val="subscript"/>
        <sz val="10"/>
        <rFont val="Arial"/>
        <family val="2"/>
      </rPr>
      <t>3</t>
    </r>
  </si>
  <si>
    <r>
      <t>r</t>
    </r>
    <r>
      <rPr>
        <i/>
        <vertAlign val="subscript"/>
        <sz val="10"/>
        <rFont val="Arial"/>
        <family val="2"/>
      </rPr>
      <t>4</t>
    </r>
  </si>
  <si>
    <r>
      <t>r</t>
    </r>
    <r>
      <rPr>
        <i/>
        <vertAlign val="subscript"/>
        <sz val="10"/>
        <rFont val="Arial"/>
        <family val="2"/>
      </rPr>
      <t>3</t>
    </r>
    <r>
      <rPr>
        <i/>
        <sz val="10"/>
        <rFont val="Arial"/>
        <family val="2"/>
      </rPr>
      <t xml:space="preserve"> / r</t>
    </r>
    <r>
      <rPr>
        <i/>
        <vertAlign val="subscript"/>
        <sz val="10"/>
        <rFont val="Arial"/>
        <family val="2"/>
      </rPr>
      <t>4</t>
    </r>
  </si>
  <si>
    <t>Difference (B) - (A) =</t>
  </si>
  <si>
    <t>%          QA Limit (%)</t>
  </si>
  <si>
    <t>Validated and Production version locked off ready to use</t>
  </si>
  <si>
    <t>1-Production</t>
  </si>
  <si>
    <t>2-Development</t>
  </si>
  <si>
    <t>Serial number</t>
  </si>
  <si>
    <t>Set</t>
  </si>
  <si>
    <t>RT1</t>
  </si>
  <si>
    <t>RT2</t>
  </si>
  <si>
    <t>RT3</t>
  </si>
  <si>
    <t>RT4</t>
  </si>
  <si>
    <t>RT5</t>
  </si>
  <si>
    <t>RT6</t>
  </si>
  <si>
    <t>RT7</t>
  </si>
  <si>
    <t>RT8</t>
  </si>
  <si>
    <t>Minor changes to text. Added room for 4 sets of x-ray measurements</t>
  </si>
  <si>
    <t>new - old</t>
  </si>
  <si>
    <t>new - QA</t>
  </si>
  <si>
    <t>Added RT100 sheet for cylindrical chamber</t>
  </si>
  <si>
    <t>Added comparison of combined response with previous</t>
  </si>
  <si>
    <t>Make/Model</t>
  </si>
  <si>
    <t>Serial</t>
  </si>
  <si>
    <t>(from previous calibration report)</t>
  </si>
  <si>
    <t>Previous electromer cal factor</t>
  </si>
  <si>
    <t>Previous calibration number</t>
  </si>
  <si>
    <t>(C)</t>
  </si>
  <si>
    <t>Difference (C) - (A) =</t>
  </si>
  <si>
    <t>Comparison with Previous Combined Calibration Coefficient</t>
  </si>
  <si>
    <t>(from 'Co' sheet)</t>
  </si>
  <si>
    <t>Electrometer</t>
  </si>
  <si>
    <t>Make/model</t>
  </si>
  <si>
    <t>QA Data for Common Chamber Types</t>
  </si>
  <si>
    <t>Updated</t>
  </si>
  <si>
    <t>Value</t>
  </si>
  <si>
    <t>QA limit</t>
  </si>
  <si>
    <r>
      <t>N</t>
    </r>
    <r>
      <rPr>
        <b/>
        <i/>
        <vertAlign val="subscript"/>
        <sz val="10"/>
        <rFont val="Arial"/>
        <family val="2"/>
      </rPr>
      <t>D,w</t>
    </r>
  </si>
  <si>
    <r>
      <t>N</t>
    </r>
    <r>
      <rPr>
        <b/>
        <i/>
        <vertAlign val="subscript"/>
        <sz val="10"/>
        <rFont val="Arial"/>
        <family val="2"/>
      </rPr>
      <t>K</t>
    </r>
  </si>
  <si>
    <r>
      <t xml:space="preserve">Ratio </t>
    </r>
    <r>
      <rPr>
        <b/>
        <i/>
        <sz val="10"/>
        <rFont val="Arial"/>
        <family val="2"/>
      </rPr>
      <t>N</t>
    </r>
    <r>
      <rPr>
        <b/>
        <i/>
        <vertAlign val="subscript"/>
        <sz val="10"/>
        <rFont val="Arial"/>
        <family val="2"/>
      </rPr>
      <t>D,w</t>
    </r>
    <r>
      <rPr>
        <b/>
        <i/>
        <sz val="10"/>
        <rFont val="Arial"/>
        <family val="2"/>
      </rPr>
      <t xml:space="preserve"> / N</t>
    </r>
    <r>
      <rPr>
        <b/>
        <i/>
        <vertAlign val="subscript"/>
        <sz val="10"/>
        <rFont val="Arial"/>
        <family val="2"/>
      </rPr>
      <t>K</t>
    </r>
  </si>
  <si>
    <t>QA data are derived from the history of several chambers</t>
  </si>
  <si>
    <t>Reference</t>
  </si>
  <si>
    <t>(None selected)</t>
  </si>
  <si>
    <t>N</t>
  </si>
  <si>
    <r>
      <t xml:space="preserve">Ratio </t>
    </r>
    <r>
      <rPr>
        <i/>
        <sz val="10"/>
        <rFont val="Arial"/>
        <family val="2"/>
      </rPr>
      <t>N</t>
    </r>
    <r>
      <rPr>
        <i/>
        <vertAlign val="subscript"/>
        <sz val="10"/>
        <rFont val="Arial"/>
        <family val="2"/>
      </rPr>
      <t>D,w</t>
    </r>
    <r>
      <rPr>
        <i/>
        <sz val="10"/>
        <rFont val="Arial"/>
        <family val="2"/>
      </rPr>
      <t>/N</t>
    </r>
    <r>
      <rPr>
        <i/>
        <vertAlign val="subscript"/>
        <sz val="10"/>
        <rFont val="Arial"/>
        <family val="2"/>
      </rPr>
      <t>K</t>
    </r>
  </si>
  <si>
    <t>3. Expected range for chamber type</t>
  </si>
  <si>
    <r>
      <t>60</t>
    </r>
    <r>
      <rPr>
        <b/>
        <sz val="12"/>
        <rFont val="Arial"/>
        <family val="2"/>
      </rPr>
      <t>Co Therapy Calibration Results</t>
    </r>
  </si>
  <si>
    <t>QA Ratio Checks:</t>
  </si>
  <si>
    <t>ARPANSA Sr-90 sources</t>
  </si>
  <si>
    <t>NE2562 sn 24</t>
  </si>
  <si>
    <t>NE</t>
  </si>
  <si>
    <t>NE 2503/3A sn 2658</t>
  </si>
  <si>
    <t>2503/3A</t>
  </si>
  <si>
    <t>Baldwin BIS sn 107</t>
  </si>
  <si>
    <t>Baldwin</t>
  </si>
  <si>
    <t>BIS</t>
  </si>
  <si>
    <t>None</t>
  </si>
  <si>
    <t>Half-life</t>
  </si>
  <si>
    <t>Co-60</t>
  </si>
  <si>
    <t>Cs-137</t>
  </si>
  <si>
    <t>Sr-90</t>
  </si>
  <si>
    <t>(days)</t>
  </si>
  <si>
    <t>Values from Monographie BIPM-5</t>
  </si>
  <si>
    <t>Volume 3: A=3 to 244 (2006)</t>
  </si>
  <si>
    <t>%</t>
  </si>
  <si>
    <t>QA Limit</t>
  </si>
  <si>
    <t>QA Limit for Sr-90 checks (%)</t>
  </si>
  <si>
    <t>Other (specifiy)</t>
  </si>
  <si>
    <t>Units</t>
  </si>
  <si>
    <t>Time (s)</t>
  </si>
  <si>
    <r>
      <t xml:space="preserve">Check of Combined </t>
    </r>
    <r>
      <rPr>
        <b/>
        <vertAlign val="superscript"/>
        <sz val="12"/>
        <rFont val="Arial"/>
        <family val="2"/>
      </rPr>
      <t>60</t>
    </r>
    <r>
      <rPr>
        <b/>
        <sz val="12"/>
        <rFont val="Arial"/>
        <family val="2"/>
      </rPr>
      <t>Co Calibration Factor for Cylindrical Chamber Plus Electrometer</t>
    </r>
  </si>
  <si>
    <t>Number of</t>
  </si>
  <si>
    <t>chambers in</t>
  </si>
  <si>
    <t>history</t>
  </si>
  <si>
    <t>QA limit is derived from CI uncertainty analysis (Spreadsheet U22, in 2007)</t>
  </si>
  <si>
    <t>Ymin</t>
  </si>
  <si>
    <t>Ymax</t>
  </si>
  <si>
    <t>QA limit for repeat measurements in client source (%)</t>
  </si>
  <si>
    <t>(estimate)</t>
  </si>
  <si>
    <t>Added Sr-90 comparison sheet</t>
  </si>
  <si>
    <t>QA chamber</t>
  </si>
  <si>
    <t>2561/2611A</t>
  </si>
  <si>
    <t>RES00428</t>
  </si>
  <si>
    <t>QA limit = 2 * standard deviation</t>
  </si>
  <si>
    <t>Farmer-like</t>
  </si>
  <si>
    <t>Updated QA limits for 4 common chambers</t>
  </si>
  <si>
    <t>Added option to select "Farmer-like" and get generic limits</t>
  </si>
  <si>
    <t>Selected</t>
  </si>
  <si>
    <t>ARPANSA</t>
  </si>
  <si>
    <r>
      <rPr>
        <i/>
        <sz val="10"/>
        <rFont val="Arial"/>
        <family val="2"/>
      </rPr>
      <t>N</t>
    </r>
    <r>
      <rPr>
        <i/>
        <vertAlign val="subscript"/>
        <sz val="10"/>
        <rFont val="Arial"/>
        <family val="2"/>
      </rPr>
      <t>K</t>
    </r>
    <r>
      <rPr>
        <sz val="10"/>
        <rFont val="Arial"/>
        <family val="2"/>
      </rPr>
      <t xml:space="preserve"> (mGy/nC)</t>
    </r>
  </si>
  <si>
    <t>client cal</t>
  </si>
  <si>
    <t>Difference from average (%)</t>
  </si>
  <si>
    <t>limit</t>
  </si>
  <si>
    <t>type</t>
  </si>
  <si>
    <r>
      <rPr>
        <i/>
        <sz val="10"/>
        <rFont val="Arial"/>
        <family val="2"/>
      </rPr>
      <t>N</t>
    </r>
    <r>
      <rPr>
        <i/>
        <vertAlign val="subscript"/>
        <sz val="10"/>
        <rFont val="Arial"/>
        <family val="2"/>
      </rPr>
      <t>D,w</t>
    </r>
    <r>
      <rPr>
        <sz val="10"/>
        <rFont val="Arial"/>
        <family val="2"/>
      </rPr>
      <t xml:space="preserve"> (mGy/nC)</t>
    </r>
  </si>
  <si>
    <r>
      <rPr>
        <i/>
        <sz val="10"/>
        <rFont val="Arial"/>
        <family val="2"/>
      </rPr>
      <t>N</t>
    </r>
    <r>
      <rPr>
        <i/>
        <vertAlign val="subscript"/>
        <sz val="10"/>
        <rFont val="Arial"/>
        <family val="2"/>
      </rPr>
      <t>D,w</t>
    </r>
    <r>
      <rPr>
        <sz val="10"/>
        <rFont val="Arial"/>
        <family val="2"/>
      </rPr>
      <t xml:space="preserve"> / </t>
    </r>
    <r>
      <rPr>
        <i/>
        <sz val="10"/>
        <rFont val="Arial"/>
        <family val="2"/>
      </rPr>
      <t>N</t>
    </r>
    <r>
      <rPr>
        <i/>
        <vertAlign val="subscript"/>
        <sz val="10"/>
        <rFont val="Arial"/>
        <family val="2"/>
      </rPr>
      <t>K</t>
    </r>
  </si>
  <si>
    <t>Quantity</t>
  </si>
  <si>
    <t>average</t>
  </si>
  <si>
    <t>Generic</t>
  </si>
  <si>
    <t>chamber type</t>
  </si>
  <si>
    <t>for</t>
  </si>
  <si>
    <t>frac of</t>
  </si>
  <si>
    <r>
      <t>Previous</t>
    </r>
    <r>
      <rPr>
        <i/>
        <sz val="10"/>
        <rFont val="Arial"/>
        <family val="2"/>
      </rPr>
      <t xml:space="preserve"> N</t>
    </r>
    <r>
      <rPr>
        <i/>
        <vertAlign val="subscript"/>
        <sz val="10"/>
        <rFont val="Arial"/>
        <family val="2"/>
      </rPr>
      <t>D,w</t>
    </r>
  </si>
  <si>
    <t>Made Combined sheet work properly with C/nC electrometer factors</t>
  </si>
  <si>
    <t>2-Production</t>
  </si>
  <si>
    <t>3-Development</t>
  </si>
  <si>
    <t>Cal number</t>
  </si>
  <si>
    <t>Checked</t>
  </si>
  <si>
    <t>Checking page page for teletherapy QA ratio sheet</t>
  </si>
  <si>
    <t>Same as in teletherapy spreadsheet and report?</t>
  </si>
  <si>
    <t>Average</t>
  </si>
  <si>
    <t>This is the average for this chamber type</t>
  </si>
  <si>
    <t>Difference (%)</t>
  </si>
  <si>
    <t>Limit (%)</t>
  </si>
  <si>
    <t>Within limit?</t>
  </si>
  <si>
    <t>Combined factor</t>
  </si>
  <si>
    <t>Combination of separate factors</t>
  </si>
  <si>
    <t>SAVE THIS FILE WITH ALL YELLOW FIELDS COMPLETED AS A RECORD OF CHECKING</t>
  </si>
  <si>
    <t>Previous combined</t>
  </si>
  <si>
    <t>Acceptable? (within 0.3%?)</t>
  </si>
  <si>
    <t>Average/</t>
  </si>
  <si>
    <t>Set2/1</t>
  </si>
  <si>
    <t>Set3/1</t>
  </si>
  <si>
    <t>Set4/1</t>
  </si>
  <si>
    <t>Check the variation against the QA chamber, the previous calibration, and repeat measurements</t>
  </si>
  <si>
    <t>QA ch</t>
  </si>
  <si>
    <t>"</t>
  </si>
  <si>
    <t>Discuss any deviations of more than 0.5% with technical manager</t>
  </si>
  <si>
    <t>(Magnitude of difference, results colour coded)</t>
  </si>
  <si>
    <t>RT100</t>
  </si>
  <si>
    <t>Set 1 - IC CR file name and file correct in RT100 spreadsheet (check original file)</t>
  </si>
  <si>
    <t>Set 1 - MEFAC CR file name and file correct in RT100 spreadsheet (check original file)</t>
  </si>
  <si>
    <t>Discuss any deviations of more than 1% with technical manager</t>
  </si>
  <si>
    <t>(Parallel)</t>
  </si>
  <si>
    <t>Chamber 1</t>
  </si>
  <si>
    <t>Chamber 2</t>
  </si>
  <si>
    <t>Added checking page</t>
  </si>
  <si>
    <t>Product of separate calibration factors for electrometer and chamber =</t>
  </si>
  <si>
    <t>3-Production</t>
  </si>
  <si>
    <t>Validated and Production version locked off ready to use (see WLB-147 p157)</t>
  </si>
  <si>
    <t>NXJ40</t>
  </si>
  <si>
    <t>NXA40</t>
  </si>
  <si>
    <t>NXJ50</t>
  </si>
  <si>
    <t>NXA50</t>
  </si>
  <si>
    <t>NXB50</t>
  </si>
  <si>
    <t>NXJ60</t>
  </si>
  <si>
    <t>NXA60</t>
  </si>
  <si>
    <t>NXJ70</t>
  </si>
  <si>
    <t>NXA70</t>
  </si>
  <si>
    <t>NXB70</t>
  </si>
  <si>
    <t>NXC70</t>
  </si>
  <si>
    <t>NXJ80</t>
  </si>
  <si>
    <t>NXA80</t>
  </si>
  <si>
    <t>NXJ90</t>
  </si>
  <si>
    <t>NXA90</t>
  </si>
  <si>
    <t>NXJ100</t>
  </si>
  <si>
    <t>NXB100</t>
  </si>
  <si>
    <t>NXC100</t>
  </si>
  <si>
    <t>NXD100</t>
  </si>
  <si>
    <t>NXB120</t>
  </si>
  <si>
    <t>NXC120</t>
  </si>
  <si>
    <t>NXD120</t>
  </si>
  <si>
    <t>NXE120</t>
  </si>
  <si>
    <t>NXB140</t>
  </si>
  <si>
    <t>NXC140</t>
  </si>
  <si>
    <t>NXD140</t>
  </si>
  <si>
    <t>NXE140</t>
  </si>
  <si>
    <t>NXF140</t>
  </si>
  <si>
    <t>NXC150</t>
  </si>
  <si>
    <t>NXD150</t>
  </si>
  <si>
    <t>NXE150</t>
  </si>
  <si>
    <t>NXF150</t>
  </si>
  <si>
    <t>NXG150</t>
  </si>
  <si>
    <t>NXD200</t>
  </si>
  <si>
    <t>NXE200</t>
  </si>
  <si>
    <t>NXF200</t>
  </si>
  <si>
    <t>NXG200</t>
  </si>
  <si>
    <t>NXH200</t>
  </si>
  <si>
    <t>NXE250</t>
  </si>
  <si>
    <t>NXF250</t>
  </si>
  <si>
    <t>NXG250</t>
  </si>
  <si>
    <t>NXH250</t>
  </si>
  <si>
    <t>NXI250</t>
  </si>
  <si>
    <t>NXF280</t>
  </si>
  <si>
    <t>NXG280</t>
  </si>
  <si>
    <t>NXH280</t>
  </si>
  <si>
    <t>NXI280</t>
  </si>
  <si>
    <t>NXG300</t>
  </si>
  <si>
    <t>NXH300</t>
  </si>
  <si>
    <t>NXI300</t>
  </si>
  <si>
    <t>NXH320</t>
  </si>
  <si>
    <t>NXI320</t>
  </si>
  <si>
    <t>(Cu)</t>
  </si>
  <si>
    <t>E_eff</t>
  </si>
  <si>
    <t>4-dev</t>
  </si>
  <si>
    <t>Changes to accommodate new Comet MEX beams</t>
  </si>
  <si>
    <t>rate</t>
  </si>
  <si>
    <t>Nominal</t>
  </si>
  <si>
    <t>kerma</t>
  </si>
  <si>
    <t>Comet</t>
  </si>
  <si>
    <t>Set 1 - MEFAC file correct in Comet analysis spreadsheet (check original file)</t>
  </si>
  <si>
    <t>Set 1 - Chamber file correct in Comet analysis spreadsheet (check original file)</t>
  </si>
  <si>
    <t>Beam code</t>
  </si>
  <si>
    <t>Tube voltage</t>
  </si>
  <si>
    <t>Added filter (mm Al)</t>
  </si>
  <si>
    <t>Added filter (mm Cu)</t>
  </si>
  <si>
    <t>Nominal effective energy (keV)</t>
  </si>
  <si>
    <t>Air kerma rate (mGy/s)</t>
  </si>
  <si>
    <t>U (%)</t>
  </si>
  <si>
    <t>Stdev</t>
  </si>
  <si>
    <t>Inherent</t>
  </si>
  <si>
    <t>HVL (mm Al)</t>
  </si>
  <si>
    <t>HVL (mm Cu)</t>
  </si>
  <si>
    <r>
      <rPr>
        <b/>
        <i/>
        <sz val="10"/>
        <rFont val="Arial"/>
        <family val="2"/>
      </rPr>
      <t>N</t>
    </r>
    <r>
      <rPr>
        <b/>
        <vertAlign val="subscript"/>
        <sz val="10"/>
        <rFont val="Arial"/>
        <family val="2"/>
      </rPr>
      <t>K</t>
    </r>
    <r>
      <rPr>
        <b/>
        <sz val="10"/>
        <rFont val="Arial"/>
        <family val="2"/>
      </rPr>
      <t xml:space="preserve"> (mGy/nC)</t>
    </r>
  </si>
  <si>
    <t>Tables and graphs for report</t>
  </si>
  <si>
    <t>Table 2: Sorted by kVp</t>
  </si>
  <si>
    <t>NXH300*</t>
  </si>
  <si>
    <t>NXH280*</t>
  </si>
  <si>
    <t>NXG250*</t>
  </si>
  <si>
    <t>Ratio Cap ON/OFF</t>
  </si>
  <si>
    <t>Table 3: Sorted by beam code</t>
  </si>
  <si>
    <t>Table 1: PTB Beams only</t>
  </si>
  <si>
    <t>New sheet added to generate tables for report (ReportMEX)</t>
  </si>
  <si>
    <r>
      <rPr>
        <b/>
        <i/>
        <sz val="10"/>
        <rFont val="Arial"/>
        <family val="2"/>
      </rPr>
      <t>N</t>
    </r>
    <r>
      <rPr>
        <b/>
        <vertAlign val="subscript"/>
        <sz val="10"/>
        <rFont val="Arial"/>
        <family val="2"/>
      </rPr>
      <t>K</t>
    </r>
    <r>
      <rPr>
        <b/>
        <sz val="10"/>
        <rFont val="Arial"/>
        <family val="2"/>
      </rPr>
      <t xml:space="preserve"> (mGy/nC) [a]</t>
    </r>
  </si>
  <si>
    <t>Nominal effective energy (keV) [b]</t>
  </si>
  <si>
    <t>MEX</t>
  </si>
  <si>
    <t>LEX</t>
  </si>
  <si>
    <t>4-Production</t>
  </si>
  <si>
    <t>Validated and Production version locked off ready to use (see WLB-194 p11)</t>
  </si>
  <si>
    <t>5-dev</t>
  </si>
  <si>
    <t>MEX report created by spreadsheet</t>
  </si>
  <si>
    <t>QA Ratio Checks: MEX Chamber Calibration</t>
  </si>
  <si>
    <t>Selected description</t>
  </si>
  <si>
    <t>Common data</t>
  </si>
  <si>
    <t>Offset:</t>
  </si>
  <si>
    <t>CAL Number</t>
  </si>
  <si>
    <t>Don't include report number eg CAL00001 not CAL00001/03</t>
  </si>
  <si>
    <t>NE 2561</t>
  </si>
  <si>
    <t>NE 2611A</t>
  </si>
  <si>
    <t>Name of client</t>
  </si>
  <si>
    <t>NE 2571</t>
  </si>
  <si>
    <t>Address Line 1</t>
  </si>
  <si>
    <t>Address Line 2</t>
  </si>
  <si>
    <t>PTW 30013</t>
  </si>
  <si>
    <t>Address Line 3</t>
  </si>
  <si>
    <t>IBA FC65-G</t>
  </si>
  <si>
    <t>MEX Report is number</t>
  </si>
  <si>
    <t>Report number eg 3 means report CAL00001/03</t>
  </si>
  <si>
    <t>Chamber description – NE 2571</t>
  </si>
  <si>
    <t>The nominal cavity volume is 0.6 cc (length 24 mm and radius 3.2 mm).</t>
  </si>
  <si>
    <t>Just the number (stored as text)</t>
  </si>
  <si>
    <t>The central electrode is aluminium.</t>
  </si>
  <si>
    <t>Voltage applied to guard electrode</t>
  </si>
  <si>
    <t>Charge collected</t>
  </si>
  <si>
    <t>The chamber is not waterproof.</t>
  </si>
  <si>
    <t>Accessories supplied</t>
  </si>
  <si>
    <t>Reference point</t>
  </si>
  <si>
    <t>Report date</t>
  </si>
  <si>
    <t>Period of tests</t>
  </si>
  <si>
    <t>Chamber description – PTW 30013</t>
  </si>
  <si>
    <t>Who did the measurements</t>
  </si>
  <si>
    <t>Firstname Lastname</t>
  </si>
  <si>
    <t>Who wrote the report</t>
  </si>
  <si>
    <t>Who is going to sign</t>
  </si>
  <si>
    <t>619 Lower Plenty Road,  Yallambie,  Victoria 3085,  Australia</t>
  </si>
  <si>
    <r>
      <t>Tel:</t>
    </r>
    <r>
      <rPr>
        <sz val="10"/>
        <color indexed="8"/>
        <rFont val="Times New Roman"/>
        <family val="1"/>
      </rPr>
      <t xml:space="preserve"> +613 9433 2211    </t>
    </r>
    <r>
      <rPr>
        <b/>
        <sz val="10"/>
        <color indexed="8"/>
        <rFont val="Times New Roman"/>
        <family val="1"/>
      </rPr>
      <t>Fax:</t>
    </r>
    <r>
      <rPr>
        <sz val="10"/>
        <color indexed="8"/>
        <rFont val="Times New Roman"/>
        <family val="1"/>
      </rPr>
      <t xml:space="preserve"> +613 9432 1835</t>
    </r>
  </si>
  <si>
    <t>CALIBRATION REPORT</t>
  </si>
  <si>
    <t>Direct inquiries to</t>
  </si>
  <si>
    <t>Chris Oliver</t>
  </si>
  <si>
    <r>
      <t>Tel:</t>
    </r>
    <r>
      <rPr>
        <sz val="12"/>
        <color indexed="8"/>
        <rFont val="Times New Roman"/>
        <family val="1"/>
      </rPr>
      <t xml:space="preserve"> (03) 9433 2333</t>
    </r>
  </si>
  <si>
    <t>Signed:</t>
  </si>
  <si>
    <t>(Authorised Signatory)</t>
  </si>
  <si>
    <t>Date:</t>
  </si>
  <si>
    <t>per C-M Larsson, CEO of ARPANSA</t>
  </si>
  <si>
    <t>This certificate is consistent with the capabilities that are</t>
  </si>
  <si>
    <t xml:space="preserve"> included in Appendix C of the MRA drawn up by the</t>
  </si>
  <si>
    <t xml:space="preserve"> CIPM. Under the MRA, all participating institutes </t>
  </si>
  <si>
    <t xml:space="preserve"> The results of the tests, calibrations and/or </t>
  </si>
  <si>
    <t xml:space="preserve">recognize the validity of each other’s calibration and </t>
  </si>
  <si>
    <t xml:space="preserve">measurements included in this document are </t>
  </si>
  <si>
    <t>measurement certificates for the quantities, ranges and</t>
  </si>
  <si>
    <t>traceable to Australian/national standards</t>
  </si>
  <si>
    <t xml:space="preserve"> measurement uncertainties specified in Appendix C (for </t>
  </si>
  <si>
    <t>details see www.bipm.org).</t>
  </si>
  <si>
    <t>Checked:</t>
  </si>
  <si>
    <t>GENERAL COMMENTS</t>
  </si>
  <si>
    <t>–</t>
  </si>
  <si>
    <t>Accessories Supplied</t>
  </si>
  <si>
    <t>Preliminary Inspection</t>
  </si>
  <si>
    <t>Calibration Coefficient</t>
  </si>
  <si>
    <t>The Gulmay Comet X-ray generator is constant potential and the X-ray tube has a tungsten target.</t>
  </si>
  <si>
    <t xml:space="preserve">Recombination Correction Measurement </t>
  </si>
  <si>
    <t>Polarity Correction Measurement</t>
  </si>
  <si>
    <t>References</t>
  </si>
  <si>
    <t>[1]</t>
  </si>
  <si>
    <t>[2]</t>
  </si>
  <si>
    <r>
      <t xml:space="preserve">AAPM protocol for 40–300 kV x-ray beam dosimetry in radiotherapy and radiobiology, C.-M. Ma, Chair, C. W. Coffey, L. A. DeWerd, C. Liu, R. Nath, S. M. Seltzer, J. P. Seuntjens, </t>
    </r>
    <r>
      <rPr>
        <i/>
        <sz val="12"/>
        <color indexed="8"/>
        <rFont val="Times New Roman"/>
        <family val="1"/>
      </rPr>
      <t>Med. Phys</t>
    </r>
    <r>
      <rPr>
        <sz val="12"/>
        <color indexed="8"/>
        <rFont val="Times New Roman"/>
        <family val="1"/>
      </rPr>
      <t xml:space="preserve">. </t>
    </r>
    <r>
      <rPr>
        <b/>
        <sz val="12"/>
        <color indexed="8"/>
        <rFont val="Times New Roman"/>
        <family val="1"/>
      </rPr>
      <t>28</t>
    </r>
    <r>
      <rPr>
        <sz val="12"/>
        <color indexed="8"/>
        <rFont val="Times New Roman"/>
        <family val="1"/>
      </rPr>
      <t xml:space="preserve"> (6) 868-893, 2001</t>
    </r>
  </si>
  <si>
    <t>Collected charge polarity</t>
  </si>
  <si>
    <t>Geometry</t>
  </si>
  <si>
    <t>Mark on chamber stem facing the radiation source</t>
  </si>
  <si>
    <t>Chamber stem vertically upwards, cable down</t>
  </si>
  <si>
    <t>Horizontal radiation beam</t>
  </si>
  <si>
    <t xml:space="preserve">Source-detector distance 100 cm </t>
  </si>
  <si>
    <t>Circular beam of diameter 10 cm</t>
  </si>
  <si>
    <t>Build-up</t>
  </si>
  <si>
    <t xml:space="preserve">Build-up cap removed except where stated. Calibrated free in air. </t>
  </si>
  <si>
    <t>Polarity and recombination</t>
  </si>
  <si>
    <t>Corrections not applied</t>
  </si>
  <si>
    <t>Reference conditions</t>
  </si>
  <si>
    <r>
      <t>20</t>
    </r>
    <r>
      <rPr>
        <vertAlign val="superscript"/>
        <sz val="11"/>
        <color indexed="8"/>
        <rFont val="Times New Roman"/>
        <family val="1"/>
      </rPr>
      <t>o</t>
    </r>
    <r>
      <rPr>
        <sz val="11"/>
        <color indexed="8"/>
        <rFont val="Times New Roman"/>
        <family val="1"/>
      </rPr>
      <t>C, 101.325 kPa and 50% humidity</t>
    </r>
  </si>
  <si>
    <t>Measurement date(s)</t>
  </si>
  <si>
    <t>Uncertainties are given at a confidence level of approximately 95% (k=2)</t>
  </si>
  <si>
    <r>
      <rPr>
        <b/>
        <sz val="12"/>
        <color indexed="8"/>
        <rFont val="Times New Roman"/>
        <family val="1"/>
      </rPr>
      <t>Table 1:</t>
    </r>
    <r>
      <rPr>
        <sz val="12"/>
        <color indexed="8"/>
        <rFont val="Times New Roman"/>
        <family val="1"/>
      </rPr>
      <t xml:space="preserve"> Air kerma calibration coefficients</t>
    </r>
  </si>
  <si>
    <t>[1] The energy of a monoenergetic beam with the same HVL in mm of Cu</t>
  </si>
  <si>
    <t>[2] The air kerma calibration coefficient</t>
  </si>
  <si>
    <t>…continued p5</t>
  </si>
  <si>
    <t>Thimble chamber</t>
  </si>
  <si>
    <t>Make and model</t>
  </si>
  <si>
    <r>
      <t>N</t>
    </r>
    <r>
      <rPr>
        <i/>
        <vertAlign val="subscript"/>
        <sz val="10"/>
        <rFont val="Arial"/>
        <family val="2"/>
      </rPr>
      <t>D,w</t>
    </r>
  </si>
  <si>
    <t>Blank</t>
  </si>
  <si>
    <t>Options:</t>
  </si>
  <si>
    <t>Chamber description – IBA FC65-G</t>
  </si>
  <si>
    <t>The chamber is waterproof.</t>
  </si>
  <si>
    <t>Chamber description – NE 2561</t>
  </si>
  <si>
    <t>Chamber description – NE 2611A</t>
  </si>
  <si>
    <t>IBA DOSE 1</t>
  </si>
  <si>
    <t>List of electrometer to choose from (you can add other types in the orange fields)</t>
  </si>
  <si>
    <t>List of thimble chambers to choose from (you can add other types in the orange fields)</t>
  </si>
  <si>
    <t>Make and model eg "PTW 23342"</t>
  </si>
  <si>
    <r>
      <rPr>
        <b/>
        <vertAlign val="superscript"/>
        <sz val="12"/>
        <color indexed="8"/>
        <rFont val="Times New Roman"/>
        <family val="1"/>
      </rPr>
      <t>60</t>
    </r>
    <r>
      <rPr>
        <b/>
        <sz val="12"/>
        <color indexed="8"/>
        <rFont val="Times New Roman"/>
        <family val="1"/>
      </rPr>
      <t>Co GAMMA RAYS</t>
    </r>
  </si>
  <si>
    <t>Calibration Coefficients for Medium-Energy X-ray (MEX) Qualities in Air</t>
  </si>
  <si>
    <t>Calibration Coefficient for Cobalt-60 Gamma Radiation in Water</t>
  </si>
  <si>
    <t>Not waterproof (in sleeve)</t>
  </si>
  <si>
    <t>Waterproof</t>
  </si>
  <si>
    <t>Waterproof:</t>
  </si>
  <si>
    <t>Calibration Coefficient for Cobalt-60 Gamma Radiation in Air</t>
  </si>
  <si>
    <r>
      <t xml:space="preserve">The calibration coefficient for the chamber for gamma rays in air from the ARPANSA </t>
    </r>
    <r>
      <rPr>
        <vertAlign val="superscript"/>
        <sz val="12"/>
        <rFont val="Times New Roman"/>
        <family val="1"/>
      </rPr>
      <t>60</t>
    </r>
    <r>
      <rPr>
        <sz val="12"/>
        <rFont val="Times New Roman"/>
        <family val="1"/>
      </rPr>
      <t xml:space="preserve">Co teletherapy source was derived from a comparison with the air kerma rate from the teletherapy source, as determined by the ARPANSA Carbon Cavity Chamber which is the Australian primary standard for </t>
    </r>
    <r>
      <rPr>
        <vertAlign val="superscript"/>
        <sz val="12"/>
        <rFont val="Times New Roman"/>
        <family val="1"/>
      </rPr>
      <t>60</t>
    </r>
    <r>
      <rPr>
        <sz val="12"/>
        <rFont val="Times New Roman"/>
        <family val="1"/>
      </rPr>
      <t>Co gamma rays.</t>
    </r>
  </si>
  <si>
    <t>Chamber bias</t>
  </si>
  <si>
    <t>Voltage applied to the guard electrode at ARPANSA</t>
  </si>
  <si>
    <t>Polarity</t>
  </si>
  <si>
    <t>Absorbed dose to water rate =</t>
  </si>
  <si>
    <r>
      <rPr>
        <b/>
        <sz val="12"/>
        <color indexed="8"/>
        <rFont val="Times New Roman"/>
        <family val="1"/>
      </rPr>
      <t>Table 1:</t>
    </r>
    <r>
      <rPr>
        <sz val="12"/>
        <color indexed="8"/>
        <rFont val="Times New Roman"/>
        <family val="1"/>
      </rPr>
      <t xml:space="preserve"> Recombination correction in</t>
    </r>
    <r>
      <rPr>
        <vertAlign val="superscript"/>
        <sz val="12"/>
        <color indexed="8"/>
        <rFont val="Times New Roman"/>
        <family val="1"/>
      </rPr>
      <t xml:space="preserve"> 60</t>
    </r>
    <r>
      <rPr>
        <sz val="12"/>
        <color indexed="8"/>
        <rFont val="Times New Roman"/>
        <family val="1"/>
      </rPr>
      <t>Co</t>
    </r>
  </si>
  <si>
    <t>The formula used to obtain the correction was</t>
  </si>
  <si>
    <r>
      <t>Operating voltage,</t>
    </r>
    <r>
      <rPr>
        <i/>
        <sz val="12"/>
        <rFont val="Times New Roman"/>
        <family val="1"/>
      </rPr>
      <t xml:space="preserve"> V</t>
    </r>
    <r>
      <rPr>
        <i/>
        <vertAlign val="subscript"/>
        <sz val="12"/>
        <rFont val="Times New Roman"/>
        <family val="1"/>
      </rPr>
      <t>1</t>
    </r>
  </si>
  <si>
    <r>
      <t xml:space="preserve">Reduced voltage, </t>
    </r>
    <r>
      <rPr>
        <i/>
        <sz val="12"/>
        <rFont val="Times New Roman"/>
        <family val="1"/>
      </rPr>
      <t>V</t>
    </r>
    <r>
      <rPr>
        <i/>
        <vertAlign val="subscript"/>
        <sz val="12"/>
        <rFont val="Times New Roman"/>
        <family val="1"/>
      </rPr>
      <t>2</t>
    </r>
  </si>
  <si>
    <r>
      <rPr>
        <i/>
        <sz val="12"/>
        <rFont val="Times New Roman"/>
        <family val="1"/>
      </rPr>
      <t>I</t>
    </r>
    <r>
      <rPr>
        <i/>
        <vertAlign val="subscript"/>
        <sz val="12"/>
        <rFont val="Times New Roman"/>
        <family val="1"/>
      </rPr>
      <t>1</t>
    </r>
    <r>
      <rPr>
        <sz val="12"/>
        <rFont val="Times New Roman"/>
        <family val="1"/>
      </rPr>
      <t>=</t>
    </r>
  </si>
  <si>
    <r>
      <rPr>
        <i/>
        <sz val="12"/>
        <rFont val="Times New Roman"/>
        <family val="1"/>
      </rPr>
      <t>I</t>
    </r>
    <r>
      <rPr>
        <i/>
        <vertAlign val="subscript"/>
        <sz val="12"/>
        <rFont val="Times New Roman"/>
        <family val="1"/>
      </rPr>
      <t>2</t>
    </r>
    <r>
      <rPr>
        <sz val="12"/>
        <rFont val="Times New Roman"/>
        <family val="1"/>
      </rPr>
      <t>=</t>
    </r>
  </si>
  <si>
    <r>
      <t xml:space="preserve">The recombination correction has </t>
    </r>
    <r>
      <rPr>
        <b/>
        <i/>
        <sz val="12"/>
        <rFont val="Times New Roman"/>
        <family val="1"/>
      </rPr>
      <t>not</t>
    </r>
    <r>
      <rPr>
        <sz val="12"/>
        <rFont val="Times New Roman"/>
        <family val="1"/>
      </rPr>
      <t xml:space="preserve"> been applied to the calibration coefficients presented in this report. The use of this factor as per TRS-398[1] is shown in Appendix 1.</t>
    </r>
  </si>
  <si>
    <r>
      <t xml:space="preserve">A dose measurement made at one polarity can be corrected to the average of the dose measurements made at opposite polarities using the polarity correction </t>
    </r>
    <r>
      <rPr>
        <i/>
        <sz val="12"/>
        <rFont val="Times New Roman"/>
        <family val="1"/>
      </rPr>
      <t>k</t>
    </r>
    <r>
      <rPr>
        <vertAlign val="subscript"/>
        <sz val="12"/>
        <rFont val="Times New Roman"/>
        <family val="1"/>
      </rPr>
      <t>pol,Co-60</t>
    </r>
    <r>
      <rPr>
        <vertAlign val="superscript"/>
        <sz val="12"/>
        <rFont val="Times New Roman"/>
        <family val="1"/>
      </rPr>
      <t xml:space="preserve"> </t>
    </r>
    <r>
      <rPr>
        <sz val="12"/>
        <rFont val="Times New Roman"/>
        <family val="1"/>
      </rPr>
      <t>[1], where</t>
    </r>
  </si>
  <si>
    <r>
      <t xml:space="preserve">The polarity correction has </t>
    </r>
    <r>
      <rPr>
        <b/>
        <i/>
        <sz val="12"/>
        <rFont val="Times New Roman"/>
        <family val="1"/>
      </rPr>
      <t>not</t>
    </r>
    <r>
      <rPr>
        <sz val="12"/>
        <rFont val="Times New Roman"/>
        <family val="1"/>
      </rPr>
      <t xml:space="preserve"> been applied to the calibration coefficients presented in this report. The use of this factor as per TRS-398[1] is shown in Appendix 1.</t>
    </r>
  </si>
  <si>
    <r>
      <rPr>
        <i/>
        <sz val="12"/>
        <rFont val="Times New Roman"/>
        <family val="1"/>
      </rPr>
      <t>I</t>
    </r>
    <r>
      <rPr>
        <i/>
        <vertAlign val="subscript"/>
        <sz val="12"/>
        <rFont val="Times New Roman"/>
        <family val="1"/>
      </rPr>
      <t>+</t>
    </r>
    <r>
      <rPr>
        <sz val="12"/>
        <rFont val="Times New Roman"/>
        <family val="1"/>
      </rPr>
      <t>=</t>
    </r>
  </si>
  <si>
    <r>
      <rPr>
        <i/>
        <sz val="12"/>
        <rFont val="Times New Roman"/>
        <family val="1"/>
      </rPr>
      <t>I-</t>
    </r>
    <r>
      <rPr>
        <sz val="12"/>
        <rFont val="Times New Roman"/>
        <family val="1"/>
      </rPr>
      <t>=</t>
    </r>
  </si>
  <si>
    <r>
      <t xml:space="preserve">Recombination correction at </t>
    </r>
    <r>
      <rPr>
        <vertAlign val="superscript"/>
        <sz val="12"/>
        <rFont val="Times New Roman"/>
        <family val="1"/>
      </rPr>
      <t>60</t>
    </r>
    <r>
      <rPr>
        <sz val="12"/>
        <rFont val="Times New Roman"/>
        <family val="1"/>
      </rPr>
      <t xml:space="preserve">Co, </t>
    </r>
    <r>
      <rPr>
        <i/>
        <sz val="12"/>
        <rFont val="Times New Roman"/>
        <family val="1"/>
      </rPr>
      <t>k</t>
    </r>
    <r>
      <rPr>
        <vertAlign val="subscript"/>
        <sz val="12"/>
        <rFont val="Times New Roman"/>
        <family val="1"/>
      </rPr>
      <t>s,Co-60</t>
    </r>
    <r>
      <rPr>
        <sz val="12"/>
        <rFont val="Times New Roman"/>
        <family val="1"/>
      </rPr>
      <t xml:space="preserve"> =</t>
    </r>
  </si>
  <si>
    <r>
      <t xml:space="preserve">Polarity correction at </t>
    </r>
    <r>
      <rPr>
        <vertAlign val="superscript"/>
        <sz val="12"/>
        <rFont val="Times New Roman"/>
        <family val="1"/>
      </rPr>
      <t>60</t>
    </r>
    <r>
      <rPr>
        <sz val="12"/>
        <rFont val="Times New Roman"/>
        <family val="1"/>
      </rPr>
      <t xml:space="preserve">Co, </t>
    </r>
    <r>
      <rPr>
        <i/>
        <sz val="12"/>
        <rFont val="Times New Roman"/>
        <family val="1"/>
      </rPr>
      <t>k</t>
    </r>
    <r>
      <rPr>
        <vertAlign val="subscript"/>
        <sz val="12"/>
        <rFont val="Times New Roman"/>
        <family val="1"/>
      </rPr>
      <t>pol,Co-60</t>
    </r>
    <r>
      <rPr>
        <sz val="12"/>
        <rFont val="Times New Roman"/>
        <family val="1"/>
      </rPr>
      <t xml:space="preserve"> =</t>
    </r>
  </si>
  <si>
    <t>Reduced voltage for recombination</t>
  </si>
  <si>
    <t>CEP</t>
  </si>
  <si>
    <t>Polarity:</t>
  </si>
  <si>
    <t>Opposite polarity</t>
  </si>
  <si>
    <t>Reduced</t>
  </si>
  <si>
    <t>string</t>
  </si>
  <si>
    <r>
      <rPr>
        <b/>
        <sz val="12"/>
        <rFont val="Times New Roman"/>
        <family val="1"/>
      </rPr>
      <t>Table 2:</t>
    </r>
    <r>
      <rPr>
        <sz val="12"/>
        <rFont val="Times New Roman"/>
        <family val="1"/>
      </rPr>
      <t xml:space="preserve"> Polarity correction in </t>
    </r>
    <r>
      <rPr>
        <vertAlign val="superscript"/>
        <sz val="12"/>
        <rFont val="Times New Roman"/>
        <family val="1"/>
      </rPr>
      <t>60</t>
    </r>
    <r>
      <rPr>
        <sz val="12"/>
        <rFont val="Times New Roman"/>
        <family val="1"/>
      </rPr>
      <t>Co</t>
    </r>
  </si>
  <si>
    <r>
      <t xml:space="preserve">Absorbed Dose to Water Calibration Certificate - </t>
    </r>
    <r>
      <rPr>
        <b/>
        <u/>
        <vertAlign val="superscript"/>
        <sz val="14"/>
        <color indexed="8"/>
        <rFont val="Times New Roman"/>
        <family val="1"/>
      </rPr>
      <t>60</t>
    </r>
    <r>
      <rPr>
        <b/>
        <u/>
        <sz val="14"/>
        <color indexed="8"/>
        <rFont val="Times New Roman"/>
        <family val="1"/>
      </rPr>
      <t>Co gamma-rays</t>
    </r>
  </si>
  <si>
    <t>Co-60 geometry</t>
  </si>
  <si>
    <t>Water phantom</t>
  </si>
  <si>
    <t>Square field 10 cm x 10 cm</t>
  </si>
  <si>
    <t>Source-surface distance 100 cm, depth 5 cm</t>
  </si>
  <si>
    <r>
      <t>Opposite voltage, -</t>
    </r>
    <r>
      <rPr>
        <i/>
        <sz val="12"/>
        <rFont val="Times New Roman"/>
        <family val="1"/>
      </rPr>
      <t>V</t>
    </r>
    <r>
      <rPr>
        <i/>
        <vertAlign val="subscript"/>
        <sz val="12"/>
        <rFont val="Times New Roman"/>
        <family val="1"/>
      </rPr>
      <t>1</t>
    </r>
  </si>
  <si>
    <t>Convention</t>
  </si>
  <si>
    <t>UK</t>
  </si>
  <si>
    <t>US</t>
  </si>
  <si>
    <t>Comments</t>
  </si>
  <si>
    <t>Polarity convention</t>
  </si>
  <si>
    <t>=</t>
  </si>
  <si>
    <t>Chamber polarity</t>
  </si>
  <si>
    <t>Chamber bias mag</t>
  </si>
  <si>
    <t>String</t>
  </si>
  <si>
    <t>CEN</t>
  </si>
  <si>
    <t>on a therapy electrometer</t>
  </si>
  <si>
    <t>Co-60 report is number</t>
  </si>
  <si>
    <t>Electrometer report is number</t>
  </si>
  <si>
    <t>"CEP" or "CEN"</t>
  </si>
  <si>
    <t>Standard Imaging MAX 4000 Plus</t>
  </si>
  <si>
    <t>Make and model eg "PTW UNIDOS Webline" - select from list</t>
  </si>
  <si>
    <r>
      <t>Electrometer Charge Calibration Certificate</t>
    </r>
    <r>
      <rPr>
        <b/>
        <u/>
        <vertAlign val="superscript"/>
        <sz val="14"/>
        <color indexed="8"/>
        <rFont val="Times New Roman"/>
        <family val="1"/>
      </rPr>
      <t/>
    </r>
  </si>
  <si>
    <t>LEX Report is number</t>
  </si>
  <si>
    <t>Thimble</t>
  </si>
  <si>
    <t>Thin-window</t>
  </si>
  <si>
    <t>Electron</t>
  </si>
  <si>
    <t>Air kerma Calibration Certificate - Low-Energy X-rays</t>
  </si>
  <si>
    <t>[1] The energy of a monoenergetic beam with the same HVL in mm of Al</t>
  </si>
  <si>
    <t>NA</t>
  </si>
  <si>
    <t>PTW 23342</t>
  </si>
  <si>
    <t>PTW 23344</t>
  </si>
  <si>
    <t>Chamber description – PTW 23344</t>
  </si>
  <si>
    <t>Chamber description – PTW 23342</t>
  </si>
  <si>
    <t>The centre of the front window, level with the front face.</t>
  </si>
  <si>
    <t>The electrometer had no obvious damage or faults on receipt.</t>
  </si>
  <si>
    <t>Dessicant</t>
  </si>
  <si>
    <t>Polarising Voltage</t>
  </si>
  <si>
    <t>Leakage checks</t>
  </si>
  <si>
    <t>Dose measurements</t>
  </si>
  <si>
    <r>
      <t>D</t>
    </r>
    <r>
      <rPr>
        <i/>
        <vertAlign val="subscript"/>
        <sz val="12"/>
        <color indexed="8"/>
        <rFont val="Times New Roman"/>
        <family val="1"/>
      </rPr>
      <t>w</t>
    </r>
  </si>
  <si>
    <t>Notes</t>
  </si>
  <si>
    <t>1.</t>
  </si>
  <si>
    <t>Power source</t>
  </si>
  <si>
    <t>Electrometer settings</t>
  </si>
  <si>
    <t>[1] Internal timer: The source is on continuously and a charge measurement is started manually and terminated automatically by the electrometer timer</t>
  </si>
  <si>
    <t>Range</t>
  </si>
  <si>
    <t>Timer</t>
  </si>
  <si>
    <r>
      <rPr>
        <b/>
        <sz val="12"/>
        <color indexed="8"/>
        <rFont val="Times New Roman"/>
        <family val="1"/>
      </rPr>
      <t>Table 2:</t>
    </r>
    <r>
      <rPr>
        <sz val="12"/>
        <color indexed="8"/>
        <rFont val="Times New Roman"/>
        <family val="1"/>
      </rPr>
      <t xml:space="preserve"> Electrometer calibration factors</t>
    </r>
  </si>
  <si>
    <r>
      <rPr>
        <b/>
        <sz val="12"/>
        <color indexed="8"/>
        <rFont val="Times New Roman"/>
        <family val="1"/>
      </rPr>
      <t>Table 1:</t>
    </r>
    <r>
      <rPr>
        <sz val="12"/>
        <color indexed="8"/>
        <rFont val="Times New Roman"/>
        <family val="1"/>
      </rPr>
      <t xml:space="preserve"> Leakage checks</t>
    </r>
  </si>
  <si>
    <t>Setup</t>
  </si>
  <si>
    <t>Without chamber attached</t>
  </si>
  <si>
    <t>With chamber attached</t>
  </si>
  <si>
    <t>Settings</t>
  </si>
  <si>
    <t>Time                              s</t>
  </si>
  <si>
    <t>Charge collected      pC</t>
  </si>
  <si>
    <t>Average leakage current, fA</t>
  </si>
  <si>
    <t>Cal factor</t>
  </si>
  <si>
    <t>Format ND,w=</t>
  </si>
  <si>
    <t>Formatted</t>
  </si>
  <si>
    <t>LOW-ENERGY KILOVOLTAGE X-RAYS</t>
  </si>
  <si>
    <t>MEDIUM-ENERGY KILOVOLTAGE X-RAYS</t>
  </si>
  <si>
    <t>Set by polarity of guard electrode</t>
  </si>
  <si>
    <t>Must be same sign as above</t>
  </si>
  <si>
    <t>Don't do for LEX</t>
  </si>
  <si>
    <t>on guard…</t>
  </si>
  <si>
    <t>Voltage applied to outer electrode</t>
  </si>
  <si>
    <t xml:space="preserve">Source-detector distance 30 cm </t>
  </si>
  <si>
    <t>Circular beam of diameter 5 cm</t>
  </si>
  <si>
    <t xml:space="preserve">Protective cap removed. Calibrated free in air. </t>
  </si>
  <si>
    <t>Ref point</t>
  </si>
  <si>
    <t>The nominal cavity volume is 0.2 cm^3.</t>
  </si>
  <si>
    <t>The nominal cavity volume is 0.02 cm^3.</t>
  </si>
  <si>
    <t>The nominal cavity volume is 0.65 cc (length 23.1 mm and radius 3.1 mm).</t>
  </si>
  <si>
    <t>The nominal cavity volume is 0.6 cc (length 23 mm and radius 3.1 mm).</t>
  </si>
  <si>
    <t>Sensitivity volume: diameter 3 mm, depth 1 mm.</t>
  </si>
  <si>
    <t>Sensitivity volume: diameter 13 mm, depth 1.5 mm.</t>
  </si>
  <si>
    <t>The front window is polyethylene of thickness 2.76 mg/cm^2 (0.03 mm approx).</t>
  </si>
  <si>
    <t>Calibration Coefficients for Low-Energy X-ray (LEX) Qualities in Air</t>
  </si>
  <si>
    <t>The chamber is plane-parallel with a thin window for low-energy X-ray dosimetry.</t>
  </si>
  <si>
    <t>The calibration coefficients for the chamber for each X-ray beam quality from the RT100 X-ray generator were determined by comparison with the ARPANSA Low Energy Free-Air Chamber, which is the Australian primary standard for low energy X-rays.</t>
  </si>
  <si>
    <t>RT100 X-ray Generator</t>
  </si>
  <si>
    <t>The generator is an approximately constant-potential tungsten target X-ray therapy system. The tube has a window of 1.2 mm thick beryllium, and the system is used with a monitor chamber (placed after the filter) which contributes another 2 mm of beryllium.</t>
  </si>
  <si>
    <t>Use of Additional Build-up Sheets</t>
  </si>
  <si>
    <t xml:space="preserve">Additional buildup was not applied at ARPANSA. Applicator cones were not used with the RT100 system in the calibration. </t>
  </si>
  <si>
    <t>Above 50 kV, several dosimetry protocols recommend the use of additional buildup to ensure that electrons produced by applicator cones do not enter the chamber’s active volume.</t>
  </si>
  <si>
    <t>QA Ratio Checks: RT100 Chamber Calibration LEX</t>
  </si>
  <si>
    <t>U</t>
  </si>
  <si>
    <t>k=2</t>
  </si>
  <si>
    <t>Page 1 of 4</t>
  </si>
  <si>
    <t>Page 2 of 4</t>
  </si>
  <si>
    <t>Page 3 of 4</t>
  </si>
  <si>
    <t>Page 4 of 4</t>
  </si>
  <si>
    <t>Q (pC)</t>
  </si>
  <si>
    <t>I (fA)</t>
  </si>
  <si>
    <t>Radiation source</t>
  </si>
  <si>
    <r>
      <rPr>
        <vertAlign val="superscript"/>
        <sz val="11"/>
        <color indexed="8"/>
        <rFont val="Times New Roman"/>
        <family val="1"/>
      </rPr>
      <t>60</t>
    </r>
    <r>
      <rPr>
        <sz val="11"/>
        <color indexed="8"/>
        <rFont val="Times New Roman"/>
        <family val="1"/>
      </rPr>
      <t>Co</t>
    </r>
  </si>
  <si>
    <t>Central</t>
  </si>
  <si>
    <t>electrode</t>
  </si>
  <si>
    <r>
      <t>I</t>
    </r>
    <r>
      <rPr>
        <vertAlign val="subscript"/>
        <sz val="10"/>
        <rFont val="Arial"/>
        <family val="2"/>
      </rPr>
      <t>BLB</t>
    </r>
  </si>
  <si>
    <r>
      <t>I</t>
    </r>
    <r>
      <rPr>
        <vertAlign val="subscript"/>
        <sz val="10"/>
        <rFont val="Arial"/>
        <family val="2"/>
      </rPr>
      <t>ref</t>
    </r>
  </si>
  <si>
    <r>
      <t>I</t>
    </r>
    <r>
      <rPr>
        <vertAlign val="subscript"/>
        <sz val="10"/>
        <rFont val="Arial"/>
        <family val="2"/>
      </rPr>
      <t>net</t>
    </r>
  </si>
  <si>
    <r>
      <t>V</t>
    </r>
    <r>
      <rPr>
        <vertAlign val="subscript"/>
        <sz val="10"/>
        <rFont val="Arial"/>
        <family val="2"/>
      </rPr>
      <t>1</t>
    </r>
    <r>
      <rPr>
        <sz val="10"/>
        <rFont val="Arial"/>
        <family val="2"/>
      </rPr>
      <t>/V</t>
    </r>
    <r>
      <rPr>
        <vertAlign val="subscript"/>
        <sz val="10"/>
        <rFont val="Arial"/>
        <family val="2"/>
      </rPr>
      <t>2</t>
    </r>
  </si>
  <si>
    <r>
      <t>I</t>
    </r>
    <r>
      <rPr>
        <vertAlign val="subscript"/>
        <sz val="10"/>
        <rFont val="Arial"/>
        <family val="2"/>
      </rPr>
      <t>1</t>
    </r>
    <r>
      <rPr>
        <sz val="10"/>
        <rFont val="Arial"/>
        <family val="2"/>
      </rPr>
      <t>/I</t>
    </r>
    <r>
      <rPr>
        <vertAlign val="subscript"/>
        <sz val="10"/>
        <rFont val="Arial"/>
        <family val="2"/>
      </rPr>
      <t>2</t>
    </r>
  </si>
  <si>
    <t>polarity</t>
  </si>
  <si>
    <t>(V)</t>
  </si>
  <si>
    <t>(pA)</t>
  </si>
  <si>
    <t>Operating voltage (1)</t>
  </si>
  <si>
    <t>Reduced voltage (2)</t>
  </si>
  <si>
    <r>
      <t>k</t>
    </r>
    <r>
      <rPr>
        <vertAlign val="subscript"/>
        <sz val="10"/>
        <rFont val="Arial"/>
        <family val="2"/>
      </rPr>
      <t>s</t>
    </r>
    <r>
      <rPr>
        <sz val="10"/>
        <rFont val="Arial"/>
        <family val="2"/>
      </rPr>
      <t xml:space="preserve"> = [ (V</t>
    </r>
    <r>
      <rPr>
        <vertAlign val="subscript"/>
        <sz val="10"/>
        <rFont val="Arial"/>
        <family val="2"/>
      </rPr>
      <t>1</t>
    </r>
    <r>
      <rPr>
        <sz val="10"/>
        <rFont val="Arial"/>
        <family val="2"/>
      </rPr>
      <t>/V</t>
    </r>
    <r>
      <rPr>
        <vertAlign val="subscript"/>
        <sz val="10"/>
        <rFont val="Arial"/>
        <family val="2"/>
      </rPr>
      <t>2</t>
    </r>
    <r>
      <rPr>
        <sz val="10"/>
        <rFont val="Arial"/>
        <family val="2"/>
      </rPr>
      <t>)</t>
    </r>
    <r>
      <rPr>
        <vertAlign val="superscript"/>
        <sz val="10"/>
        <rFont val="Arial"/>
        <family val="2"/>
      </rPr>
      <t>2</t>
    </r>
    <r>
      <rPr>
        <sz val="10"/>
        <rFont val="Arial"/>
        <family val="2"/>
      </rPr>
      <t xml:space="preserve"> - 1 ] / [ (V</t>
    </r>
    <r>
      <rPr>
        <vertAlign val="subscript"/>
        <sz val="10"/>
        <rFont val="Arial"/>
        <family val="2"/>
      </rPr>
      <t>1</t>
    </r>
    <r>
      <rPr>
        <sz val="10"/>
        <rFont val="Arial"/>
        <family val="2"/>
      </rPr>
      <t>/V</t>
    </r>
    <r>
      <rPr>
        <vertAlign val="subscript"/>
        <sz val="10"/>
        <rFont val="Arial"/>
        <family val="2"/>
      </rPr>
      <t>2</t>
    </r>
    <r>
      <rPr>
        <sz val="10"/>
        <rFont val="Arial"/>
        <family val="2"/>
      </rPr>
      <t>)</t>
    </r>
    <r>
      <rPr>
        <vertAlign val="superscript"/>
        <sz val="10"/>
        <rFont val="Arial"/>
        <family val="2"/>
      </rPr>
      <t>2</t>
    </r>
    <r>
      <rPr>
        <sz val="10"/>
        <rFont val="Arial"/>
        <family val="2"/>
      </rPr>
      <t xml:space="preserve"> - (I</t>
    </r>
    <r>
      <rPr>
        <vertAlign val="subscript"/>
        <sz val="10"/>
        <rFont val="Arial"/>
        <family val="2"/>
      </rPr>
      <t>1</t>
    </r>
    <r>
      <rPr>
        <sz val="10"/>
        <rFont val="Arial"/>
        <family val="2"/>
      </rPr>
      <t>/I</t>
    </r>
    <r>
      <rPr>
        <vertAlign val="subscript"/>
        <sz val="10"/>
        <rFont val="Arial"/>
        <family val="2"/>
      </rPr>
      <t>2</t>
    </r>
    <r>
      <rPr>
        <sz val="10"/>
        <rFont val="Arial"/>
        <family val="2"/>
      </rPr>
      <t>) ] (formula for continuous radiation - see TRS-398 Eq 4.8)</t>
    </r>
  </si>
  <si>
    <r>
      <t>k</t>
    </r>
    <r>
      <rPr>
        <b/>
        <vertAlign val="subscript"/>
        <sz val="10"/>
        <rFont val="Arial"/>
        <family val="2"/>
      </rPr>
      <t>s</t>
    </r>
    <r>
      <rPr>
        <b/>
        <sz val="10"/>
        <rFont val="Arial"/>
        <family val="2"/>
      </rPr>
      <t xml:space="preserve"> =</t>
    </r>
  </si>
  <si>
    <t>Opposite voltage (2)</t>
  </si>
  <si>
    <r>
      <t>k</t>
    </r>
    <r>
      <rPr>
        <vertAlign val="subscript"/>
        <sz val="10"/>
        <rFont val="Arial"/>
        <family val="2"/>
      </rPr>
      <t>pol</t>
    </r>
    <r>
      <rPr>
        <sz val="10"/>
        <rFont val="Arial"/>
        <family val="2"/>
      </rPr>
      <t xml:space="preserve"> = [ Abs(I</t>
    </r>
    <r>
      <rPr>
        <vertAlign val="subscript"/>
        <sz val="10"/>
        <rFont val="Arial"/>
        <family val="2"/>
      </rPr>
      <t>1)</t>
    </r>
    <r>
      <rPr>
        <sz val="10"/>
        <rFont val="Arial"/>
        <family val="2"/>
      </rPr>
      <t xml:space="preserve"> + Abs(I</t>
    </r>
    <r>
      <rPr>
        <vertAlign val="subscript"/>
        <sz val="10"/>
        <rFont val="Arial"/>
        <family val="2"/>
      </rPr>
      <t>2</t>
    </r>
    <r>
      <rPr>
        <sz val="10"/>
        <rFont val="Arial"/>
        <family val="2"/>
      </rPr>
      <t>)</t>
    </r>
    <r>
      <rPr>
        <sz val="10"/>
        <rFont val="Arial"/>
        <family val="2"/>
      </rPr>
      <t xml:space="preserve"> ] / [ 2 * Abs(I</t>
    </r>
    <r>
      <rPr>
        <vertAlign val="subscript"/>
        <sz val="10"/>
        <rFont val="Arial"/>
        <family val="2"/>
      </rPr>
      <t>1</t>
    </r>
    <r>
      <rPr>
        <sz val="10"/>
        <rFont val="Arial"/>
        <family val="2"/>
      </rPr>
      <t>) ]</t>
    </r>
  </si>
  <si>
    <r>
      <t>k</t>
    </r>
    <r>
      <rPr>
        <b/>
        <vertAlign val="subscript"/>
        <sz val="10"/>
        <rFont val="Arial"/>
        <family val="2"/>
      </rPr>
      <t>pol</t>
    </r>
    <r>
      <rPr>
        <b/>
        <sz val="10"/>
        <rFont val="Arial"/>
        <family val="2"/>
      </rPr>
      <t xml:space="preserve"> =</t>
    </r>
  </si>
  <si>
    <t>webline</t>
  </si>
  <si>
    <t>setting</t>
  </si>
  <si>
    <t>Voltage</t>
  </si>
  <si>
    <t>on guard</t>
  </si>
  <si>
    <t>Absorbed dose to water rate</t>
  </si>
  <si>
    <t>(from k_sp sheet)</t>
  </si>
  <si>
    <t>Use of the ARPANSA absorbed dose to water calibration coefficient with TRS-398[1]</t>
  </si>
  <si>
    <t>Appendix 1</t>
  </si>
  <si>
    <r>
      <t>To use this calibration coefficient to determine absorbed dose to water with the chamber under reference conditions according to the IAEA TRS-398 protocol</t>
    </r>
    <r>
      <rPr>
        <vertAlign val="superscript"/>
        <sz val="12"/>
        <rFont val="Times New Roman"/>
        <family val="1"/>
      </rPr>
      <t>(1)</t>
    </r>
    <r>
      <rPr>
        <sz val="12"/>
        <rFont val="Times New Roman"/>
        <family val="1"/>
      </rPr>
      <t xml:space="preserve"> for high energy photons:</t>
    </r>
  </si>
  <si>
    <t>where</t>
  </si>
  <si>
    <r>
      <rPr>
        <i/>
        <sz val="12"/>
        <rFont val="Times New Roman"/>
        <family val="1"/>
      </rPr>
      <t>D</t>
    </r>
    <r>
      <rPr>
        <i/>
        <vertAlign val="subscript"/>
        <sz val="12"/>
        <rFont val="Times New Roman"/>
        <family val="1"/>
      </rPr>
      <t>w,Q</t>
    </r>
    <r>
      <rPr>
        <sz val="12"/>
        <rFont val="Times New Roman"/>
        <family val="1"/>
      </rPr>
      <t>(</t>
    </r>
    <r>
      <rPr>
        <i/>
        <sz val="12"/>
        <rFont val="Times New Roman"/>
        <family val="1"/>
      </rPr>
      <t>z</t>
    </r>
    <r>
      <rPr>
        <vertAlign val="subscript"/>
        <sz val="12"/>
        <rFont val="Times New Roman"/>
        <family val="1"/>
      </rPr>
      <t>ref</t>
    </r>
    <r>
      <rPr>
        <sz val="12"/>
        <rFont val="Times New Roman"/>
        <family val="1"/>
      </rPr>
      <t>)</t>
    </r>
  </si>
  <si>
    <t>is the absorbed dose to water in the linear accelerator photon beam at the reference depth, in the absence of the chamber;</t>
  </si>
  <si>
    <t>denotes the user’s linear accelerator photon beam quality;</t>
  </si>
  <si>
    <t>Q</t>
  </si>
  <si>
    <r>
      <rPr>
        <i/>
        <sz val="12"/>
        <rFont val="Times New Roman"/>
        <family val="1"/>
      </rPr>
      <t>z</t>
    </r>
    <r>
      <rPr>
        <vertAlign val="subscript"/>
        <sz val="12"/>
        <rFont val="Times New Roman"/>
        <family val="1"/>
      </rPr>
      <t>ref</t>
    </r>
  </si>
  <si>
    <t>is the reference depth (usually 10 cm) at which the centre of the chamber is placed and the absorbed dose in the absence of the chamber is determined;</t>
  </si>
  <si>
    <r>
      <t>is the reading on the electrometer, corrected for temperature and pressure to 20</t>
    </r>
    <r>
      <rPr>
        <vertAlign val="superscript"/>
        <sz val="12"/>
        <rFont val="Times New Roman"/>
        <family val="1"/>
      </rPr>
      <t>o</t>
    </r>
    <r>
      <rPr>
        <sz val="12"/>
        <rFont val="Times New Roman"/>
        <family val="1"/>
      </rPr>
      <t>C (293.15 K) and 101.325 kPa;</t>
    </r>
  </si>
  <si>
    <r>
      <rPr>
        <i/>
        <sz val="12"/>
        <rFont val="Times New Roman"/>
        <family val="1"/>
      </rPr>
      <t>M</t>
    </r>
    <r>
      <rPr>
        <i/>
        <vertAlign val="subscript"/>
        <sz val="12"/>
        <rFont val="Times New Roman"/>
        <family val="1"/>
      </rPr>
      <t>Q</t>
    </r>
  </si>
  <si>
    <r>
      <t xml:space="preserve">is the calibration coefficient at </t>
    </r>
    <r>
      <rPr>
        <vertAlign val="superscript"/>
        <sz val="12"/>
        <rFont val="Times New Roman"/>
        <family val="1"/>
      </rPr>
      <t>60</t>
    </r>
    <r>
      <rPr>
        <sz val="12"/>
        <rFont val="Times New Roman"/>
        <family val="1"/>
      </rPr>
      <t xml:space="preserve">Co, corrected for the effects of recombination and polarity at </t>
    </r>
    <r>
      <rPr>
        <vertAlign val="superscript"/>
        <sz val="12"/>
        <rFont val="Times New Roman"/>
        <family val="1"/>
      </rPr>
      <t>60</t>
    </r>
    <r>
      <rPr>
        <sz val="12"/>
        <rFont val="Times New Roman"/>
        <family val="1"/>
      </rPr>
      <t>Co (i.e. the average of the absolute value of the calibration coefficients obtained at opposite polarising voltages, when all the charge released in the chamber cavity is collected);</t>
    </r>
  </si>
  <si>
    <r>
      <t>k</t>
    </r>
    <r>
      <rPr>
        <vertAlign val="subscript"/>
        <sz val="12"/>
        <rFont val="Times New Roman"/>
        <family val="1"/>
      </rPr>
      <t>elec</t>
    </r>
  </si>
  <si>
    <r>
      <t>k</t>
    </r>
    <r>
      <rPr>
        <i/>
        <vertAlign val="subscript"/>
        <sz val="12"/>
        <rFont val="Times New Roman"/>
        <family val="1"/>
      </rPr>
      <t>Q</t>
    </r>
  </si>
  <si>
    <r>
      <t>k</t>
    </r>
    <r>
      <rPr>
        <vertAlign val="subscript"/>
        <sz val="12"/>
        <rFont val="Times New Roman"/>
        <family val="1"/>
      </rPr>
      <t>s,</t>
    </r>
    <r>
      <rPr>
        <i/>
        <vertAlign val="subscript"/>
        <sz val="12"/>
        <rFont val="Times New Roman"/>
        <family val="1"/>
      </rPr>
      <t>Q</t>
    </r>
  </si>
  <si>
    <r>
      <t>k</t>
    </r>
    <r>
      <rPr>
        <vertAlign val="subscript"/>
        <sz val="12"/>
        <rFont val="Times New Roman"/>
        <family val="1"/>
      </rPr>
      <t>pol,</t>
    </r>
    <r>
      <rPr>
        <i/>
        <vertAlign val="subscript"/>
        <sz val="12"/>
        <rFont val="Times New Roman"/>
        <family val="1"/>
      </rPr>
      <t>Q</t>
    </r>
  </si>
  <si>
    <t>Page 6 of 6</t>
  </si>
  <si>
    <t>is the calibration factor or coefficient of the electrometer;</t>
  </si>
  <si>
    <r>
      <t xml:space="preserve">is the polarity correction in the user beam </t>
    </r>
    <r>
      <rPr>
        <i/>
        <sz val="12"/>
        <rFont val="Times New Roman"/>
        <family val="1"/>
      </rPr>
      <t>Q</t>
    </r>
    <r>
      <rPr>
        <sz val="12"/>
        <rFont val="Times New Roman"/>
        <family val="1"/>
      </rPr>
      <t>, as determined by the user from measurements made at opposite voltages as described in TRS-398.</t>
    </r>
  </si>
  <si>
    <r>
      <t xml:space="preserve">is the recombination correction in the user beam </t>
    </r>
    <r>
      <rPr>
        <i/>
        <sz val="12"/>
        <rFont val="Times New Roman"/>
        <family val="1"/>
      </rPr>
      <t>Q</t>
    </r>
    <r>
      <rPr>
        <sz val="12"/>
        <rFont val="Times New Roman"/>
        <family val="1"/>
      </rPr>
      <t>, as determined by the user from the two voltage method as described in TRS-398;</t>
    </r>
  </si>
  <si>
    <r>
      <t xml:space="preserve">The calibration coefficient after correcting for the effects of recombination and polarity at </t>
    </r>
    <r>
      <rPr>
        <vertAlign val="superscript"/>
        <sz val="12"/>
        <rFont val="Times New Roman"/>
        <family val="1"/>
      </rPr>
      <t>60</t>
    </r>
    <r>
      <rPr>
        <sz val="12"/>
        <rFont val="Times New Roman"/>
        <family val="1"/>
      </rPr>
      <t>Co is</t>
    </r>
  </si>
  <si>
    <r>
      <t>k</t>
    </r>
    <r>
      <rPr>
        <vertAlign val="subscript"/>
        <sz val="12"/>
        <rFont val="Times New Roman"/>
        <family val="1"/>
      </rPr>
      <t>s,Co-60</t>
    </r>
  </si>
  <si>
    <r>
      <t>k</t>
    </r>
    <r>
      <rPr>
        <vertAlign val="subscript"/>
        <sz val="12"/>
        <rFont val="Times New Roman"/>
        <family val="1"/>
      </rPr>
      <t>pol,Co-60</t>
    </r>
    <r>
      <rPr>
        <sz val="12"/>
        <rFont val="Times New Roman"/>
        <family val="1"/>
      </rPr>
      <t xml:space="preserve"> </t>
    </r>
  </si>
  <si>
    <r>
      <t xml:space="preserve">is the correction for recombination at </t>
    </r>
    <r>
      <rPr>
        <vertAlign val="superscript"/>
        <sz val="12"/>
        <rFont val="Times New Roman"/>
        <family val="1"/>
      </rPr>
      <t>60</t>
    </r>
    <r>
      <rPr>
        <sz val="12"/>
        <rFont val="Times New Roman"/>
        <family val="1"/>
      </rPr>
      <t>Co given in Table 1, and</t>
    </r>
  </si>
  <si>
    <r>
      <t xml:space="preserve">is the correction for polarity effect at </t>
    </r>
    <r>
      <rPr>
        <vertAlign val="superscript"/>
        <sz val="12"/>
        <rFont val="Times New Roman"/>
        <family val="1"/>
      </rPr>
      <t>60</t>
    </r>
    <r>
      <rPr>
        <sz val="12"/>
        <rFont val="Times New Roman"/>
        <family val="1"/>
      </rPr>
      <t>Co given in Table 2.</t>
    </r>
  </si>
  <si>
    <t>Page 5 of 6</t>
  </si>
  <si>
    <t>Page 4 of 6</t>
  </si>
  <si>
    <t>Page 3 of 6</t>
  </si>
  <si>
    <t>Page 2 of 6</t>
  </si>
  <si>
    <t>Page 1 of 6</t>
  </si>
  <si>
    <t>Net current             pA</t>
  </si>
  <si>
    <t>Traceability</t>
  </si>
  <si>
    <t>The current from the chamber was then used to deliver a known charge to the electrometer, and the calibration factor is the ratio of the known charge to the charge shown on the electrometer.</t>
  </si>
  <si>
    <t>Critical settings which affect the calibration factor</t>
  </si>
  <si>
    <t>Electrometer calibration summary</t>
  </si>
  <si>
    <t>Dessicant colour</t>
  </si>
  <si>
    <t>Blue</t>
  </si>
  <si>
    <t>The colour, or if it doesn't have a dessicator "Not applicable"</t>
  </si>
  <si>
    <t>Current(s) used</t>
  </si>
  <si>
    <t>See Table 2</t>
  </si>
  <si>
    <t>White</t>
  </si>
  <si>
    <t>Pink</t>
  </si>
  <si>
    <t>Green</t>
  </si>
  <si>
    <t>Not applicable</t>
  </si>
  <si>
    <t>Orange</t>
  </si>
  <si>
    <t>Dessiccant</t>
  </si>
  <si>
    <r>
      <t xml:space="preserve">The electrometer amplifier is </t>
    </r>
    <r>
      <rPr>
        <i/>
        <sz val="12"/>
        <color indexed="8"/>
        <rFont val="Times New Roman"/>
        <family val="1"/>
      </rPr>
      <t>floating,</t>
    </r>
    <r>
      <rPr>
        <sz val="12"/>
        <color indexed="8"/>
        <rFont val="Times New Roman"/>
        <family val="1"/>
      </rPr>
      <t xml:space="preserve"> which means the outer electrode of a connected ionisation chamber is at ground potential and the guard electrode and collector are at the bias voltage.</t>
    </r>
  </si>
  <si>
    <t>Measurement of Polarising Voltage</t>
  </si>
  <si>
    <r>
      <t>The polarizing voltage was measured with the chamber attached using an 11 G</t>
    </r>
    <r>
      <rPr>
        <sz val="12"/>
        <rFont val="Symbol"/>
        <family val="1"/>
        <charset val="2"/>
      </rPr>
      <t>W</t>
    </r>
    <r>
      <rPr>
        <sz val="12"/>
        <rFont val="Times New Roman"/>
        <family val="1"/>
      </rPr>
      <t xml:space="preserve"> resistor in series with a digital voltmeter to provide a displayed voltage which is proportional to the polarizing voltage, but with an impedance that did not interfere with the electrometer. The electrometer was replaced with a calibrated voltage source which was adjusted until the reading on the voltmeter was the same as the reading when the electrometer was in place. </t>
    </r>
  </si>
  <si>
    <t>Polarising voltage measurement</t>
  </si>
  <si>
    <t>Voltage on calibrator</t>
  </si>
  <si>
    <t>Electrometer polarity</t>
  </si>
  <si>
    <t>(actual - this should match the chamber polarity!)</t>
  </si>
  <si>
    <t>Note: This is the order that it will appear in the report…and the last 4 lines, if blank, will not appear</t>
  </si>
  <si>
    <t>The current used in the calibration is traceable to Australian standards of voltage and resistance. Measurements of charge combine the current with measurements of time, which are traceable to the Australian standard for time.</t>
  </si>
  <si>
    <t>Corrections for influence quantities such as temperature and pressure, if present, were disabled.</t>
  </si>
  <si>
    <t>Beam          code</t>
  </si>
  <si>
    <t>"Not previously calibrated at ARPANSA" or give reference eg "April 2010 (ARPANSA reference...)"</t>
  </si>
  <si>
    <t>Changed average energy to Cu effective energy in MEX</t>
  </si>
  <si>
    <t>ST1</t>
  </si>
  <si>
    <t>ST2</t>
  </si>
  <si>
    <t>ST3</t>
  </si>
  <si>
    <t>ST4</t>
  </si>
  <si>
    <t>ST5</t>
  </si>
  <si>
    <t>ST6</t>
  </si>
  <si>
    <t>ST7</t>
  </si>
  <si>
    <t>ST8</t>
  </si>
  <si>
    <t>ST9</t>
  </si>
  <si>
    <t>ST10</t>
  </si>
  <si>
    <t>ST11</t>
  </si>
  <si>
    <t>ST12</t>
  </si>
  <si>
    <t>ST13</t>
  </si>
  <si>
    <t>ST14</t>
  </si>
  <si>
    <t>ST15</t>
  </si>
  <si>
    <t>ST16</t>
  </si>
  <si>
    <t>ST17</t>
  </si>
  <si>
    <t>ST17*</t>
  </si>
  <si>
    <t>Al</t>
  </si>
  <si>
    <t>Cu</t>
  </si>
  <si>
    <t>Tucker</t>
  </si>
  <si>
    <t>HVL</t>
  </si>
  <si>
    <t>mm Al</t>
  </si>
  <si>
    <t>mm Cu</t>
  </si>
  <si>
    <t>NK</t>
  </si>
  <si>
    <t>Seifert ST beams</t>
  </si>
  <si>
    <t>Scanditronix-Wellhofer DOSE 1</t>
  </si>
  <si>
    <t>Measured voltage on guard electrode</t>
  </si>
  <si>
    <t>Include the sign, but not the V. Remember the Webline +V setting applies -V to the guard.</t>
  </si>
  <si>
    <t>Tester = Author?</t>
  </si>
  <si>
    <t>Chamber description – 2571</t>
  </si>
  <si>
    <t>In reply please quote:</t>
  </si>
  <si>
    <t/>
  </si>
  <si>
    <t>1. Repeated client chamber measurements - ks and kp corrected</t>
  </si>
  <si>
    <r>
      <t>N</t>
    </r>
    <r>
      <rPr>
        <vertAlign val="subscript"/>
        <sz val="10"/>
        <color indexed="8"/>
        <rFont val="Arial"/>
        <family val="2"/>
      </rPr>
      <t>D,w,Q</t>
    </r>
  </si>
  <si>
    <t>5. Calibration coefficients in ARPANSA MV photon beams (all ks and kp corrected)</t>
  </si>
  <si>
    <t>Dw</t>
  </si>
  <si>
    <t>Beam Quality</t>
  </si>
  <si>
    <t>ND,w,Q</t>
  </si>
  <si>
    <t>Exp kQ</t>
  </si>
  <si>
    <t>(mGy/MU)</t>
  </si>
  <si>
    <t>% Diff</t>
  </si>
  <si>
    <t>MV</t>
  </si>
  <si>
    <t>TPR20,10</t>
  </si>
  <si>
    <t>6X</t>
  </si>
  <si>
    <t>10X</t>
  </si>
  <si>
    <t>18X</t>
  </si>
  <si>
    <t>6. Interpolated calibration coefficients in client MV photon beams based on data in Table 5</t>
  </si>
  <si>
    <t>Muir MC kQ</t>
  </si>
  <si>
    <t>TRS-398 kQ</t>
  </si>
  <si>
    <t xml:space="preserve">7. Extrapolation of quadratic fit for client TPR20,10 qualities greater than 0.777 </t>
  </si>
  <si>
    <t>kQ = a (TPR20,10)^2+ b (TPR20,10) + c</t>
  </si>
  <si>
    <t xml:space="preserve">a = </t>
  </si>
  <si>
    <t xml:space="preserve">b = </t>
  </si>
  <si>
    <t xml:space="preserve">c = </t>
  </si>
  <si>
    <t>4. Expected range for chamber type</t>
  </si>
  <si>
    <t>Beam</t>
  </si>
  <si>
    <t>18*</t>
  </si>
  <si>
    <t xml:space="preserve">Gradient = </t>
  </si>
  <si>
    <t>9. Difference between linear interpolation and extrapolation of quadratic fit to TPR20,10 qualities greater than 0.777</t>
  </si>
  <si>
    <t>Quadratic Interpolation</t>
  </si>
  <si>
    <t>Linear Interpolation</t>
  </si>
  <si>
    <t>7. Muir kQ fitting parameters in terms of TPR20,10 (TPR20,10&gt;=0.623) (Med. Phys. 37 (2010) 5939)</t>
  </si>
  <si>
    <t>a'</t>
  </si>
  <si>
    <t>b'</t>
  </si>
  <si>
    <t>c'</t>
  </si>
  <si>
    <t>d'</t>
  </si>
  <si>
    <t>2571</t>
  </si>
  <si>
    <t>FC65-G</t>
  </si>
  <si>
    <t>30013</t>
  </si>
  <si>
    <t>A12</t>
  </si>
  <si>
    <t>kQ = a' + b'(TPR20,10) + c'(TPR20,10)^2 + d'(TPR20,10)^3</t>
  </si>
  <si>
    <r>
      <t xml:space="preserve">8. TRS-398 Table 6.III (Table 14) </t>
    </r>
    <r>
      <rPr>
        <b/>
        <i/>
        <sz val="10"/>
        <rFont val="Arial"/>
        <family val="2"/>
      </rPr>
      <t>k</t>
    </r>
    <r>
      <rPr>
        <b/>
        <i/>
        <vertAlign val="subscript"/>
        <sz val="10"/>
        <rFont val="Arial"/>
        <family val="2"/>
      </rPr>
      <t>Q</t>
    </r>
    <r>
      <rPr>
        <b/>
        <sz val="10"/>
        <rFont val="Arial"/>
        <family val="2"/>
      </rPr>
      <t xml:space="preserve"> for photon beams</t>
    </r>
  </si>
  <si>
    <t>TRS-398</t>
  </si>
  <si>
    <t>CC13</t>
  </si>
  <si>
    <r>
      <t>TPR</t>
    </r>
    <r>
      <rPr>
        <vertAlign val="subscript"/>
        <sz val="10"/>
        <rFont val="Arial"/>
        <family val="2"/>
      </rPr>
      <t>20,10</t>
    </r>
  </si>
  <si>
    <r>
      <t>k</t>
    </r>
    <r>
      <rPr>
        <i/>
        <vertAlign val="subscript"/>
        <sz val="10"/>
        <rFont val="Arial"/>
        <family val="2"/>
      </rPr>
      <t>Q</t>
    </r>
  </si>
  <si>
    <t>QA Ratio Checks: MV Linac Photons</t>
  </si>
  <si>
    <r>
      <t xml:space="preserve">TRS-398 Table 7.IV (Table 19) </t>
    </r>
    <r>
      <rPr>
        <b/>
        <i/>
        <sz val="10"/>
        <rFont val="Arial"/>
        <family val="2"/>
      </rPr>
      <t>k</t>
    </r>
    <r>
      <rPr>
        <b/>
        <i/>
        <vertAlign val="subscript"/>
        <sz val="10"/>
        <rFont val="Arial"/>
        <family val="2"/>
      </rPr>
      <t>Q,Qint</t>
    </r>
    <r>
      <rPr>
        <b/>
        <sz val="10"/>
        <rFont val="Arial"/>
        <family val="2"/>
      </rPr>
      <t xml:space="preserve"> for electron beams</t>
    </r>
  </si>
  <si>
    <t>NACP</t>
  </si>
  <si>
    <r>
      <t>R</t>
    </r>
    <r>
      <rPr>
        <vertAlign val="subscript"/>
        <sz val="10"/>
        <rFont val="Arial"/>
        <family val="2"/>
      </rPr>
      <t>50</t>
    </r>
    <r>
      <rPr>
        <sz val="10"/>
        <rFont val="Arial"/>
        <family val="2"/>
      </rPr>
      <t xml:space="preserve"> (g/cm</t>
    </r>
    <r>
      <rPr>
        <vertAlign val="superscript"/>
        <sz val="10"/>
        <rFont val="Arial"/>
        <family val="2"/>
      </rPr>
      <t>2</t>
    </r>
    <r>
      <rPr>
        <sz val="10"/>
        <rFont val="Arial"/>
        <family val="2"/>
      </rPr>
      <t>)</t>
    </r>
  </si>
  <si>
    <t>-</t>
  </si>
  <si>
    <t>MV photon beams</t>
  </si>
  <si>
    <t>MeV electron beams</t>
  </si>
  <si>
    <r>
      <t>18e N</t>
    </r>
    <r>
      <rPr>
        <b/>
        <i/>
        <vertAlign val="subscript"/>
        <sz val="10"/>
        <rFont val="Arial"/>
        <family val="2"/>
      </rPr>
      <t>D,w</t>
    </r>
  </si>
  <si>
    <t>1. Summary of repeated client measurements</t>
  </si>
  <si>
    <t>Result 1</t>
  </si>
  <si>
    <t>Result 2</t>
  </si>
  <si>
    <t>Result 3</t>
  </si>
  <si>
    <t>Result 4</t>
  </si>
  <si>
    <t>Result 5</t>
  </si>
  <si>
    <t xml:space="preserve">Date  </t>
  </si>
  <si>
    <t>kQcross,Qint =</t>
  </si>
  <si>
    <t xml:space="preserve">ND,w,Qcross (mGy/nC)  </t>
  </si>
  <si>
    <t>QA limit %</t>
  </si>
  <si>
    <t xml:space="preserve">% Diff  </t>
  </si>
  <si>
    <t>Quality</t>
  </si>
  <si>
    <t>MeV</t>
  </si>
  <si>
    <t>R50,dose (cm)</t>
  </si>
  <si>
    <t>kQ,Qint</t>
  </si>
  <si>
    <t>R50,dos</t>
  </si>
  <si>
    <t>QA Ratio Checks: MV Linac Electrons</t>
  </si>
  <si>
    <t>(for Co-60, MEX and Direct MV)</t>
  </si>
  <si>
    <t>MV Electrons</t>
  </si>
  <si>
    <t>MV Electrons report is number</t>
  </si>
  <si>
    <t>MV Photons</t>
  </si>
  <si>
    <t>Electron chamber</t>
  </si>
  <si>
    <t>Make and model eg "PTW Roos"</t>
  </si>
  <si>
    <t>The centre of the front window, on the inside surface.</t>
  </si>
  <si>
    <r>
      <t>MEGAVOLTAGE LINAC X-R</t>
    </r>
    <r>
      <rPr>
        <b/>
        <sz val="12"/>
        <color indexed="8"/>
        <rFont val="Times New Roman"/>
        <family val="1"/>
      </rPr>
      <t>AYS</t>
    </r>
  </si>
  <si>
    <r>
      <t xml:space="preserve">Measured </t>
    </r>
    <r>
      <rPr>
        <b/>
        <i/>
        <sz val="12"/>
        <rFont val="Times New Roman"/>
        <family val="1"/>
      </rPr>
      <t>k</t>
    </r>
    <r>
      <rPr>
        <b/>
        <i/>
        <vertAlign val="subscript"/>
        <sz val="12"/>
        <rFont val="Times New Roman"/>
        <family val="1"/>
      </rPr>
      <t>Q</t>
    </r>
    <r>
      <rPr>
        <b/>
        <sz val="12"/>
        <rFont val="Times New Roman"/>
        <family val="1"/>
      </rPr>
      <t xml:space="preserve"> Factors for MV Photons in Water</t>
    </r>
  </si>
  <si>
    <t>6 MV</t>
  </si>
  <si>
    <t>10 MV</t>
  </si>
  <si>
    <t>18 MV</t>
  </si>
  <si>
    <t>56 mGy/s</t>
  </si>
  <si>
    <t>52 mGy/s</t>
  </si>
  <si>
    <t>76 mGy/s</t>
  </si>
  <si>
    <t>0.14 mGy</t>
  </si>
  <si>
    <t>0.26 mGy</t>
  </si>
  <si>
    <t>0.38 mGy</t>
  </si>
  <si>
    <t>Nominal beam energy</t>
  </si>
  <si>
    <r>
      <t>Beam quality (</t>
    </r>
    <r>
      <rPr>
        <i/>
        <sz val="11"/>
        <rFont val="Times New Roman"/>
        <family val="1"/>
      </rPr>
      <t>TPR</t>
    </r>
    <r>
      <rPr>
        <i/>
        <vertAlign val="subscript"/>
        <sz val="11"/>
        <rFont val="Times New Roman"/>
        <family val="1"/>
      </rPr>
      <t>20,10</t>
    </r>
    <r>
      <rPr>
        <sz val="11"/>
        <rFont val="Times New Roman"/>
        <family val="1"/>
      </rPr>
      <t>)</t>
    </r>
  </si>
  <si>
    <r>
      <t>Recombination correction,</t>
    </r>
    <r>
      <rPr>
        <b/>
        <i/>
        <sz val="11"/>
        <rFont val="Times New Roman"/>
        <family val="1"/>
      </rPr>
      <t xml:space="preserve"> k</t>
    </r>
    <r>
      <rPr>
        <b/>
        <i/>
        <vertAlign val="subscript"/>
        <sz val="11"/>
        <rFont val="Times New Roman"/>
        <family val="1"/>
      </rPr>
      <t>s</t>
    </r>
  </si>
  <si>
    <t>Approximate dose per pulse</t>
  </si>
  <si>
    <t>Words for use in a Co-60 water phantom</t>
  </si>
  <si>
    <t>Words for use in a linac water phantom</t>
  </si>
  <si>
    <t>ARPANSA maintains a number of secondary standard reference chambers which have been calibrated against the calorimeter. These are used to cross calibrate client chambers on the day of calibration.</t>
  </si>
  <si>
    <t>Approx. absorbed dose to water rate</t>
  </si>
  <si>
    <r>
      <rPr>
        <b/>
        <sz val="12"/>
        <color indexed="8"/>
        <rFont val="Times New Roman"/>
        <family val="1"/>
      </rPr>
      <t>Table 1:</t>
    </r>
    <r>
      <rPr>
        <sz val="12"/>
        <color indexed="8"/>
        <rFont val="Times New Roman"/>
        <family val="1"/>
      </rPr>
      <t xml:space="preserve"> Recombination corrections</t>
    </r>
  </si>
  <si>
    <r>
      <rPr>
        <vertAlign val="superscript"/>
        <sz val="11"/>
        <rFont val="Times New Roman"/>
        <family val="1"/>
      </rPr>
      <t>60</t>
    </r>
    <r>
      <rPr>
        <sz val="11"/>
        <rFont val="Times New Roman"/>
        <family val="1"/>
      </rPr>
      <t>Co</t>
    </r>
  </si>
  <si>
    <r>
      <t xml:space="preserve">The formula used to obtain the correction in </t>
    </r>
    <r>
      <rPr>
        <vertAlign val="superscript"/>
        <sz val="12"/>
        <rFont val="Times New Roman"/>
        <family val="1"/>
      </rPr>
      <t>60</t>
    </r>
    <r>
      <rPr>
        <sz val="12"/>
        <rFont val="Times New Roman"/>
        <family val="1"/>
      </rPr>
      <t>Co was</t>
    </r>
  </si>
  <si>
    <t>The formula used to obtain the recombination correction in pulsed accelerator beams was:</t>
  </si>
  <si>
    <r>
      <t xml:space="preserve">A dose measurement made at one polarity can be corrected to the average of the dose measurements made at opposite polarities using the polarity correction </t>
    </r>
    <r>
      <rPr>
        <i/>
        <sz val="12"/>
        <rFont val="Times New Roman"/>
        <family val="1"/>
      </rPr>
      <t>k</t>
    </r>
    <r>
      <rPr>
        <vertAlign val="subscript"/>
        <sz val="12"/>
        <rFont val="Times New Roman"/>
        <family val="1"/>
      </rPr>
      <t>pol</t>
    </r>
    <r>
      <rPr>
        <vertAlign val="superscript"/>
        <sz val="12"/>
        <rFont val="Times New Roman"/>
        <family val="1"/>
      </rPr>
      <t xml:space="preserve"> </t>
    </r>
    <r>
      <rPr>
        <sz val="12"/>
        <rFont val="Times New Roman"/>
        <family val="1"/>
      </rPr>
      <t>[1], where</t>
    </r>
  </si>
  <si>
    <r>
      <t>The coefficients,</t>
    </r>
    <r>
      <rPr>
        <i/>
        <sz val="12"/>
        <rFont val="Times New Roman"/>
        <family val="1"/>
      </rPr>
      <t xml:space="preserve"> a</t>
    </r>
    <r>
      <rPr>
        <i/>
        <vertAlign val="subscript"/>
        <sz val="12"/>
        <rFont val="Times New Roman"/>
        <family val="1"/>
      </rPr>
      <t>i</t>
    </r>
    <r>
      <rPr>
        <sz val="12"/>
        <rFont val="Times New Roman"/>
        <family val="1"/>
      </rPr>
      <t>, were determined using Table 4.VII of IAEA TRS-398</t>
    </r>
    <r>
      <rPr>
        <vertAlign val="superscript"/>
        <sz val="12"/>
        <rFont val="Times New Roman"/>
        <family val="1"/>
      </rPr>
      <t>[1]</t>
    </r>
    <r>
      <rPr>
        <sz val="12"/>
        <rFont val="Times New Roman"/>
        <family val="1"/>
      </rPr>
      <t>.</t>
    </r>
  </si>
  <si>
    <r>
      <rPr>
        <b/>
        <sz val="12"/>
        <rFont val="Times New Roman"/>
        <family val="1"/>
      </rPr>
      <t>Table 2:</t>
    </r>
    <r>
      <rPr>
        <sz val="12"/>
        <rFont val="Times New Roman"/>
        <family val="1"/>
      </rPr>
      <t xml:space="preserve"> Polarity correction</t>
    </r>
  </si>
  <si>
    <t>The recombination corrections in Table 1 have been applied to the calibration coefficients presented in this report.</t>
  </si>
  <si>
    <r>
      <t>–</t>
    </r>
    <r>
      <rPr>
        <sz val="7"/>
        <rFont val="Times New Roman"/>
        <family val="1"/>
      </rPr>
      <t> </t>
    </r>
  </si>
  <si>
    <t>2611A</t>
  </si>
  <si>
    <t>Model only</t>
  </si>
  <si>
    <r>
      <t>Polarity correction,</t>
    </r>
    <r>
      <rPr>
        <b/>
        <i/>
        <sz val="11"/>
        <rFont val="Times New Roman"/>
        <family val="1"/>
      </rPr>
      <t xml:space="preserve"> k</t>
    </r>
    <r>
      <rPr>
        <b/>
        <i/>
        <vertAlign val="subscript"/>
        <sz val="11"/>
        <rFont val="Times New Roman"/>
        <family val="1"/>
      </rPr>
      <t>pol</t>
    </r>
  </si>
  <si>
    <t>10 cm x 10 cm square beam at phantom surface</t>
  </si>
  <si>
    <t>Source-surface distance 100 cm</t>
  </si>
  <si>
    <r>
      <rPr>
        <vertAlign val="superscript"/>
        <sz val="11"/>
        <color indexed="8"/>
        <rFont val="Times New Roman"/>
        <family val="1"/>
      </rPr>
      <t>60</t>
    </r>
    <r>
      <rPr>
        <sz val="11"/>
        <color indexed="8"/>
        <rFont val="Times New Roman"/>
        <family val="1"/>
      </rPr>
      <t>Co photon beam source-detector distance 105 cm</t>
    </r>
  </si>
  <si>
    <t>Corrections applied</t>
  </si>
  <si>
    <t>MV photon measurement date</t>
  </si>
  <si>
    <r>
      <rPr>
        <vertAlign val="superscript"/>
        <sz val="11"/>
        <color indexed="8"/>
        <rFont val="Times New Roman"/>
        <family val="1"/>
      </rPr>
      <t>60</t>
    </r>
    <r>
      <rPr>
        <sz val="11"/>
        <color indexed="8"/>
        <rFont val="Times New Roman"/>
        <family val="1"/>
      </rPr>
      <t>Co measurement date</t>
    </r>
  </si>
  <si>
    <t>Beam name</t>
  </si>
  <si>
    <r>
      <rPr>
        <vertAlign val="superscript"/>
        <sz val="12"/>
        <rFont val="Times New Roman"/>
        <family val="1"/>
      </rPr>
      <t>60</t>
    </r>
    <r>
      <rPr>
        <sz val="12"/>
        <rFont val="Times New Roman"/>
        <family val="1"/>
      </rPr>
      <t>Co</t>
    </r>
  </si>
  <si>
    <r>
      <rPr>
        <b/>
        <sz val="11"/>
        <color indexed="8"/>
        <rFont val="Times New Roman"/>
        <family val="1"/>
      </rPr>
      <t>Table 3</t>
    </r>
    <r>
      <rPr>
        <sz val="11"/>
        <color indexed="8"/>
        <rFont val="Times New Roman"/>
        <family val="1"/>
      </rPr>
      <t xml:space="preserve">: </t>
    </r>
    <r>
      <rPr>
        <vertAlign val="superscript"/>
        <sz val="11"/>
        <color indexed="8"/>
        <rFont val="Times New Roman"/>
        <family val="1"/>
      </rPr>
      <t>60</t>
    </r>
    <r>
      <rPr>
        <sz val="11"/>
        <color indexed="8"/>
        <rFont val="Times New Roman"/>
        <family val="1"/>
      </rPr>
      <t>Co absorbed dose to water calibration coefficient</t>
    </r>
  </si>
  <si>
    <r>
      <rPr>
        <b/>
        <sz val="11"/>
        <color indexed="8"/>
        <rFont val="Times New Roman"/>
        <family val="1"/>
      </rPr>
      <t>Table 4</t>
    </r>
    <r>
      <rPr>
        <sz val="11"/>
        <color indexed="8"/>
        <rFont val="Times New Roman"/>
        <family val="1"/>
      </rPr>
      <t xml:space="preserve">: MV photon beam measured </t>
    </r>
    <r>
      <rPr>
        <i/>
        <sz val="11"/>
        <color indexed="8"/>
        <rFont val="Times New Roman"/>
        <family val="1"/>
      </rPr>
      <t>k</t>
    </r>
    <r>
      <rPr>
        <i/>
        <vertAlign val="subscript"/>
        <sz val="11"/>
        <color indexed="8"/>
        <rFont val="Times New Roman"/>
        <family val="1"/>
      </rPr>
      <t>Q</t>
    </r>
    <r>
      <rPr>
        <sz val="11"/>
        <color indexed="8"/>
        <rFont val="Times New Roman"/>
        <family val="1"/>
      </rPr>
      <t xml:space="preserve"> factors</t>
    </r>
  </si>
  <si>
    <r>
      <t xml:space="preserve">Measured </t>
    </r>
    <r>
      <rPr>
        <i/>
        <sz val="12"/>
        <rFont val="Times New Roman"/>
        <family val="1"/>
      </rPr>
      <t>k</t>
    </r>
    <r>
      <rPr>
        <i/>
        <vertAlign val="subscript"/>
        <sz val="12"/>
        <rFont val="Times New Roman"/>
        <family val="1"/>
      </rPr>
      <t>Q</t>
    </r>
    <r>
      <rPr>
        <vertAlign val="superscript"/>
        <sz val="12"/>
        <rFont val="Times New Roman"/>
        <family val="1"/>
      </rPr>
      <t>b</t>
    </r>
  </si>
  <si>
    <r>
      <rPr>
        <i/>
        <vertAlign val="superscript"/>
        <sz val="10"/>
        <rFont val="Times New Roman"/>
        <family val="1"/>
      </rPr>
      <t>b</t>
    </r>
    <r>
      <rPr>
        <sz val="10"/>
        <rFont val="Times New Roman"/>
        <family val="1"/>
      </rPr>
      <t xml:space="preserve">The reference quality is </t>
    </r>
    <r>
      <rPr>
        <vertAlign val="superscript"/>
        <sz val="10"/>
        <rFont val="Times New Roman"/>
        <family val="1"/>
      </rPr>
      <t>60</t>
    </r>
    <r>
      <rPr>
        <sz val="10"/>
        <rFont val="Times New Roman"/>
        <family val="1"/>
      </rPr>
      <t>Co and hence</t>
    </r>
    <r>
      <rPr>
        <i/>
        <sz val="10"/>
        <rFont val="Times New Roman"/>
        <family val="1"/>
      </rPr>
      <t xml:space="preserve"> k</t>
    </r>
    <r>
      <rPr>
        <i/>
        <vertAlign val="subscript"/>
        <sz val="10"/>
        <rFont val="Times New Roman"/>
        <family val="1"/>
      </rPr>
      <t>Q,Qo</t>
    </r>
    <r>
      <rPr>
        <sz val="10"/>
        <rFont val="Times New Roman"/>
        <family val="1"/>
      </rPr>
      <t xml:space="preserve"> is denoted by</t>
    </r>
    <r>
      <rPr>
        <i/>
        <sz val="10"/>
        <rFont val="Times New Roman"/>
        <family val="1"/>
      </rPr>
      <t xml:space="preserve"> k</t>
    </r>
    <r>
      <rPr>
        <i/>
        <vertAlign val="subscript"/>
        <sz val="10"/>
        <rFont val="Times New Roman"/>
        <family val="1"/>
      </rPr>
      <t>Q</t>
    </r>
  </si>
  <si>
    <r>
      <rPr>
        <i/>
        <vertAlign val="superscript"/>
        <sz val="10"/>
        <rFont val="Times New Roman"/>
        <family val="1"/>
      </rPr>
      <t>a</t>
    </r>
    <r>
      <rPr>
        <sz val="10"/>
        <rFont val="Times New Roman"/>
        <family val="1"/>
      </rPr>
      <t xml:space="preserve">The reference quality </t>
    </r>
    <r>
      <rPr>
        <i/>
        <sz val="10"/>
        <rFont val="Times New Roman"/>
        <family val="1"/>
      </rPr>
      <t>Q</t>
    </r>
    <r>
      <rPr>
        <vertAlign val="subscript"/>
        <sz val="10"/>
        <rFont val="Times New Roman"/>
        <family val="1"/>
      </rPr>
      <t>o</t>
    </r>
    <r>
      <rPr>
        <sz val="10"/>
        <rFont val="Times New Roman"/>
        <family val="1"/>
      </rPr>
      <t xml:space="preserve"> is </t>
    </r>
    <r>
      <rPr>
        <vertAlign val="superscript"/>
        <sz val="10"/>
        <rFont val="Times New Roman"/>
        <family val="1"/>
      </rPr>
      <t>60</t>
    </r>
    <r>
      <rPr>
        <sz val="10"/>
        <rFont val="Times New Roman"/>
        <family val="1"/>
      </rPr>
      <t>Co so</t>
    </r>
    <r>
      <rPr>
        <i/>
        <sz val="10"/>
        <rFont val="Times New Roman"/>
        <family val="1"/>
      </rPr>
      <t xml:space="preserve"> N</t>
    </r>
    <r>
      <rPr>
        <i/>
        <vertAlign val="subscript"/>
        <sz val="10"/>
        <rFont val="Times New Roman"/>
        <family val="1"/>
      </rPr>
      <t>D,w,Qo</t>
    </r>
    <r>
      <rPr>
        <sz val="10"/>
        <rFont val="Times New Roman"/>
        <family val="1"/>
      </rPr>
      <t xml:space="preserve"> is denoted by </t>
    </r>
    <r>
      <rPr>
        <i/>
        <sz val="10"/>
        <rFont val="Times New Roman"/>
        <family val="1"/>
      </rPr>
      <t>N</t>
    </r>
    <r>
      <rPr>
        <i/>
        <vertAlign val="subscript"/>
        <sz val="10"/>
        <rFont val="Times New Roman"/>
        <family val="1"/>
      </rPr>
      <t>D,w</t>
    </r>
  </si>
  <si>
    <r>
      <t xml:space="preserve">is the calibration coefficient at </t>
    </r>
    <r>
      <rPr>
        <vertAlign val="superscript"/>
        <sz val="12"/>
        <rFont val="Times New Roman"/>
        <family val="1"/>
      </rPr>
      <t>60</t>
    </r>
    <r>
      <rPr>
        <sz val="12"/>
        <rFont val="Times New Roman"/>
        <family val="1"/>
      </rPr>
      <t xml:space="preserve">Co, corrected for the effects of recombination and polarity at </t>
    </r>
    <r>
      <rPr>
        <vertAlign val="superscript"/>
        <sz val="12"/>
        <rFont val="Times New Roman"/>
        <family val="1"/>
      </rPr>
      <t>60</t>
    </r>
    <r>
      <rPr>
        <sz val="12"/>
        <rFont val="Times New Roman"/>
        <family val="1"/>
      </rPr>
      <t>Co (i.e. the average of the absolute value of the calibration coefficients obtained at opposite polarising voltages, when all the charge released in the chamber cavity is collected), as given in Table 3;</t>
    </r>
  </si>
  <si>
    <t>Use of the ARPANSA absorbed dose to water calibration coefficient with TRS-398</t>
  </si>
  <si>
    <t>The polarity corrections in Table 2 have been applied to the calibration coefficients presented in this report.</t>
  </si>
  <si>
    <r>
      <rPr>
        <b/>
        <sz val="12"/>
        <color indexed="8"/>
        <rFont val="Times New Roman"/>
        <family val="1"/>
      </rPr>
      <t>Figure 1:</t>
    </r>
    <r>
      <rPr>
        <sz val="12"/>
        <color indexed="8"/>
        <rFont val="Times New Roman"/>
        <family val="1"/>
      </rPr>
      <t xml:space="preserve"> Measured</t>
    </r>
    <r>
      <rPr>
        <i/>
        <sz val="12"/>
        <color indexed="8"/>
        <rFont val="Times New Roman"/>
        <family val="1"/>
      </rPr>
      <t xml:space="preserve"> k</t>
    </r>
    <r>
      <rPr>
        <i/>
        <vertAlign val="subscript"/>
        <sz val="12"/>
        <color indexed="8"/>
        <rFont val="Times New Roman"/>
        <family val="1"/>
      </rPr>
      <t>Q</t>
    </r>
    <r>
      <rPr>
        <sz val="12"/>
        <color indexed="8"/>
        <rFont val="Times New Roman"/>
        <family val="1"/>
      </rPr>
      <t xml:space="preserve"> factors for </t>
    </r>
  </si>
  <si>
    <r>
      <rPr>
        <i/>
        <sz val="12"/>
        <rFont val="Times New Roman"/>
        <family val="1"/>
      </rPr>
      <t>k</t>
    </r>
    <r>
      <rPr>
        <vertAlign val="subscript"/>
        <sz val="12"/>
        <rFont val="Times New Roman"/>
        <family val="1"/>
      </rPr>
      <t>Q</t>
    </r>
    <r>
      <rPr>
        <sz val="12"/>
        <rFont val="Times New Roman"/>
        <family val="1"/>
      </rPr>
      <t xml:space="preserve"> = a (</t>
    </r>
    <r>
      <rPr>
        <i/>
        <sz val="12"/>
        <rFont val="Times New Roman"/>
        <family val="1"/>
      </rPr>
      <t>TPR</t>
    </r>
    <r>
      <rPr>
        <i/>
        <vertAlign val="subscript"/>
        <sz val="12"/>
        <rFont val="Times New Roman"/>
        <family val="1"/>
      </rPr>
      <t>20,10</t>
    </r>
    <r>
      <rPr>
        <sz val="12"/>
        <rFont val="Times New Roman"/>
        <family val="1"/>
      </rPr>
      <t>)</t>
    </r>
    <r>
      <rPr>
        <vertAlign val="superscript"/>
        <sz val="12"/>
        <rFont val="Times New Roman"/>
        <family val="1"/>
      </rPr>
      <t>2</t>
    </r>
    <r>
      <rPr>
        <sz val="12"/>
        <rFont val="Times New Roman"/>
        <family val="1"/>
      </rPr>
      <t xml:space="preserve"> + b (</t>
    </r>
    <r>
      <rPr>
        <i/>
        <sz val="12"/>
        <rFont val="Times New Roman"/>
        <family val="1"/>
      </rPr>
      <t>TPR</t>
    </r>
    <r>
      <rPr>
        <i/>
        <vertAlign val="subscript"/>
        <sz val="12"/>
        <rFont val="Times New Roman"/>
        <family val="1"/>
      </rPr>
      <t>20,10</t>
    </r>
    <r>
      <rPr>
        <sz val="12"/>
        <rFont val="Times New Roman"/>
        <family val="1"/>
      </rPr>
      <t>) + c</t>
    </r>
  </si>
  <si>
    <t>User calibration factors</t>
  </si>
  <si>
    <r>
      <t xml:space="preserve">Equation 4 can be used to interpolate from </t>
    </r>
    <r>
      <rPr>
        <i/>
        <sz val="12"/>
        <rFont val="Times New Roman"/>
        <family val="1"/>
      </rPr>
      <t>k</t>
    </r>
    <r>
      <rPr>
        <i/>
        <vertAlign val="subscript"/>
        <sz val="12"/>
        <rFont val="Times New Roman"/>
        <family val="1"/>
      </rPr>
      <t>Q</t>
    </r>
    <r>
      <rPr>
        <sz val="12"/>
        <rFont val="Times New Roman"/>
        <family val="1"/>
      </rPr>
      <t xml:space="preserve"> factors at ARPANSA beam qualities to </t>
    </r>
    <r>
      <rPr>
        <i/>
        <sz val="12"/>
        <rFont val="Times New Roman"/>
        <family val="1"/>
      </rPr>
      <t>k</t>
    </r>
    <r>
      <rPr>
        <i/>
        <vertAlign val="subscript"/>
        <sz val="12"/>
        <rFont val="Times New Roman"/>
        <family val="1"/>
      </rPr>
      <t>Q</t>
    </r>
    <r>
      <rPr>
        <sz val="12"/>
        <rFont val="Times New Roman"/>
        <family val="1"/>
      </rPr>
      <t xml:space="preserve"> factors at user MV photon beam qualities. This interpolation coupled with possible spectral differences between different accelerators will add uncertainty to the user </t>
    </r>
    <r>
      <rPr>
        <i/>
        <sz val="12"/>
        <rFont val="Times New Roman"/>
        <family val="1"/>
      </rPr>
      <t>k</t>
    </r>
    <r>
      <rPr>
        <i/>
        <vertAlign val="subscript"/>
        <sz val="12"/>
        <rFont val="Times New Roman"/>
        <family val="1"/>
      </rPr>
      <t>Q</t>
    </r>
    <r>
      <rPr>
        <sz val="12"/>
        <rFont val="Times New Roman"/>
        <family val="1"/>
      </rPr>
      <t xml:space="preserve"> value. It is recommended that a value of 0.4% (k=2) be added in quadrature with the uncertainty in Table 4 to account for this added uncertainty.</t>
    </r>
  </si>
  <si>
    <t>MEGAVOLTAGE LINAC ELECTRONS</t>
  </si>
  <si>
    <t>is the response of the chamber when placed in the radiation beam at the reference depth as recorded by the electrometer;</t>
  </si>
  <si>
    <t>Page 6 of 7</t>
  </si>
  <si>
    <t>Page 7 of 7</t>
  </si>
  <si>
    <t>Page 5 of 7</t>
  </si>
  <si>
    <t>Page 4 of 7</t>
  </si>
  <si>
    <t>Page 2 of 7</t>
  </si>
  <si>
    <t>Page 1 of 7</t>
  </si>
  <si>
    <r>
      <t xml:space="preserve">is the beam quality correction factor for the user beam </t>
    </r>
    <r>
      <rPr>
        <i/>
        <sz val="12"/>
        <rFont val="Times New Roman"/>
        <family val="1"/>
      </rPr>
      <t>Q</t>
    </r>
    <r>
      <rPr>
        <sz val="12"/>
        <rFont val="Times New Roman"/>
        <family val="1"/>
      </rPr>
      <t xml:space="preserve"> relative to </t>
    </r>
    <r>
      <rPr>
        <vertAlign val="superscript"/>
        <sz val="12"/>
        <rFont val="Times New Roman"/>
        <family val="1"/>
      </rPr>
      <t>60</t>
    </r>
    <r>
      <rPr>
        <sz val="12"/>
        <rFont val="Times New Roman"/>
        <family val="1"/>
      </rPr>
      <t xml:space="preserve">Co, determined by interpolation of ARPANSA measured </t>
    </r>
    <r>
      <rPr>
        <i/>
        <sz val="12"/>
        <rFont val="Times New Roman"/>
        <family val="1"/>
      </rPr>
      <t>k</t>
    </r>
    <r>
      <rPr>
        <i/>
        <vertAlign val="subscript"/>
        <sz val="12"/>
        <rFont val="Times New Roman"/>
        <family val="1"/>
      </rPr>
      <t>Q</t>
    </r>
    <r>
      <rPr>
        <sz val="12"/>
        <rFont val="Times New Roman"/>
        <family val="1"/>
      </rPr>
      <t xml:space="preserve"> factors (see Equation 4).</t>
    </r>
  </si>
  <si>
    <t>Vertical radiation beam</t>
  </si>
  <si>
    <t>48 cm x 48 cm x 41 cm water phantom</t>
  </si>
  <si>
    <t>18 MeV</t>
  </si>
  <si>
    <t xml:space="preserve">Linac </t>
  </si>
  <si>
    <t>and</t>
  </si>
  <si>
    <r>
      <t>Beam quality (</t>
    </r>
    <r>
      <rPr>
        <i/>
        <sz val="11"/>
        <rFont val="Times New Roman"/>
        <family val="1"/>
      </rPr>
      <t>R</t>
    </r>
    <r>
      <rPr>
        <i/>
        <vertAlign val="subscript"/>
        <sz val="11"/>
        <rFont val="Times New Roman"/>
        <family val="1"/>
      </rPr>
      <t>50</t>
    </r>
    <r>
      <rPr>
        <sz val="11"/>
        <rFont val="Times New Roman"/>
        <family val="1"/>
      </rPr>
      <t>)</t>
    </r>
  </si>
  <si>
    <r>
      <t>Operating voltage,</t>
    </r>
    <r>
      <rPr>
        <i/>
        <sz val="11"/>
        <rFont val="Times New Roman"/>
        <family val="1"/>
      </rPr>
      <t xml:space="preserve"> V</t>
    </r>
    <r>
      <rPr>
        <i/>
        <vertAlign val="subscript"/>
        <sz val="11"/>
        <rFont val="Times New Roman"/>
        <family val="1"/>
      </rPr>
      <t>1</t>
    </r>
  </si>
  <si>
    <r>
      <t xml:space="preserve">Reduced voltage, </t>
    </r>
    <r>
      <rPr>
        <i/>
        <sz val="11"/>
        <rFont val="Times New Roman"/>
        <family val="1"/>
      </rPr>
      <t>V</t>
    </r>
    <r>
      <rPr>
        <i/>
        <vertAlign val="subscript"/>
        <sz val="11"/>
        <rFont val="Times New Roman"/>
        <family val="1"/>
      </rPr>
      <t>2</t>
    </r>
  </si>
  <si>
    <r>
      <t>Opposite voltage, -</t>
    </r>
    <r>
      <rPr>
        <i/>
        <sz val="11"/>
        <rFont val="Times New Roman"/>
        <family val="1"/>
      </rPr>
      <t>V</t>
    </r>
    <r>
      <rPr>
        <i/>
        <vertAlign val="subscript"/>
        <sz val="11"/>
        <rFont val="Times New Roman"/>
        <family val="1"/>
      </rPr>
      <t>1</t>
    </r>
  </si>
  <si>
    <t>Page 3 of 7</t>
  </si>
  <si>
    <t>Calibration Coefficient for Electron Radiation in Water</t>
  </si>
  <si>
    <t>The chamber is plane-parallel and was designed for electron dosimetry.</t>
  </si>
  <si>
    <t xml:space="preserve">For QC </t>
  </si>
  <si>
    <t>Interpolation of TRS-398 electron kQ's to clinical beams</t>
  </si>
  <si>
    <t>eg "Buildup cap." or "Protective cover." (limit to one line)</t>
  </si>
  <si>
    <t>Not measured.</t>
  </si>
  <si>
    <t>Fill out this column! (and all relevant QA sheets)</t>
  </si>
  <si>
    <t>Added direct MV and xcal MeV QA pages and reports</t>
  </si>
  <si>
    <t>and recombination and polarity corrections</t>
  </si>
  <si>
    <t>(Note - Normally a Roos, but choose same thimble as above if doing it in MeV electrons)</t>
  </si>
  <si>
    <t>(Note - normally a 23342/4, but choose same thimble as above if doing it in LEX)</t>
  </si>
  <si>
    <t>Minor changes to electrometer report</t>
  </si>
  <si>
    <t>eg "Buildup cap." or "Protective cover." (limit to one line. Include ".")</t>
  </si>
  <si>
    <t>The chamber was calibrated with 100 cm from the source to the water surface and at 5 cm depth in water.</t>
  </si>
  <si>
    <t>JM</t>
  </si>
  <si>
    <t>Linked cal factor details to "Elec" tab and changed colour to blue</t>
  </si>
  <si>
    <t>NE 2570/1BS1</t>
  </si>
  <si>
    <t>Test current(s)</t>
  </si>
  <si>
    <t>(Note: If an A5 was used as well, write both currents, separated by , e.g. 23 pA, 800 pA)</t>
  </si>
  <si>
    <t>Standard Imaging MAX 4001</t>
  </si>
  <si>
    <t>Choose!</t>
  </si>
  <si>
    <t>NE 2670B</t>
  </si>
  <si>
    <t>Bias switch 1 position</t>
  </si>
  <si>
    <t>Bias switch 2 position</t>
  </si>
  <si>
    <t>Electrometer display</t>
  </si>
  <si>
    <t>(as seen on display - include sign and any units - text field)</t>
  </si>
  <si>
    <t>Polarising voltage setting</t>
  </si>
  <si>
    <t>For electrometers which have switches on the back, otherwise select NA</t>
  </si>
  <si>
    <t>Was the high range calibrated using an A5 chamber?</t>
  </si>
  <si>
    <t>Yes</t>
  </si>
  <si>
    <t>No</t>
  </si>
  <si>
    <t>Date of ND,w measurements</t>
  </si>
  <si>
    <t>Force address to be 3 lines or less (drop a line if necessary)</t>
  </si>
  <si>
    <t>NOTE: THIS IS STILL A GROUND-REFERENCED ELECTROMETER, SO PV IS REVERSED</t>
  </si>
  <si>
    <t>The bias voltage is set from the front panel menu. The polarity is set with a switch on the rear panel. When "+" is selected, negative voltage is applied to the inner shield of the triaxial cable and the collecting electrode is kept at negative voltage by the electrometer amplifier. The outer shield of the cable is at ground. Hence setting the switch to "+" results in Central Electrode Negative (CEN).</t>
  </si>
  <si>
    <t>The bias voltage is set using a jumper and switch on the rear panel, and the front panel menu. The jumper controls the amplifer configuration and should always be "Type A" (floating) for hospital use. The polarity switch in the left position then results positive voltage being applied to the inner shield of the triaxial cable and the collecting electrode being kept at positive voltage by the electrometer amplifier. The outer shield of the cable is at ground. Hence setting "Type A, Left" results in Central Electrode Positive (CEP).</t>
  </si>
  <si>
    <t>Different models of electrometer use different conventions for specifying the polarising voltage. At ARPANSA we refer to the polarity of the collecting electrode as either "Central Electode Positive (CEP)" or "Central Electrode Negative (CEN)". Here "Central Electrode" refers to the electrode connected to the central pin of the triaxial connector.</t>
  </si>
  <si>
    <t>More changes - added details of electrometer pol V in text block</t>
  </si>
  <si>
    <t>Voltage setting</t>
  </si>
  <si>
    <t>(As above, text field - include the units)</t>
  </si>
  <si>
    <t>Usually "Mains 240 V, 50 Hz" or "Internal batteries" - select from the drop down list</t>
  </si>
  <si>
    <t>TRIM/HPE-RM reference</t>
  </si>
  <si>
    <t>Mains 240 V, 50 Hz</t>
  </si>
  <si>
    <t>Internal batteries</t>
  </si>
  <si>
    <t>Other</t>
  </si>
  <si>
    <t>PTW UNIDOS Webline T10022</t>
  </si>
  <si>
    <t>PTW UNIDOS Webline T10023</t>
  </si>
  <si>
    <t>Specifying Webline models</t>
  </si>
  <si>
    <t>PTW UNIDOS E Type 10009</t>
  </si>
  <si>
    <r>
      <t xml:space="preserve">N </t>
    </r>
    <r>
      <rPr>
        <b/>
        <vertAlign val="subscript"/>
        <sz val="10"/>
        <rFont val="Arial"/>
        <family val="2"/>
      </rPr>
      <t>D,W</t>
    </r>
    <r>
      <rPr>
        <b/>
        <sz val="10"/>
        <rFont val="Arial"/>
        <family val="2"/>
      </rPr>
      <t xml:space="preserve"> =</t>
    </r>
  </si>
  <si>
    <t xml:space="preserve">Rounded Values </t>
  </si>
  <si>
    <t>The calibration coefficient for the electrometer must be multiplied by the calibration coefficient of the chamber used for the dose measurement in order to obtain the "true" exposure, kerma or absorbed dose.</t>
  </si>
  <si>
    <t>Rounded</t>
  </si>
  <si>
    <t>[2] External timer: The electrometer is collecting charge continuously and the source is turned on manually and off automatically by an external calibrated timer</t>
  </si>
  <si>
    <t xml:space="preserve">Corrected typos, Introduced rounded numbers into Co and Elec tabs and referenced these for CoReport and ElecReports </t>
  </si>
  <si>
    <t>During the calibration, leakage currents were subtracted manually. The leakage currents were small compared with the test current(s) used to determine the calibration coefficients.</t>
  </si>
  <si>
    <t>Added type of timer to body text in Elec</t>
  </si>
  <si>
    <t>(use format 28-30 May, 1, 5 June 2016)</t>
  </si>
  <si>
    <t>LEX chamber</t>
  </si>
  <si>
    <t>Plane parallel or thimble</t>
  </si>
  <si>
    <t>Plane-parallel</t>
  </si>
  <si>
    <t>This determines the desciption of the collecting electrode</t>
  </si>
  <si>
    <t>The nominal cavity volume is 0.33 cc (length 9.2 mm and radius 3.7 mm).</t>
  </si>
  <si>
    <t>The central electrode is hollow aluminium.</t>
  </si>
  <si>
    <t>The bias voltage is set from the front panel menu. Users may select the magnitude and polarity. When "+" is selected, negative voltage is applied to the inner shield of the triaxial cable and the collecting electrode is kept at negative voltage by the electrometer amplifier. The outer shield of the cable is at ground. Hence setting "+" results in Central Electrode Negative (CEN).</t>
  </si>
  <si>
    <t>The bias voltage is set from the front panel menu. Users may select the magnitude and polarity. When "+" is selected, positive voltage is applied to the inner shield of the triaxial cable and the collecting electrode is kept at positive voltage by the electrometer amplifier. The outer shield of the cable is at ground. Hence setting "+" results in Central Electrode Positive (CEP).</t>
  </si>
  <si>
    <t>The bias voltage is set by two switches on the rear panel. Users may select the polarity and either V, V/2, V/4 or V/8. When the switch is "-(NORMAL)", positive voltage is applied to the inner shield of the triaxial cable and the collecting electrode is kept at positive voltage by the electrometer amplifier. The outer shield of the cable is at ground. Hence setting "-(NORMAL)" results in Central Electrode Positive (CEP).</t>
  </si>
  <si>
    <r>
      <t xml:space="preserve">We define </t>
    </r>
    <r>
      <rPr>
        <i/>
        <sz val="12"/>
        <rFont val="Times New Roman"/>
        <family val="1"/>
      </rPr>
      <t>I</t>
    </r>
    <r>
      <rPr>
        <sz val="12"/>
        <rFont val="Times New Roman"/>
        <family val="1"/>
      </rPr>
      <t xml:space="preserve"> and </t>
    </r>
    <r>
      <rPr>
        <i/>
        <sz val="12"/>
        <rFont val="Times New Roman"/>
        <family val="1"/>
      </rPr>
      <t>I</t>
    </r>
    <r>
      <rPr>
        <i/>
        <vertAlign val="subscript"/>
        <sz val="12"/>
        <rFont val="Times New Roman"/>
        <family val="1"/>
      </rPr>
      <t>+</t>
    </r>
    <r>
      <rPr>
        <sz val="12"/>
        <rFont val="Times New Roman"/>
        <family val="1"/>
      </rPr>
      <t xml:space="preserve"> to be the current when the voltage is the operating voltage (</t>
    </r>
    <r>
      <rPr>
        <i/>
        <sz val="12"/>
        <rFont val="Times New Roman"/>
        <family val="1"/>
      </rPr>
      <t>V</t>
    </r>
    <r>
      <rPr>
        <vertAlign val="subscript"/>
        <sz val="12"/>
        <rFont val="Times New Roman"/>
        <family val="1"/>
      </rPr>
      <t>1</t>
    </r>
    <r>
      <rPr>
        <sz val="12"/>
        <rFont val="Times New Roman"/>
        <family val="1"/>
      </rPr>
      <t xml:space="preserve">), and </t>
    </r>
    <r>
      <rPr>
        <i/>
        <sz val="12"/>
        <rFont val="Times New Roman"/>
        <family val="1"/>
      </rPr>
      <t>I</t>
    </r>
    <r>
      <rPr>
        <vertAlign val="subscript"/>
        <sz val="12"/>
        <rFont val="Times New Roman"/>
        <family val="1"/>
      </rPr>
      <t>-</t>
    </r>
    <r>
      <rPr>
        <sz val="12"/>
        <rFont val="Times New Roman"/>
        <family val="1"/>
      </rPr>
      <t xml:space="preserve"> is the current at -</t>
    </r>
    <r>
      <rPr>
        <i/>
        <sz val="12"/>
        <rFont val="Times New Roman"/>
        <family val="1"/>
      </rPr>
      <t>V</t>
    </r>
    <r>
      <rPr>
        <vertAlign val="subscript"/>
        <sz val="12"/>
        <rFont val="Times New Roman"/>
        <family val="1"/>
      </rPr>
      <t>1</t>
    </r>
    <r>
      <rPr>
        <sz val="12"/>
        <rFont val="Times New Roman"/>
        <family val="1"/>
      </rPr>
      <t>.</t>
    </r>
  </si>
  <si>
    <t>Chamber stem vertically downwards, cable up</t>
  </si>
  <si>
    <t>30 x 30 x 30 cm</t>
  </si>
  <si>
    <t>minor typo and link corrections</t>
  </si>
  <si>
    <t>typo corrections</t>
  </si>
  <si>
    <r>
      <t xml:space="preserve">Absorbed Dose to Water </t>
    </r>
    <r>
      <rPr>
        <b/>
        <vertAlign val="superscript"/>
        <sz val="14"/>
        <color indexed="8"/>
        <rFont val="Times New Roman"/>
        <family val="1"/>
      </rPr>
      <t>60</t>
    </r>
    <r>
      <rPr>
        <b/>
        <sz val="14"/>
        <color indexed="8"/>
        <rFont val="Times New Roman"/>
        <family val="1"/>
      </rPr>
      <t>Co Calibration Certificate
 and MV Photon Beam Measured</t>
    </r>
    <r>
      <rPr>
        <b/>
        <i/>
        <sz val="14"/>
        <color indexed="8"/>
        <rFont val="Times New Roman"/>
        <family val="1"/>
      </rPr>
      <t xml:space="preserve"> k</t>
    </r>
    <r>
      <rPr>
        <b/>
        <i/>
        <vertAlign val="subscript"/>
        <sz val="14"/>
        <color indexed="8"/>
        <rFont val="Times New Roman"/>
        <family val="1"/>
      </rPr>
      <t>Q</t>
    </r>
    <r>
      <rPr>
        <b/>
        <sz val="14"/>
        <color indexed="8"/>
        <rFont val="Times New Roman"/>
        <family val="1"/>
      </rPr>
      <t xml:space="preserve"> Factors</t>
    </r>
  </si>
  <si>
    <t>Keithley 6517A</t>
  </si>
  <si>
    <t>From the N D,W measurement on the date of the Electrometer calibration</t>
  </si>
  <si>
    <t>A jumper and cables on the rear panel control the amplifier configuration. For hospital use, the jumper must not connect COMMON and chassis ground, so that the voltage supply is floating. Cables were used to connect "COMMON" to "HI" and "GND" to "LO". The bias voltage is set from the front panel menu. Users may select the magnitude and polarity. When "+" is selected, positive voltage is applied to the inner shield of the triaxial cable and the collecting electrode is kept at positive voltage by the electrometer amplifier. The outer shield of the cable is at ground. Hence setting "+" results in Central Electrode Positive (CEP).</t>
  </si>
  <si>
    <r>
      <t xml:space="preserve">Air Kerma Calibration Certificate - </t>
    </r>
    <r>
      <rPr>
        <b/>
        <u/>
        <vertAlign val="superscript"/>
        <sz val="14"/>
        <color indexed="8"/>
        <rFont val="Times New Roman"/>
        <family val="1"/>
      </rPr>
      <t>60</t>
    </r>
    <r>
      <rPr>
        <b/>
        <u/>
        <sz val="14"/>
        <color indexed="8"/>
        <rFont val="Times New Roman"/>
        <family val="1"/>
      </rPr>
      <t>Co gamma-rays</t>
    </r>
  </si>
  <si>
    <t>On the central axis of the chamber in the plane described by the</t>
  </si>
  <si>
    <t>line on the build up cap</t>
  </si>
  <si>
    <t>Chamber reference mark facing the radiation source</t>
  </si>
  <si>
    <t>10 cm x 10 cm square beam</t>
  </si>
  <si>
    <t>Build up</t>
  </si>
  <si>
    <t>Delrin</t>
  </si>
  <si>
    <t>PMMA</t>
  </si>
  <si>
    <t>Date of NK measurements</t>
  </si>
  <si>
    <r>
      <rPr>
        <b/>
        <sz val="12"/>
        <color indexed="8"/>
        <rFont val="Times New Roman"/>
        <family val="1"/>
      </rPr>
      <t>Table 3:</t>
    </r>
    <r>
      <rPr>
        <sz val="12"/>
        <color indexed="8"/>
        <rFont val="Times New Roman"/>
        <family val="1"/>
      </rPr>
      <t xml:space="preserve"> </t>
    </r>
    <r>
      <rPr>
        <vertAlign val="superscript"/>
        <sz val="12"/>
        <color indexed="8"/>
        <rFont val="Times New Roman"/>
        <family val="1"/>
      </rPr>
      <t>60</t>
    </r>
    <r>
      <rPr>
        <sz val="12"/>
        <color indexed="8"/>
        <rFont val="Times New Roman"/>
        <family val="1"/>
      </rPr>
      <t>Co air kerma calibration coefficient</t>
    </r>
  </si>
  <si>
    <r>
      <rPr>
        <vertAlign val="superscript"/>
        <sz val="11"/>
        <color indexed="8"/>
        <rFont val="Times New Roman"/>
        <family val="1"/>
      </rPr>
      <t>60</t>
    </r>
    <r>
      <rPr>
        <sz val="11"/>
        <color indexed="8"/>
        <rFont val="Times New Roman"/>
        <family val="1"/>
      </rPr>
      <t>Co</t>
    </r>
  </si>
  <si>
    <t>Air kerma rate</t>
  </si>
  <si>
    <t>From the N K calculation spreadsheet</t>
  </si>
  <si>
    <r>
      <t xml:space="preserve">is the calibration coefficient measured at </t>
    </r>
    <r>
      <rPr>
        <vertAlign val="superscript"/>
        <sz val="12"/>
        <rFont val="Times New Roman"/>
        <family val="1"/>
      </rPr>
      <t>60</t>
    </r>
    <r>
      <rPr>
        <sz val="12"/>
        <rFont val="Times New Roman"/>
        <family val="1"/>
      </rPr>
      <t xml:space="preserve">Co, without correction for the effects of recombination and polarity at </t>
    </r>
    <r>
      <rPr>
        <vertAlign val="superscript"/>
        <sz val="12"/>
        <rFont val="Times New Roman"/>
        <family val="1"/>
      </rPr>
      <t>60</t>
    </r>
    <r>
      <rPr>
        <sz val="12"/>
        <rFont val="Times New Roman"/>
        <family val="1"/>
      </rPr>
      <t>Co, as printed in Table 4;</t>
    </r>
  </si>
  <si>
    <t>CPO</t>
  </si>
  <si>
    <t>Added 60Co air kerma calibration certificate page back into report</t>
  </si>
  <si>
    <r>
      <t xml:space="preserve">is the beam quality correction factor for the user beam </t>
    </r>
    <r>
      <rPr>
        <i/>
        <sz val="12"/>
        <rFont val="Times New Roman"/>
        <family val="1"/>
      </rPr>
      <t>Q</t>
    </r>
    <r>
      <rPr>
        <sz val="12"/>
        <rFont val="Times New Roman"/>
        <family val="1"/>
      </rPr>
      <t xml:space="preserve"> relative to </t>
    </r>
    <r>
      <rPr>
        <vertAlign val="superscript"/>
        <sz val="12"/>
        <rFont val="Times New Roman"/>
        <family val="1"/>
      </rPr>
      <t>60</t>
    </r>
    <r>
      <rPr>
        <sz val="12"/>
        <rFont val="Times New Roman"/>
        <family val="1"/>
      </rPr>
      <t>Co;</t>
    </r>
  </si>
  <si>
    <t>The magnitude of the bias voltage is set from the front panel menu with the polarity being selected with the rear panel HV-Polarity switch. Users may select the magnitude and polarity. When "+" is selected, negative voltage is applied to the inner shield of the triaxial cable and the collecting electrode is kept at negative voltage by the electrometer amplifier. The outer shield of the cable is at ground. Hence setting "+" results in Central Electrode Negative (CEN).</t>
  </si>
  <si>
    <t>(NB this one has a switch)</t>
  </si>
  <si>
    <t>Mode/Range</t>
  </si>
  <si>
    <t>(Appears on certificate - can overwrite here  eg. '300 V' on the front panel with the rear panel HV-Polarity switch set to '+' - for the PTW UNIDOS T10002 )</t>
  </si>
  <si>
    <t>∫Current dt, Med 10 nA</t>
  </si>
  <si>
    <t>Text you might need to copy and paste:</t>
  </si>
  <si>
    <t>(otherwise B19 should be set to =Client!AF7)</t>
  </si>
  <si>
    <t>DB+JM</t>
  </si>
  <si>
    <t>Adjustments to incporate the switch position for UNIDOS T10002 electrometers</t>
  </si>
  <si>
    <t>TELETHERAPY CALIBRATION QA RATIO CHECKS AND MEASUREMENT REPORTS</t>
  </si>
  <si>
    <t>2. Measured recombination and polarity corrections for client chamber</t>
  </si>
  <si>
    <r>
      <t xml:space="preserve">and </t>
    </r>
    <r>
      <rPr>
        <i/>
        <sz val="12"/>
        <rFont val="Times New Roman"/>
        <family val="1"/>
      </rPr>
      <t>M</t>
    </r>
    <r>
      <rPr>
        <vertAlign val="subscript"/>
        <sz val="12"/>
        <rFont val="Times New Roman"/>
        <family val="1"/>
      </rPr>
      <t>1</t>
    </r>
    <r>
      <rPr>
        <sz val="12"/>
        <rFont val="Times New Roman"/>
        <family val="1"/>
      </rPr>
      <t xml:space="preserve"> and </t>
    </r>
    <r>
      <rPr>
        <i/>
        <sz val="12"/>
        <rFont val="Times New Roman"/>
        <family val="1"/>
      </rPr>
      <t>M</t>
    </r>
    <r>
      <rPr>
        <vertAlign val="subscript"/>
        <sz val="12"/>
        <rFont val="Times New Roman"/>
        <family val="1"/>
      </rPr>
      <t>2</t>
    </r>
    <r>
      <rPr>
        <sz val="12"/>
        <rFont val="Times New Roman"/>
        <family val="1"/>
      </rPr>
      <t xml:space="preserve"> are the charges collected at</t>
    </r>
  </si>
  <si>
    <r>
      <rPr>
        <i/>
        <sz val="12"/>
        <rFont val="Times New Roman"/>
        <family val="1"/>
      </rPr>
      <t>V</t>
    </r>
    <r>
      <rPr>
        <i/>
        <vertAlign val="subscript"/>
        <sz val="12"/>
        <rFont val="Times New Roman"/>
        <family val="1"/>
      </rPr>
      <t>2</t>
    </r>
  </si>
  <si>
    <r>
      <t xml:space="preserve">    </t>
    </r>
    <r>
      <rPr>
        <i/>
        <sz val="12"/>
        <rFont val="Times New Roman"/>
        <family val="1"/>
      </rPr>
      <t>V</t>
    </r>
    <r>
      <rPr>
        <vertAlign val="subscript"/>
        <sz val="12"/>
        <rFont val="Times New Roman"/>
        <family val="1"/>
      </rPr>
      <t>1</t>
    </r>
    <r>
      <rPr>
        <sz val="12"/>
        <rFont val="Times New Roman"/>
        <family val="1"/>
      </rPr>
      <t xml:space="preserve"> and </t>
    </r>
    <r>
      <rPr>
        <i/>
        <sz val="12"/>
        <rFont val="Times New Roman"/>
        <family val="1"/>
      </rPr>
      <t>V</t>
    </r>
    <r>
      <rPr>
        <vertAlign val="subscript"/>
        <sz val="12"/>
        <rFont val="Times New Roman"/>
        <family val="1"/>
      </rPr>
      <t>2</t>
    </r>
    <r>
      <rPr>
        <sz val="12"/>
        <rFont val="Times New Roman"/>
        <family val="1"/>
      </rPr>
      <t xml:space="preserve"> respectively.</t>
    </r>
  </si>
  <si>
    <r>
      <t xml:space="preserve">where </t>
    </r>
    <r>
      <rPr>
        <i/>
        <sz val="12"/>
        <rFont val="Times New Roman"/>
        <family val="1"/>
      </rPr>
      <t>V</t>
    </r>
    <r>
      <rPr>
        <vertAlign val="subscript"/>
        <sz val="12"/>
        <rFont val="Times New Roman"/>
        <family val="1"/>
      </rPr>
      <t xml:space="preserve">1 </t>
    </r>
    <r>
      <rPr>
        <sz val="12"/>
        <rFont val="Times New Roman"/>
        <family val="1"/>
      </rPr>
      <t xml:space="preserve"> is</t>
    </r>
  </si>
  <si>
    <r>
      <t xml:space="preserve">We define </t>
    </r>
    <r>
      <rPr>
        <i/>
        <sz val="12"/>
        <rFont val="Times New Roman"/>
        <family val="1"/>
      </rPr>
      <t>M</t>
    </r>
    <r>
      <rPr>
        <sz val="12"/>
        <rFont val="Times New Roman"/>
        <family val="1"/>
      </rPr>
      <t xml:space="preserve"> and </t>
    </r>
    <r>
      <rPr>
        <i/>
        <sz val="12"/>
        <rFont val="Times New Roman"/>
        <family val="1"/>
      </rPr>
      <t>M</t>
    </r>
    <r>
      <rPr>
        <i/>
        <vertAlign val="subscript"/>
        <sz val="12"/>
        <rFont val="Times New Roman"/>
        <family val="1"/>
      </rPr>
      <t>+</t>
    </r>
    <r>
      <rPr>
        <sz val="12"/>
        <rFont val="Times New Roman"/>
        <family val="1"/>
      </rPr>
      <t xml:space="preserve"> to be the charge when the voltage is the operating voltage (</t>
    </r>
    <r>
      <rPr>
        <i/>
        <sz val="12"/>
        <rFont val="Times New Roman"/>
        <family val="1"/>
      </rPr>
      <t>V</t>
    </r>
    <r>
      <rPr>
        <vertAlign val="subscript"/>
        <sz val="12"/>
        <rFont val="Times New Roman"/>
        <family val="1"/>
      </rPr>
      <t>1</t>
    </r>
    <r>
      <rPr>
        <sz val="12"/>
        <rFont val="Times New Roman"/>
        <family val="1"/>
      </rPr>
      <t xml:space="preserve">), and </t>
    </r>
    <r>
      <rPr>
        <i/>
        <sz val="12"/>
        <rFont val="Times New Roman"/>
        <family val="1"/>
      </rPr>
      <t>M</t>
    </r>
    <r>
      <rPr>
        <vertAlign val="subscript"/>
        <sz val="12"/>
        <rFont val="Times New Roman"/>
        <family val="1"/>
      </rPr>
      <t>-</t>
    </r>
    <r>
      <rPr>
        <sz val="12"/>
        <rFont val="Times New Roman"/>
        <family val="1"/>
      </rPr>
      <t xml:space="preserve"> is the charge at -</t>
    </r>
    <r>
      <rPr>
        <i/>
        <sz val="12"/>
        <rFont val="Times New Roman"/>
        <family val="1"/>
      </rPr>
      <t>V</t>
    </r>
    <r>
      <rPr>
        <vertAlign val="subscript"/>
        <sz val="12"/>
        <rFont val="Times New Roman"/>
        <family val="1"/>
      </rPr>
      <t>1</t>
    </r>
    <r>
      <rPr>
        <sz val="12"/>
        <rFont val="Times New Roman"/>
        <family val="1"/>
      </rPr>
      <t>.</t>
    </r>
  </si>
  <si>
    <r>
      <t>is the correction factor to convert the cavity air mass to reference conditions of temperature 20</t>
    </r>
    <r>
      <rPr>
        <sz val="12"/>
        <rFont val="Symbol"/>
        <family val="1"/>
        <charset val="2"/>
      </rPr>
      <t>°</t>
    </r>
    <r>
      <rPr>
        <sz val="12"/>
        <rFont val="Times New Roman"/>
        <family val="1"/>
      </rPr>
      <t>C (293.15 K) and pressure 101.325 kPa;</t>
    </r>
  </si>
  <si>
    <r>
      <t xml:space="preserve">is the recombination correction in the user beam </t>
    </r>
    <r>
      <rPr>
        <i/>
        <sz val="12"/>
        <rFont val="Times New Roman"/>
        <family val="1"/>
      </rPr>
      <t>Q</t>
    </r>
    <r>
      <rPr>
        <sz val="12"/>
        <rFont val="Times New Roman"/>
        <family val="1"/>
      </rPr>
      <t>, as determined by the user from the two voltage method as described in IAEA TRS-398;</t>
    </r>
  </si>
  <si>
    <r>
      <t xml:space="preserve">is the polarity correction in the user beam </t>
    </r>
    <r>
      <rPr>
        <i/>
        <sz val="12"/>
        <rFont val="Times New Roman"/>
        <family val="1"/>
      </rPr>
      <t>Q</t>
    </r>
    <r>
      <rPr>
        <sz val="12"/>
        <rFont val="Times New Roman"/>
        <family val="1"/>
      </rPr>
      <t>, as determined by the user from measurements made at opposite voltages as described in IAEA TRS-398;</t>
    </r>
  </si>
  <si>
    <t>The formula used to obtain the recombination correction in pulsed accelerator beams was</t>
  </si>
  <si>
    <r>
      <t xml:space="preserve">In </t>
    </r>
    <r>
      <rPr>
        <vertAlign val="superscript"/>
        <sz val="12"/>
        <color indexed="8"/>
        <rFont val="Times New Roman"/>
        <family val="1"/>
      </rPr>
      <t>60</t>
    </r>
    <r>
      <rPr>
        <sz val="12"/>
        <color indexed="8"/>
        <rFont val="Times New Roman"/>
        <family val="1"/>
      </rPr>
      <t>Co and MV photon beams, the recombination correction was estimated using the</t>
    </r>
  </si>
  <si>
    <t>DB</t>
  </si>
  <si>
    <t>5-validation</t>
  </si>
  <si>
    <t>Validation see RES00607</t>
  </si>
  <si>
    <r>
      <t xml:space="preserve">The polarising voltage on the guard, </t>
    </r>
    <r>
      <rPr>
        <b/>
        <sz val="10"/>
        <rFont val="Arial"/>
        <family val="2"/>
      </rPr>
      <t>include sign, no V</t>
    </r>
    <r>
      <rPr>
        <sz val="10"/>
        <rFont val="Arial"/>
        <family val="2"/>
      </rPr>
      <t>, e.g. "-300". Number only.</t>
    </r>
  </si>
  <si>
    <r>
      <t xml:space="preserve">The </t>
    </r>
    <r>
      <rPr>
        <vertAlign val="superscript"/>
        <sz val="12"/>
        <rFont val="Times New Roman"/>
        <family val="1"/>
      </rPr>
      <t>60</t>
    </r>
    <r>
      <rPr>
        <sz val="12"/>
        <rFont val="Times New Roman"/>
        <family val="1"/>
      </rPr>
      <t xml:space="preserve">Co </t>
    </r>
    <r>
      <rPr>
        <i/>
        <sz val="12"/>
        <rFont val="Times New Roman"/>
        <family val="1"/>
      </rPr>
      <t>k</t>
    </r>
    <r>
      <rPr>
        <i/>
        <vertAlign val="subscript"/>
        <sz val="12"/>
        <rFont val="Times New Roman"/>
        <family val="1"/>
      </rPr>
      <t>Q</t>
    </r>
    <r>
      <rPr>
        <sz val="12"/>
        <rFont val="Times New Roman"/>
        <family val="1"/>
      </rPr>
      <t xml:space="preserve"> (1.00) and the three measured MV photon </t>
    </r>
    <r>
      <rPr>
        <i/>
        <sz val="12"/>
        <rFont val="Times New Roman"/>
        <family val="1"/>
      </rPr>
      <t>k</t>
    </r>
    <r>
      <rPr>
        <i/>
        <vertAlign val="subscript"/>
        <sz val="12"/>
        <rFont val="Times New Roman"/>
        <family val="1"/>
      </rPr>
      <t>Q</t>
    </r>
    <r>
      <rPr>
        <i/>
        <sz val="12"/>
        <rFont val="Times New Roman"/>
        <family val="1"/>
      </rPr>
      <t xml:space="preserve"> </t>
    </r>
    <r>
      <rPr>
        <sz val="12"/>
        <rFont val="Times New Roman"/>
        <family val="1"/>
      </rPr>
      <t>factors were fitted with a quadratic shown in Figure 1 of the form</t>
    </r>
  </si>
  <si>
    <t>Chamber is column number</t>
  </si>
  <si>
    <t>Lookup 'Limits' sheet</t>
  </si>
  <si>
    <t>Number of blank lines at the start =</t>
  </si>
  <si>
    <t>From 'Limits' sheet</t>
  </si>
  <si>
    <t>The front window is graphite coated acrylic of thickness 118 mg/cm^2 (~1 mm).</t>
  </si>
  <si>
    <t>Chamber description –  Advanced Markus</t>
  </si>
  <si>
    <t>The chamber is waterproof with the 0.87 mm thick cap on.</t>
  </si>
  <si>
    <t>The nominal cavity volume is 0.35 cc. Plate separation 2 mm.</t>
  </si>
  <si>
    <t>The nominal cavity volume is 0.02 cc. Plate separation 1 mm.</t>
  </si>
  <si>
    <t>The collecting electrode is 5 mm in diameter.</t>
  </si>
  <si>
    <t>The front window is graphited polyethylene foil, thickness 102 mg/cm^2 (cap is 0.9 mm).</t>
  </si>
  <si>
    <t>5 -Production</t>
  </si>
  <si>
    <t>Validated and locked off</t>
  </si>
  <si>
    <t>PTW 30012</t>
  </si>
  <si>
    <t>Exradin A12</t>
  </si>
  <si>
    <t>IBA CC13</t>
  </si>
  <si>
    <t>Chamber description – PTW 30012</t>
  </si>
  <si>
    <t>The nominal cavity volume is 0.6 cc (length 23 mm and radius 3.05 mm).</t>
  </si>
  <si>
    <t>Chamber description – Exradin A12</t>
  </si>
  <si>
    <t>The nominal cavity volume is 0.64 cc (length 24.2 mm and radius 3.05 mm).</t>
  </si>
  <si>
    <t>The central electrode is C552 (air-equivalent) plastic.</t>
  </si>
  <si>
    <t>The build-up cap is C552 (air-equivalent) plastic.</t>
  </si>
  <si>
    <t>C552 (air-equivalent) plastic</t>
  </si>
  <si>
    <t>Chamber description – IBA CC13</t>
  </si>
  <si>
    <t>The nominal cavity volume is 0.13 cc (length 5.8 mm and radius 3.0 mm).</t>
  </si>
  <si>
    <t>The chamber does not have a build-up cap.</t>
  </si>
  <si>
    <t>IBA DOSE 2</t>
  </si>
  <si>
    <t>The calibration coefficients for the chamber for each X-ray beam quality from the Gulmay Comet X-ray generator were determined by comparison with the ARPANSA Medium Energy Free-Air Chamber, which is the Australian primary standard of air kerma for medium energy X-rays.</t>
  </si>
  <si>
    <t>kQ</t>
  </si>
  <si>
    <t>6-dev</t>
  </si>
  <si>
    <t>Added in new chamber types and refined QC tables in MV-P sheet</t>
  </si>
  <si>
    <t>QC Chamber Reference Values</t>
  </si>
  <si>
    <t>Comet beams</t>
  </si>
  <si>
    <t>(mm Al)</t>
  </si>
  <si>
    <t>(mm Cu)</t>
  </si>
  <si>
    <t>Chamber data</t>
  </si>
  <si>
    <t>NE2571</t>
  </si>
  <si>
    <t>NE2561</t>
  </si>
  <si>
    <t>PTW30013</t>
  </si>
  <si>
    <t xml:space="preserve"> - Avg NK</t>
  </si>
  <si>
    <t>Index #</t>
  </si>
  <si>
    <t>TEB</t>
  </si>
  <si>
    <t>Added MEX QC chamber reference NK values and column in MEX tab to check measured against reference</t>
  </si>
  <si>
    <t>Made sure all non-yellow cells will lock when the sheets are protected</t>
  </si>
  <si>
    <t>6-Production</t>
  </si>
  <si>
    <t>Ref value</t>
  </si>
  <si>
    <t>for QC</t>
  </si>
  <si>
    <t>QA chamber serial</t>
  </si>
  <si>
    <t>2. ARPANSA QA Chamber</t>
  </si>
  <si>
    <t>QC chambers</t>
  </si>
  <si>
    <t>MeV electron beams - QC chambers</t>
  </si>
  <si>
    <t>PTW Roos sn 2185</t>
  </si>
  <si>
    <t>PTW Roos sn 1195</t>
  </si>
  <si>
    <t>PTW Roos sn 2186</t>
  </si>
  <si>
    <t>Ref Value</t>
  </si>
  <si>
    <t>ref value</t>
  </si>
  <si>
    <t>Corrected air kerma rate for NXD200 from 1.5 to 2.9 mGy/s and NXJ40 from 2.4 to 2.2 mGy/s</t>
  </si>
  <si>
    <t>CO</t>
  </si>
  <si>
    <t>QC chamber added to MV-E</t>
  </si>
  <si>
    <t>Duncan Butler, Tracy Bailey, Chris Oliver, James Mazaraki</t>
  </si>
  <si>
    <t>7-dev</t>
  </si>
  <si>
    <t>Added lines for extra 7 NXK beams to 'MEX', 'MEXtabs' and 'MEXReport' tabs</t>
  </si>
  <si>
    <t>NXK40</t>
  </si>
  <si>
    <t>NXK50</t>
  </si>
  <si>
    <t>NXK60</t>
  </si>
  <si>
    <t>NXK70</t>
  </si>
  <si>
    <t>NXK80</t>
  </si>
  <si>
    <t>NXK90</t>
  </si>
  <si>
    <t>NXK100</t>
  </si>
  <si>
    <t>Added updated HVLs for all MEX beams</t>
  </si>
  <si>
    <t>QC reference data are derived from the history of several chambers (see IRC-FORM-3100C)</t>
  </si>
  <si>
    <t>updated QC data for NXK beams</t>
  </si>
  <si>
    <t>Removed client accelerator name from MV-E and MVEreport</t>
  </si>
  <si>
    <t>7-Production</t>
  </si>
  <si>
    <t>Removed NATA and CIPM logos from MVPreport and MVEreport</t>
  </si>
  <si>
    <t>Air Kerma Calibration Certificate - Medium-Energy X-rays</t>
  </si>
  <si>
    <r>
      <t xml:space="preserve">The reference chamber was calibrated by ARPANSA in </t>
    </r>
    <r>
      <rPr>
        <vertAlign val="superscript"/>
        <sz val="12"/>
        <rFont val="Times New Roman"/>
        <family val="1"/>
      </rPr>
      <t>60</t>
    </r>
    <r>
      <rPr>
        <sz val="12"/>
        <rFont val="Times New Roman"/>
        <family val="1"/>
      </rPr>
      <t>Co gamma radiation (</t>
    </r>
    <r>
      <rPr>
        <i/>
        <sz val="12"/>
        <rFont val="Cambria"/>
        <family val="1"/>
      </rPr>
      <t>Q</t>
    </r>
    <r>
      <rPr>
        <vertAlign val="subscript"/>
        <sz val="12"/>
        <rFont val="Cambria"/>
        <family val="1"/>
      </rPr>
      <t>o</t>
    </r>
    <r>
      <rPr>
        <sz val="12"/>
        <rFont val="Times New Roman"/>
        <family val="1"/>
      </rPr>
      <t xml:space="preserve">= </t>
    </r>
    <r>
      <rPr>
        <vertAlign val="superscript"/>
        <sz val="12"/>
        <rFont val="Times New Roman"/>
        <family val="1"/>
      </rPr>
      <t>60</t>
    </r>
    <r>
      <rPr>
        <sz val="12"/>
        <rFont val="Times New Roman"/>
        <family val="1"/>
      </rPr>
      <t>Co).</t>
    </r>
  </si>
  <si>
    <r>
      <t xml:space="preserve">A dose measurement made at one polarity can be corrected to the average of the dose measurements made at opposite polarities using the polarity correction </t>
    </r>
    <r>
      <rPr>
        <i/>
        <sz val="12"/>
        <rFont val="Times New Roman"/>
        <family val="1"/>
      </rPr>
      <t>k</t>
    </r>
    <r>
      <rPr>
        <vertAlign val="subscript"/>
        <sz val="12"/>
        <rFont val="Times New Roman"/>
        <family val="1"/>
      </rPr>
      <t>pol</t>
    </r>
    <r>
      <rPr>
        <sz val="12"/>
        <rFont val="Times New Roman"/>
        <family val="1"/>
      </rPr>
      <t>, where</t>
    </r>
  </si>
  <si>
    <r>
      <t xml:space="preserve">Reference point positioned at reference depth, </t>
    </r>
    <r>
      <rPr>
        <i/>
        <sz val="11"/>
        <color indexed="8"/>
        <rFont val="Cambria"/>
        <family val="1"/>
      </rPr>
      <t>z</t>
    </r>
    <r>
      <rPr>
        <i/>
        <vertAlign val="subscript"/>
        <sz val="11"/>
        <color indexed="8"/>
        <rFont val="Cambria"/>
        <family val="1"/>
      </rPr>
      <t>ref</t>
    </r>
  </si>
  <si>
    <r>
      <rPr>
        <b/>
        <sz val="11"/>
        <color indexed="8"/>
        <rFont val="Times New Roman"/>
        <family val="1"/>
      </rPr>
      <t>Table 3</t>
    </r>
    <r>
      <rPr>
        <sz val="11"/>
        <color indexed="8"/>
        <rFont val="Times New Roman"/>
        <family val="1"/>
      </rPr>
      <t>: Absorbed dose to water calibration coefficient</t>
    </r>
  </si>
  <si>
    <t>(3)</t>
  </si>
  <si>
    <t>is the absorbed dose to water in the linear accelerator electron beam at the reference depth, in the absence of the chamber;</t>
  </si>
  <si>
    <t>denotes the user’s linear accelerator electron beam quality;</t>
  </si>
  <si>
    <r>
      <t xml:space="preserve">is the polarity correction in the user beam </t>
    </r>
    <r>
      <rPr>
        <i/>
        <sz val="12"/>
        <rFont val="Cambria"/>
        <family val="1"/>
      </rPr>
      <t>Q</t>
    </r>
    <r>
      <rPr>
        <sz val="12"/>
        <rFont val="Times New Roman"/>
        <family val="1"/>
      </rPr>
      <t>, as determined by the user from measurements made at opposite voltages as described in TRS-398;</t>
    </r>
  </si>
  <si>
    <r>
      <t xml:space="preserve">is the recombination correction in the user beam </t>
    </r>
    <r>
      <rPr>
        <i/>
        <sz val="12"/>
        <rFont val="Cambria"/>
        <family val="1"/>
      </rPr>
      <t>Q</t>
    </r>
    <r>
      <rPr>
        <sz val="12"/>
        <rFont val="Times New Roman"/>
        <family val="1"/>
      </rPr>
      <t>, as determined by the user from the two voltage method as described in TRS-398;</t>
    </r>
  </si>
  <si>
    <r>
      <t xml:space="preserve">is the calibration coefficient at </t>
    </r>
    <r>
      <rPr>
        <i/>
        <sz val="12"/>
        <rFont val="Cambria"/>
        <family val="1"/>
      </rPr>
      <t>Q</t>
    </r>
    <r>
      <rPr>
        <i/>
        <vertAlign val="subscript"/>
        <sz val="12"/>
        <rFont val="Cambria"/>
        <family val="1"/>
      </rPr>
      <t>cross</t>
    </r>
    <r>
      <rPr>
        <sz val="12"/>
        <rFont val="Times New Roman"/>
        <family val="1"/>
      </rPr>
      <t xml:space="preserve">, corrected for the effects of recombination and polarity at </t>
    </r>
    <r>
      <rPr>
        <i/>
        <sz val="12"/>
        <rFont val="Cambria"/>
        <family val="1"/>
      </rPr>
      <t>Q</t>
    </r>
    <r>
      <rPr>
        <i/>
        <vertAlign val="subscript"/>
        <sz val="12"/>
        <rFont val="Cambria"/>
        <family val="1"/>
      </rPr>
      <t>cross</t>
    </r>
    <r>
      <rPr>
        <sz val="12"/>
        <rFont val="Times New Roman"/>
        <family val="1"/>
      </rPr>
      <t xml:space="preserve"> (i.e. the average of the absolute value of the calibration coefficients obtained at opposite polarising voltages, when all the charge released in the chamber cavity is collected), as given in Table 3;</t>
    </r>
  </si>
  <si>
    <r>
      <t xml:space="preserve">is the beam quality correction factor for the user beam </t>
    </r>
    <r>
      <rPr>
        <i/>
        <sz val="12"/>
        <rFont val="Cambria"/>
        <family val="1"/>
      </rPr>
      <t>Q</t>
    </r>
    <r>
      <rPr>
        <sz val="12"/>
        <rFont val="Times New Roman"/>
        <family val="1"/>
      </rPr>
      <t xml:space="preserve"> relative to </t>
    </r>
    <r>
      <rPr>
        <i/>
        <sz val="12"/>
        <rFont val="Cambria"/>
        <family val="1"/>
      </rPr>
      <t>Q</t>
    </r>
    <r>
      <rPr>
        <i/>
        <vertAlign val="subscript"/>
        <sz val="12"/>
        <rFont val="Cambria"/>
        <family val="1"/>
      </rPr>
      <t>cross</t>
    </r>
    <r>
      <rPr>
        <sz val="12"/>
        <rFont val="Times New Roman"/>
        <family val="1"/>
      </rPr>
      <t>.</t>
    </r>
  </si>
  <si>
    <t>are determined using</t>
  </si>
  <si>
    <r>
      <t xml:space="preserve"> The recombination correction, </t>
    </r>
    <r>
      <rPr>
        <i/>
        <sz val="12"/>
        <rFont val="Times New Roman"/>
        <family val="1"/>
      </rPr>
      <t>k</t>
    </r>
    <r>
      <rPr>
        <i/>
        <vertAlign val="subscript"/>
        <sz val="12"/>
        <rFont val="Times New Roman"/>
        <family val="1"/>
      </rPr>
      <t>s</t>
    </r>
    <r>
      <rPr>
        <sz val="12"/>
        <rFont val="Times New Roman"/>
        <family val="1"/>
      </rPr>
      <t xml:space="preserve"> was estimated using the two-voltage method.</t>
    </r>
  </si>
  <si>
    <t>8-dev</t>
  </si>
  <si>
    <r>
      <rPr>
        <b/>
        <vertAlign val="superscript"/>
        <sz val="10"/>
        <rFont val="Arial"/>
        <family val="2"/>
      </rPr>
      <t>60</t>
    </r>
    <r>
      <rPr>
        <b/>
        <sz val="10"/>
        <rFont val="Arial"/>
        <family val="2"/>
      </rPr>
      <t>Co N</t>
    </r>
    <r>
      <rPr>
        <b/>
        <vertAlign val="subscript"/>
        <sz val="10"/>
        <rFont val="Arial"/>
        <family val="2"/>
      </rPr>
      <t>D,w</t>
    </r>
  </si>
  <si>
    <r>
      <rPr>
        <b/>
        <vertAlign val="superscript"/>
        <sz val="10"/>
        <rFont val="Arial"/>
        <family val="2"/>
      </rPr>
      <t>60</t>
    </r>
    <r>
      <rPr>
        <b/>
        <sz val="10"/>
        <rFont val="Arial"/>
        <family val="2"/>
      </rPr>
      <t>Co N</t>
    </r>
    <r>
      <rPr>
        <b/>
        <vertAlign val="subscript"/>
        <sz val="10"/>
        <rFont val="Arial"/>
        <family val="2"/>
      </rPr>
      <t>K</t>
    </r>
  </si>
  <si>
    <r>
      <t>6 MV N</t>
    </r>
    <r>
      <rPr>
        <b/>
        <vertAlign val="subscript"/>
        <sz val="10"/>
        <rFont val="Arial"/>
        <family val="2"/>
      </rPr>
      <t>D,w</t>
    </r>
  </si>
  <si>
    <r>
      <t>10 MV N</t>
    </r>
    <r>
      <rPr>
        <b/>
        <vertAlign val="subscript"/>
        <sz val="10"/>
        <rFont val="Arial"/>
        <family val="2"/>
      </rPr>
      <t>D,w</t>
    </r>
  </si>
  <si>
    <r>
      <t>18 MV N</t>
    </r>
    <r>
      <rPr>
        <b/>
        <vertAlign val="subscript"/>
        <sz val="10"/>
        <rFont val="Arial"/>
        <family val="2"/>
      </rPr>
      <t>D,w</t>
    </r>
  </si>
  <si>
    <t>Same as in analysis spreadsheet?</t>
  </si>
  <si>
    <r>
      <t>k</t>
    </r>
    <r>
      <rPr>
        <vertAlign val="subscript"/>
        <sz val="10"/>
        <rFont val="Arial"/>
        <family val="2"/>
      </rPr>
      <t>s</t>
    </r>
  </si>
  <si>
    <r>
      <t>k</t>
    </r>
    <r>
      <rPr>
        <vertAlign val="subscript"/>
        <sz val="10"/>
        <rFont val="Arial"/>
        <family val="2"/>
      </rPr>
      <t>pol</t>
    </r>
  </si>
  <si>
    <r>
      <t>k</t>
    </r>
    <r>
      <rPr>
        <vertAlign val="subscript"/>
        <sz val="10"/>
        <rFont val="Arial"/>
        <family val="2"/>
      </rPr>
      <t>Q</t>
    </r>
    <r>
      <rPr>
        <sz val="10"/>
        <rFont val="Arial"/>
        <family val="2"/>
      </rPr>
      <t xml:space="preserve"> variation from chamber average</t>
    </r>
  </si>
  <si>
    <t>Less than 1?</t>
  </si>
  <si>
    <r>
      <t>N</t>
    </r>
    <r>
      <rPr>
        <vertAlign val="subscript"/>
        <sz val="10"/>
        <rFont val="Arial"/>
        <family val="2"/>
      </rPr>
      <t>D,w</t>
    </r>
    <r>
      <rPr>
        <sz val="10"/>
        <rFont val="Arial"/>
        <family val="2"/>
      </rPr>
      <t xml:space="preserve"> - Result 1</t>
    </r>
  </si>
  <si>
    <t>Percentage</t>
  </si>
  <si>
    <t>difference</t>
  </si>
  <si>
    <t>% Difference</t>
  </si>
  <si>
    <t xml:space="preserve">Average = </t>
  </si>
  <si>
    <r>
      <t>Q</t>
    </r>
    <r>
      <rPr>
        <vertAlign val="subscript"/>
        <sz val="10"/>
        <rFont val="Arial"/>
        <family val="2"/>
      </rPr>
      <t>cross</t>
    </r>
  </si>
  <si>
    <t>QC chamber variation</t>
  </si>
  <si>
    <r>
      <t>Date of MV photon N</t>
    </r>
    <r>
      <rPr>
        <b/>
        <vertAlign val="subscript"/>
        <sz val="10"/>
        <rFont val="Arial"/>
        <family val="2"/>
      </rPr>
      <t>D,w</t>
    </r>
    <r>
      <rPr>
        <b/>
        <sz val="10"/>
        <rFont val="Arial"/>
        <family val="2"/>
      </rPr>
      <t xml:space="preserve"> measurements</t>
    </r>
  </si>
  <si>
    <r>
      <t xml:space="preserve">Reference depth, </t>
    </r>
    <r>
      <rPr>
        <i/>
        <sz val="11"/>
        <color indexed="8"/>
        <rFont val="Cambria"/>
        <family val="1"/>
      </rPr>
      <t>z</t>
    </r>
    <r>
      <rPr>
        <i/>
        <vertAlign val="subscript"/>
        <sz val="11"/>
        <color indexed="8"/>
        <rFont val="Cambria"/>
        <family val="1"/>
      </rPr>
      <t>ref</t>
    </r>
  </si>
  <si>
    <t>CAL00580</t>
  </si>
  <si>
    <t>is the ratio of the reference chamber response to the response of the chamber to be calibrated where both readings are corrected for the influence quantities of temperature, pressure, electrometer calibration, polarity and recombination;</t>
  </si>
  <si>
    <r>
      <t xml:space="preserve">is the calibration factor for the reference chamber in terms of absorbed dose to water at quality </t>
    </r>
    <r>
      <rPr>
        <i/>
        <sz val="12"/>
        <rFont val="Cambria"/>
        <family val="1"/>
      </rPr>
      <t>Q</t>
    </r>
    <r>
      <rPr>
        <i/>
        <vertAlign val="subscript"/>
        <sz val="12"/>
        <rFont val="Cambria"/>
        <family val="1"/>
      </rPr>
      <t>o</t>
    </r>
    <r>
      <rPr>
        <sz val="12"/>
        <rFont val="Cambria"/>
        <family val="1"/>
      </rPr>
      <t>;</t>
    </r>
  </si>
  <si>
    <t>is the beam quality correction factor for the reference chamber.</t>
  </si>
  <si>
    <r>
      <t xml:space="preserve">We define </t>
    </r>
    <r>
      <rPr>
        <i/>
        <sz val="12"/>
        <rFont val="Times New Roman"/>
        <family val="1"/>
      </rPr>
      <t>M</t>
    </r>
    <r>
      <rPr>
        <sz val="12"/>
        <rFont val="Times New Roman"/>
        <family val="1"/>
      </rPr>
      <t xml:space="preserve"> and</t>
    </r>
    <r>
      <rPr>
        <i/>
        <sz val="12"/>
        <rFont val="Times New Roman"/>
        <family val="1"/>
      </rPr>
      <t xml:space="preserve"> M</t>
    </r>
    <r>
      <rPr>
        <i/>
        <vertAlign val="subscript"/>
        <sz val="12"/>
        <rFont val="Times New Roman"/>
        <family val="1"/>
      </rPr>
      <t>+</t>
    </r>
    <r>
      <rPr>
        <sz val="12"/>
        <rFont val="Times New Roman"/>
        <family val="1"/>
      </rPr>
      <t xml:space="preserve"> to be the readings when the voltage is the operating voltage </t>
    </r>
    <r>
      <rPr>
        <i/>
        <sz val="12"/>
        <rFont val="Times New Roman"/>
        <family val="1"/>
      </rPr>
      <t>V</t>
    </r>
    <r>
      <rPr>
        <vertAlign val="subscript"/>
        <sz val="12"/>
        <rFont val="Times New Roman"/>
        <family val="1"/>
      </rPr>
      <t>1</t>
    </r>
    <r>
      <rPr>
        <sz val="12"/>
        <rFont val="Times New Roman"/>
        <family val="1"/>
      </rPr>
      <t>, and</t>
    </r>
    <r>
      <rPr>
        <i/>
        <sz val="12"/>
        <rFont val="Times New Roman"/>
        <family val="1"/>
      </rPr>
      <t xml:space="preserve"> M</t>
    </r>
    <r>
      <rPr>
        <vertAlign val="subscript"/>
        <sz val="12"/>
        <rFont val="Times New Roman"/>
        <family val="1"/>
      </rPr>
      <t>-</t>
    </r>
    <r>
      <rPr>
        <sz val="12"/>
        <rFont val="Times New Roman"/>
        <family val="1"/>
      </rPr>
      <t xml:space="preserve"> is the reading at the opposite polarity -</t>
    </r>
    <r>
      <rPr>
        <i/>
        <sz val="12"/>
        <rFont val="Times New Roman"/>
        <family val="1"/>
      </rPr>
      <t>V</t>
    </r>
    <r>
      <rPr>
        <vertAlign val="subscript"/>
        <sz val="12"/>
        <rFont val="Times New Roman"/>
        <family val="1"/>
      </rPr>
      <t>1</t>
    </r>
    <r>
      <rPr>
        <sz val="12"/>
        <rFont val="Times New Roman"/>
        <family val="1"/>
      </rPr>
      <t>.</t>
    </r>
  </si>
  <si>
    <t>Added MV and MeV sections to the 'Checking' page</t>
  </si>
  <si>
    <t>Made significant changes to 'MVEreport' Appendix 1 and other minor formatting changes throughout report</t>
  </si>
  <si>
    <t>8-Production</t>
  </si>
  <si>
    <t>Duncan Butler</t>
  </si>
  <si>
    <t>Adv. Markus sn 650</t>
  </si>
  <si>
    <t>9-dev</t>
  </si>
  <si>
    <t>Added in CC13 Muir coefficients in MV-P spreadsheet and CC13 QC data</t>
  </si>
  <si>
    <t>9-Production</t>
  </si>
  <si>
    <t>A cylindrical reference chamber was initially placed in the water phantom and the absorbed dose to water in the high energy electron beam was measured. The chamber to be calibrated was then placed in the water phantom and its corrected response in the electron beam was measured.</t>
  </si>
  <si>
    <t>Reference chamber serial number</t>
  </si>
  <si>
    <t>The serial number of the reference thimble chamber</t>
  </si>
  <si>
    <t>Reference chamber make and model</t>
  </si>
  <si>
    <t>The make and model of the reference thimble chamber</t>
  </si>
  <si>
    <t>RES00623</t>
  </si>
  <si>
    <t>MR-IRC-FORM 4200B v1</t>
  </si>
  <si>
    <t>2561</t>
  </si>
  <si>
    <t>30012</t>
  </si>
  <si>
    <t>IRS-FORM-4100B v1</t>
  </si>
  <si>
    <t>Use of the ARPANSA absorbed dose to water calibration coefficient with IAEA TRS-398</t>
  </si>
  <si>
    <t>MV photon beam source-detector distance 110 cm</t>
  </si>
  <si>
    <t>Page 1 of  6</t>
  </si>
  <si>
    <t>Page 2 of  6</t>
  </si>
  <si>
    <t>Page 3 of  6</t>
  </si>
  <si>
    <t>Page 4 of  6</t>
  </si>
  <si>
    <t>Page 6 of  6</t>
  </si>
  <si>
    <t>The collecting electrode is graphite coated acrylic of diameter 15 mm.</t>
  </si>
  <si>
    <t>MV Photons report is number</t>
  </si>
  <si>
    <t>10-dev</t>
  </si>
  <si>
    <t>Corrected NATA wording on all NATA-endorsed report tabs (ElecReport, CoReport, MEXReport, LEXReport)</t>
  </si>
  <si>
    <t>Accredited for compliance with ISO/IEC 17025 - Calibration.</t>
  </si>
  <si>
    <t>Microsoft Excel 2016</t>
  </si>
  <si>
    <t>Updated version numbers in all SOP references in reports</t>
  </si>
  <si>
    <t>Added reference to SOP-2100 in MEXReport (page 2)</t>
  </si>
  <si>
    <t>Underlined title on calibration certificate page for MVEreport. Edited MVEreport to not have any reference to example table of electron qualities.</t>
  </si>
  <si>
    <t>TPR20,10^2</t>
  </si>
  <si>
    <t>Made fitted kQ curve coefficients automatically populate for MV-P sheet</t>
  </si>
  <si>
    <t>Chamber 2 bias mag</t>
  </si>
  <si>
    <r>
      <rPr>
        <vertAlign val="superscript"/>
        <sz val="10"/>
        <rFont val="Arial"/>
        <family val="2"/>
      </rPr>
      <t>60</t>
    </r>
    <r>
      <rPr>
        <sz val="10"/>
        <rFont val="Arial"/>
        <family val="2"/>
      </rPr>
      <t>Co checked by:</t>
    </r>
  </si>
  <si>
    <t>Electrometer checked by:</t>
  </si>
  <si>
    <t>MV photons checked by:</t>
  </si>
  <si>
    <t>MeV electrons checked by:</t>
  </si>
  <si>
    <t>MEX checked by:</t>
  </si>
  <si>
    <t>LEX checked by:</t>
  </si>
  <si>
    <t xml:space="preserve">Added separate check boxes for checking different calibration quantities </t>
  </si>
  <si>
    <t>Removed ND,w example tables from MVEreport</t>
  </si>
  <si>
    <t>Same in charge sensitivity spreadsheet and report?</t>
  </si>
  <si>
    <t>Central Electrode Negative</t>
  </si>
  <si>
    <r>
      <t xml:space="preserve">The polarising voltage on the guard, </t>
    </r>
    <r>
      <rPr>
        <b/>
        <sz val="10"/>
        <rFont val="Arial"/>
        <family val="2"/>
      </rPr>
      <t>do NOT</t>
    </r>
    <r>
      <rPr>
        <sz val="10"/>
        <rFont val="Arial"/>
        <family val="2"/>
      </rPr>
      <t xml:space="preserve"> </t>
    </r>
    <r>
      <rPr>
        <b/>
        <sz val="10"/>
        <rFont val="Arial"/>
        <family val="2"/>
      </rPr>
      <t>include sign or "V"</t>
    </r>
    <r>
      <rPr>
        <sz val="10"/>
        <rFont val="Arial"/>
        <family val="2"/>
      </rPr>
      <t>, e.g. "300". Number only.</t>
    </r>
  </si>
  <si>
    <t>PTW UNIDOS T10002</t>
  </si>
  <si>
    <t>Removed the word Webline from the T10002 description line</t>
  </si>
  <si>
    <t>A1SL</t>
  </si>
  <si>
    <t>Added A1SL and A19 to list of chambers</t>
  </si>
  <si>
    <t>Chamber description – Exradin A19</t>
  </si>
  <si>
    <t>A19</t>
  </si>
  <si>
    <t>Farmer-type with C552 (air-equivalent) plastic walls of nominal thickness 0.5 mm.</t>
  </si>
  <si>
    <t>The nominal cavity volume is 0.62 cc.</t>
  </si>
  <si>
    <t>Chamber description – Exradin A1SL</t>
  </si>
  <si>
    <t>The chamber is thimble type with Shonka Air-equivalent plastic C552 walls of nominal</t>
  </si>
  <si>
    <t>thickness 1.1 mm</t>
  </si>
  <si>
    <t>The nominal cavity volume is 0.053 cm^3.</t>
  </si>
  <si>
    <t>The shell, guard and central electrodes are made of Shonka Air-equivalent plastic C552.</t>
  </si>
  <si>
    <t>The geometrical centre of the cavity, approximately 4 mm from the tip</t>
  </si>
  <si>
    <t>Standard Imaging Exradin A19</t>
  </si>
  <si>
    <t>Standard Imaging Exradin A1SL</t>
  </si>
  <si>
    <t>TRIM ref eg "2016/00444"</t>
  </si>
  <si>
    <t>Advanced Markus</t>
  </si>
  <si>
    <t>Roos</t>
  </si>
  <si>
    <t>Adv Markus</t>
  </si>
  <si>
    <t>IBA PPC40 Roos</t>
  </si>
  <si>
    <t>PTW 34001 Roos</t>
  </si>
  <si>
    <t>Chamber description – PTW 34001 Roos</t>
  </si>
  <si>
    <t>PTW UNIDOS T10001</t>
  </si>
  <si>
    <t>Keithley 35040</t>
  </si>
  <si>
    <t>Sun Nuclear PC Electrometer</t>
  </si>
  <si>
    <t>Standard Imaging Supermax 90018</t>
  </si>
  <si>
    <t>New type</t>
  </si>
  <si>
    <t>(desired polarity - from Client!B33)</t>
  </si>
  <si>
    <t>(on guard electrode - include sign - numeric field)</t>
  </si>
  <si>
    <t>Note about electrometer polarity</t>
  </si>
  <si>
    <t>There are 3 values</t>
  </si>
  <si>
    <t>(1) The electrometer set value text field B19)</t>
  </si>
  <si>
    <t>(2) The electrometer displayed valued (text field B29)</t>
  </si>
  <si>
    <t>(3) The measured voltage on the inner shield (numeric field B28)</t>
  </si>
  <si>
    <t>Corrected polarity check bug on Elec sheet (changed B28 to numeric field)</t>
  </si>
  <si>
    <t>Channel 1</t>
  </si>
  <si>
    <t>Channel 2</t>
  </si>
  <si>
    <t>Page 4 of 5</t>
  </si>
  <si>
    <t>Page 3 of 5</t>
  </si>
  <si>
    <t>Page 2 of 5</t>
  </si>
  <si>
    <t>Page 1 of 5</t>
  </si>
  <si>
    <t>on a two-channel therapy electrometer</t>
  </si>
  <si>
    <t>Leakage checks - Channel 1</t>
  </si>
  <si>
    <t>CHANNEL 1 (MAIN CHANNEL)</t>
  </si>
  <si>
    <t>CHANNEL 2 (IF CALIBRATED)</t>
  </si>
  <si>
    <r>
      <rPr>
        <b/>
        <sz val="12"/>
        <color indexed="8"/>
        <rFont val="Times New Roman"/>
        <family val="1"/>
      </rPr>
      <t>Table 3:</t>
    </r>
    <r>
      <rPr>
        <sz val="12"/>
        <color indexed="8"/>
        <rFont val="Times New Roman"/>
        <family val="1"/>
      </rPr>
      <t xml:space="preserve"> Electrometer calibration factors (Channel 2)</t>
    </r>
  </si>
  <si>
    <r>
      <rPr>
        <b/>
        <sz val="12"/>
        <color indexed="8"/>
        <rFont val="Times New Roman"/>
        <family val="1"/>
      </rPr>
      <t>Table 2:</t>
    </r>
    <r>
      <rPr>
        <sz val="12"/>
        <color indexed="8"/>
        <rFont val="Times New Roman"/>
        <family val="1"/>
      </rPr>
      <t xml:space="preserve"> Electrometer calibration factors (Channel 1)</t>
    </r>
  </si>
  <si>
    <t xml:space="preserve">Added 2 channel electrometer report </t>
  </si>
  <si>
    <t>Information for calibration reports: NB all chambers and electrometers are listed here - scroll right if you need to add new types</t>
  </si>
  <si>
    <t>Renamed 'QC data' sheet to 'MEX QC'</t>
  </si>
  <si>
    <t>10-Production</t>
  </si>
  <si>
    <t>Leakage checks - Channel 2 (IF CALIBRATED)</t>
  </si>
  <si>
    <t>Voltage on calibrator (CH2)</t>
  </si>
  <si>
    <t>Channel</t>
  </si>
  <si>
    <t>Without chamber</t>
  </si>
  <si>
    <t>With chamber</t>
  </si>
  <si>
    <t>Check2</t>
  </si>
  <si>
    <t>Check1</t>
  </si>
  <si>
    <t>Added NATA logo to MVP and MVE reports</t>
  </si>
  <si>
    <t>or '+300 V' in the PC electrometer software</t>
  </si>
  <si>
    <t>The bias voltage is set from the PC electrometer software. Users may select the magnitude and polarity. When "+" is selected, positive voltage is applied to the inner shield of the triaxial cable and the collecting electrode is kept at positive voltage by the electrometer amplifier. The outer shield of the cable is at ground. Hence setting "+" results in Central Electrode Positive (CEP).</t>
  </si>
  <si>
    <t>USB connection to computer</t>
  </si>
  <si>
    <t>Charge              pC</t>
  </si>
  <si>
    <t>Page 5 of 5</t>
  </si>
  <si>
    <t>See Table 3</t>
  </si>
  <si>
    <t>CAL00735</t>
  </si>
  <si>
    <t>CAL00813</t>
  </si>
  <si>
    <t>11-Production</t>
  </si>
  <si>
    <t>Updated QC values for MV photons and checked.</t>
  </si>
  <si>
    <t>12-dev</t>
  </si>
  <si>
    <t>Fixed auto scaling of graphs on MEX sheet</t>
  </si>
  <si>
    <t>Page 4 of 8</t>
  </si>
  <si>
    <t>Page 6 of 8</t>
  </si>
  <si>
    <t>Page 8 of 8</t>
  </si>
  <si>
    <t>Page 7 of 8</t>
  </si>
  <si>
    <t>Page 5 of 8</t>
  </si>
  <si>
    <t>Page 3 of 8</t>
  </si>
  <si>
    <t>Page 2 of 8</t>
  </si>
  <si>
    <t>Page 1 of 8</t>
  </si>
  <si>
    <r>
      <rPr>
        <b/>
        <vertAlign val="superscript"/>
        <sz val="12"/>
        <color indexed="8"/>
        <rFont val="Times New Roman"/>
        <family val="1"/>
      </rPr>
      <t>60</t>
    </r>
    <r>
      <rPr>
        <b/>
        <sz val="12"/>
        <color indexed="8"/>
        <rFont val="Times New Roman"/>
        <family val="1"/>
      </rPr>
      <t>Co GAMMA RAYS and MEGAVOLTAGE LINAC X-R</t>
    </r>
    <r>
      <rPr>
        <b/>
        <sz val="12"/>
        <color indexed="8"/>
        <rFont val="Times New Roman"/>
        <family val="1"/>
      </rPr>
      <t>AYS</t>
    </r>
  </si>
  <si>
    <r>
      <t xml:space="preserve">Corrections </t>
    </r>
    <r>
      <rPr>
        <b/>
        <sz val="11"/>
        <color indexed="8"/>
        <rFont val="Times New Roman"/>
        <family val="1"/>
      </rPr>
      <t>not</t>
    </r>
    <r>
      <rPr>
        <sz val="11"/>
        <color indexed="8"/>
        <rFont val="Times New Roman"/>
        <family val="1"/>
      </rPr>
      <t xml:space="preserve"> applied</t>
    </r>
  </si>
  <si>
    <t>Tweaked fonts on MVP report</t>
  </si>
  <si>
    <t>Modified combined MVP + Co report (new sheet) now includes NK</t>
  </si>
  <si>
    <t>Added footnote to air kerma table to help differentiate from NDW</t>
  </si>
  <si>
    <t xml:space="preserve">NOTE: According to international recommendations such as those in IAEA Techdoc 1274, the air kerma result </t>
  </si>
  <si>
    <t>may be interpolated with a suitable kilovoltage X-ray air kerma calibration coefficient to obtain the coefficient</t>
  </si>
  <si>
    <r>
      <t xml:space="preserve"> at intermediate energies such as </t>
    </r>
    <r>
      <rPr>
        <i/>
        <vertAlign val="superscript"/>
        <sz val="10"/>
        <color indexed="8"/>
        <rFont val="Times New Roman"/>
        <family val="1"/>
      </rPr>
      <t>192</t>
    </r>
    <r>
      <rPr>
        <i/>
        <sz val="10"/>
        <color indexed="8"/>
        <rFont val="Times New Roman"/>
        <family val="1"/>
      </rPr>
      <t>Ir.</t>
    </r>
  </si>
  <si>
    <t>12-Production</t>
  </si>
  <si>
    <t>MH</t>
  </si>
  <si>
    <t>13-dev</t>
  </si>
  <si>
    <t>Added check that polarity sign matches the stated polarity of central electrode</t>
  </si>
  <si>
    <t>Quantity for QA</t>
  </si>
  <si>
    <r>
      <rPr>
        <sz val="12"/>
        <rFont val="Arial"/>
        <family val="2"/>
      </rPr>
      <t>N</t>
    </r>
    <r>
      <rPr>
        <vertAlign val="subscript"/>
        <sz val="12"/>
        <rFont val="Arial"/>
        <family val="2"/>
      </rPr>
      <t>D,w</t>
    </r>
  </si>
  <si>
    <r>
      <t>k</t>
    </r>
    <r>
      <rPr>
        <vertAlign val="subscript"/>
        <sz val="12"/>
        <rFont val="Arial"/>
        <family val="2"/>
      </rPr>
      <t>Q</t>
    </r>
  </si>
  <si>
    <t>ND,w</t>
  </si>
  <si>
    <t>Primary Standards Dosimetry Laboratory,  Medical Radiation Services</t>
  </si>
  <si>
    <r>
      <rPr>
        <b/>
        <sz val="10"/>
        <color indexed="8"/>
        <rFont val="Times New Roman"/>
        <family val="1"/>
      </rPr>
      <t>E-mail:</t>
    </r>
    <r>
      <rPr>
        <sz val="10"/>
        <color indexed="8"/>
        <rFont val="Times New Roman"/>
        <family val="1"/>
      </rPr>
      <t xml:space="preserve"> psdl@arpansa.gov.au    </t>
    </r>
    <r>
      <rPr>
        <b/>
        <sz val="10"/>
        <color indexed="8"/>
        <rFont val="Times New Roman"/>
        <family val="1"/>
      </rPr>
      <t>Web:</t>
    </r>
    <r>
      <rPr>
        <sz val="10"/>
        <color indexed="8"/>
        <rFont val="Times New Roman"/>
        <family val="1"/>
      </rPr>
      <t xml:space="preserve"> www.arpansa.gov.au</t>
    </r>
  </si>
  <si>
    <t>E-mail: psdl@arpansa.gov.au    Web: www.arpansa.gov.au</t>
  </si>
  <si>
    <r>
      <rPr>
        <b/>
        <sz val="12"/>
        <color indexed="8"/>
        <rFont val="Times New Roman"/>
        <family val="1"/>
      </rPr>
      <t>Email:</t>
    </r>
    <r>
      <rPr>
        <sz val="12"/>
        <color indexed="8"/>
        <rFont val="Times New Roman"/>
        <family val="1"/>
      </rPr>
      <t xml:space="preserve"> psdl@arpansa.gov.au</t>
    </r>
  </si>
  <si>
    <r>
      <t xml:space="preserve">Email: </t>
    </r>
    <r>
      <rPr>
        <sz val="12"/>
        <color indexed="8"/>
        <rFont val="Times New Roman"/>
        <family val="1"/>
      </rPr>
      <t>psdl@arpansa.gov.au</t>
    </r>
  </si>
  <si>
    <t>0.970</t>
  </si>
  <si>
    <t>0.990</t>
  </si>
  <si>
    <t>0.960</t>
  </si>
  <si>
    <t>47.50</t>
  </si>
  <si>
    <t>47.60</t>
  </si>
  <si>
    <t>262.2</t>
  </si>
  <si>
    <t>52.04</t>
  </si>
  <si>
    <t>264.3</t>
  </si>
  <si>
    <t>47.30</t>
  </si>
  <si>
    <t>0.979</t>
  </si>
  <si>
    <t>0.966</t>
  </si>
  <si>
    <t>100.7</t>
  </si>
  <si>
    <t>VTT</t>
  </si>
  <si>
    <t xml:space="preserve">Added another layer of QA to the 'MV-P' , i. e , a drop-down menu for kQ  &amp; chamber model ND,w  mean values; these have been added to the 'Limits' </t>
  </si>
  <si>
    <t>As well as adding  an extra column for any previous measured ND,w values to the 'MV-P' tab</t>
  </si>
  <si>
    <t>ks and kp corrected</t>
  </si>
  <si>
    <t xml:space="preserve">VTT </t>
  </si>
  <si>
    <t>13-Production</t>
  </si>
  <si>
    <t>54 mGy/s</t>
  </si>
  <si>
    <t>53 mGy/s</t>
  </si>
  <si>
    <t>70 mGy/s</t>
  </si>
  <si>
    <t>0.35 mGy</t>
  </si>
  <si>
    <t>The buildup cap is Delrin.</t>
  </si>
  <si>
    <t>The buildup cap is PMMA.</t>
  </si>
  <si>
    <t>The buildup cap is C552 (air-equivalent) plastic.</t>
  </si>
  <si>
    <t>Buildup</t>
  </si>
  <si>
    <r>
      <rPr>
        <b/>
        <sz val="11"/>
        <color indexed="8"/>
        <rFont val="Times New Roman"/>
        <family val="1"/>
      </rPr>
      <t>Table 4</t>
    </r>
    <r>
      <rPr>
        <sz val="11"/>
        <color indexed="8"/>
        <rFont val="Times New Roman"/>
        <family val="1"/>
      </rPr>
      <t xml:space="preserve">: </t>
    </r>
    <r>
      <rPr>
        <vertAlign val="superscript"/>
        <sz val="11"/>
        <color indexed="8"/>
        <rFont val="Times New Roman"/>
        <family val="1"/>
      </rPr>
      <t>60</t>
    </r>
    <r>
      <rPr>
        <sz val="11"/>
        <color indexed="8"/>
        <rFont val="Times New Roman"/>
        <family val="1"/>
      </rPr>
      <t>Co absorbed dose to water calibration coefficient</t>
    </r>
  </si>
  <si>
    <r>
      <rPr>
        <b/>
        <sz val="11"/>
        <color indexed="8"/>
        <rFont val="Times New Roman"/>
        <family val="1"/>
      </rPr>
      <t>Table 5</t>
    </r>
    <r>
      <rPr>
        <sz val="11"/>
        <color indexed="8"/>
        <rFont val="Times New Roman"/>
        <family val="1"/>
      </rPr>
      <t xml:space="preserve">: MV photon beam measured </t>
    </r>
    <r>
      <rPr>
        <i/>
        <sz val="11"/>
        <color indexed="8"/>
        <rFont val="Times New Roman"/>
        <family val="1"/>
      </rPr>
      <t>k</t>
    </r>
    <r>
      <rPr>
        <i/>
        <vertAlign val="subscript"/>
        <sz val="11"/>
        <color indexed="8"/>
        <rFont val="Times New Roman"/>
        <family val="1"/>
      </rPr>
      <t>Q</t>
    </r>
    <r>
      <rPr>
        <sz val="11"/>
        <color indexed="8"/>
        <rFont val="Times New Roman"/>
        <family val="1"/>
      </rPr>
      <t xml:space="preserve"> factors</t>
    </r>
  </si>
  <si>
    <r>
      <t xml:space="preserve">Equation 4 can be used to interpolate from </t>
    </r>
    <r>
      <rPr>
        <i/>
        <sz val="12"/>
        <rFont val="Times New Roman"/>
        <family val="1"/>
      </rPr>
      <t>k</t>
    </r>
    <r>
      <rPr>
        <i/>
        <vertAlign val="subscript"/>
        <sz val="12"/>
        <rFont val="Times New Roman"/>
        <family val="1"/>
      </rPr>
      <t>Q</t>
    </r>
    <r>
      <rPr>
        <sz val="12"/>
        <rFont val="Times New Roman"/>
        <family val="1"/>
      </rPr>
      <t xml:space="preserve"> factors at ARPANSA beam qualities to </t>
    </r>
    <r>
      <rPr>
        <i/>
        <sz val="12"/>
        <rFont val="Times New Roman"/>
        <family val="1"/>
      </rPr>
      <t>k</t>
    </r>
    <r>
      <rPr>
        <i/>
        <vertAlign val="subscript"/>
        <sz val="12"/>
        <rFont val="Times New Roman"/>
        <family val="1"/>
      </rPr>
      <t>Q</t>
    </r>
    <r>
      <rPr>
        <sz val="12"/>
        <rFont val="Times New Roman"/>
        <family val="1"/>
      </rPr>
      <t xml:space="preserve"> factors at user MV photon beam qualities. This interpolation coupled with possible spectral differences between different accelerators will add uncertainty to the user </t>
    </r>
    <r>
      <rPr>
        <i/>
        <sz val="12"/>
        <rFont val="Times New Roman"/>
        <family val="1"/>
      </rPr>
      <t>k</t>
    </r>
    <r>
      <rPr>
        <i/>
        <vertAlign val="subscript"/>
        <sz val="12"/>
        <rFont val="Times New Roman"/>
        <family val="1"/>
      </rPr>
      <t>Q</t>
    </r>
    <r>
      <rPr>
        <sz val="12"/>
        <rFont val="Times New Roman"/>
        <family val="1"/>
      </rPr>
      <t xml:space="preserve"> value. It is recommended that a value of 0.4% (k=2) be added in quadrature with the uncertainty in Table 5 to account for this added uncertainty.</t>
    </r>
  </si>
  <si>
    <r>
      <t xml:space="preserve">is the calibration coefficient at </t>
    </r>
    <r>
      <rPr>
        <vertAlign val="superscript"/>
        <sz val="12"/>
        <rFont val="Times New Roman"/>
        <family val="1"/>
      </rPr>
      <t>60</t>
    </r>
    <r>
      <rPr>
        <sz val="12"/>
        <rFont val="Times New Roman"/>
        <family val="1"/>
      </rPr>
      <t xml:space="preserve">Co, corrected for the effects of recombination and polarity at </t>
    </r>
    <r>
      <rPr>
        <vertAlign val="superscript"/>
        <sz val="12"/>
        <rFont val="Times New Roman"/>
        <family val="1"/>
      </rPr>
      <t>60</t>
    </r>
    <r>
      <rPr>
        <sz val="12"/>
        <rFont val="Times New Roman"/>
        <family val="1"/>
      </rPr>
      <t>Co (i.e. the average of the absolute value of the calibration coefficients obtained at opposite polarising voltages, when all the charge released in the chamber cavity is collected), as given in Table 4;</t>
    </r>
  </si>
  <si>
    <t>The electrometer was tested in accordance with ARPANSA Standard Operating Procedure ARPANSA-SOP-0816 Version 7.</t>
  </si>
  <si>
    <t>14-dev</t>
  </si>
  <si>
    <r>
      <rPr>
        <b/>
        <sz val="12"/>
        <color indexed="8"/>
        <rFont val="Times New Roman"/>
        <family val="1"/>
      </rPr>
      <t xml:space="preserve">Email: </t>
    </r>
    <r>
      <rPr>
        <sz val="12"/>
        <color indexed="8"/>
        <rFont val="Times New Roman"/>
        <family val="1"/>
      </rPr>
      <t>psdl@arpansa.gov.au</t>
    </r>
  </si>
  <si>
    <t>The chamber was tested in accordance with ARPANSA Standard Operating Procedure ARPANSA-SOP-0816 Version 7.</t>
  </si>
  <si>
    <t>Corrected all SOP numbers in reports, added MEX data for sn 7470 and 7471</t>
  </si>
  <si>
    <t>Removed reference to 'plastic-coated' for the walls of the FC65-G to match manufacturer specifications. Added in reference to 'plastic-coated' for the PTW 30013.</t>
  </si>
  <si>
    <t>Changed sheet version to lookup function rather than manual entry</t>
  </si>
  <si>
    <t>CW</t>
  </si>
  <si>
    <r>
      <t>The coefficients,</t>
    </r>
    <r>
      <rPr>
        <i/>
        <sz val="12"/>
        <rFont val="Times New Roman"/>
        <family val="1"/>
      </rPr>
      <t xml:space="preserve"> a</t>
    </r>
    <r>
      <rPr>
        <i/>
        <vertAlign val="subscript"/>
        <sz val="12"/>
        <rFont val="Times New Roman"/>
        <family val="1"/>
      </rPr>
      <t>i</t>
    </r>
    <r>
      <rPr>
        <sz val="12"/>
        <rFont val="Times New Roman"/>
        <family val="1"/>
      </rPr>
      <t>, were determined using Table 4.VII of IAEA TRS-398[1].</t>
    </r>
  </si>
  <si>
    <t>To use this calibration coefficient to determine absorbed dose to water with the chamber under reference conditions according to the IAEA TRS-398 protocol[1] for high energy photons:</t>
  </si>
  <si>
    <r>
      <t>Changed N</t>
    </r>
    <r>
      <rPr>
        <vertAlign val="subscript"/>
        <sz val="12"/>
        <rFont val="Arial"/>
        <family val="2"/>
      </rPr>
      <t>D,w</t>
    </r>
    <r>
      <rPr>
        <sz val="12"/>
        <rFont val="Arial"/>
        <family val="2"/>
      </rPr>
      <t xml:space="preserve"> checking value to be value with corrections applied as it appears in final report and also changed MV-P to reflect this, updated referencing style in MV-Co report</t>
    </r>
  </si>
  <si>
    <t>Added statement of traceability for air kerma to MVP+Co report and adjusted layout accordingly</t>
  </si>
  <si>
    <t>Removed an 'x' in Eq. 3 on page 6 of the MVEreport. It read Dx,w,Q = xMx,q… - now Dx,w,q = Mx,q…</t>
  </si>
  <si>
    <t>Added unit (' V') in cell 'G174' of tab 'MVEreport' - the section specifying the polarizing voltage.</t>
  </si>
  <si>
    <t>The geometrical centre of the cavity</t>
  </si>
  <si>
    <t>line on the buildup cap</t>
  </si>
  <si>
    <r>
      <t xml:space="preserve">The calibration factor in terms of absorbed dose to water for the chamber to be calibrated at the cross calibration quality </t>
    </r>
    <r>
      <rPr>
        <i/>
        <sz val="12"/>
        <color indexed="8"/>
        <rFont val="Cambria"/>
        <family val="1"/>
      </rPr>
      <t>Q</t>
    </r>
    <r>
      <rPr>
        <vertAlign val="subscript"/>
        <sz val="12"/>
        <color indexed="8"/>
        <rFont val="Cambria"/>
        <family val="1"/>
      </rPr>
      <t>cross</t>
    </r>
    <r>
      <rPr>
        <sz val="12"/>
        <color indexed="8"/>
        <rFont val="Times New Roman"/>
        <family val="1"/>
      </rPr>
      <t xml:space="preserve"> is given by TRS-398[1] equation 7.5.</t>
    </r>
  </si>
  <si>
    <t>The centre of the front window, on the inside surface</t>
  </si>
  <si>
    <r>
      <t>The calibration of the chamber was performed as recommended by TRS-398</t>
    </r>
    <r>
      <rPr>
        <sz val="12"/>
        <color indexed="8"/>
        <rFont val="Times New Roman"/>
        <family val="1"/>
      </rPr>
      <t>[1] section 7.6.1.</t>
    </r>
  </si>
  <si>
    <t>To use this calibration coefficient to determine absorbed dose to water with the chamber under reference conditions according to the IAEA TRS-398[1] code of practice for high energy electrons:</t>
  </si>
  <si>
    <t>14-Production</t>
  </si>
  <si>
    <t>15-dev</t>
  </si>
  <si>
    <t>Approved signatories only. Usually "Duncan Butler, Director, Primary Standards Dosimetry Laboratory"</t>
  </si>
  <si>
    <t>Report Signer</t>
  </si>
  <si>
    <t>Duncan Butler, Director, Primary Standards Dosimetry Laboratory</t>
  </si>
  <si>
    <t>Chris Oliver, Senior Radiation Scientist, Primary Standards Dosimetry Laboratory</t>
  </si>
  <si>
    <t>Desiccant</t>
  </si>
  <si>
    <t>Consult TM!</t>
  </si>
  <si>
    <r>
      <rPr>
        <b/>
        <sz val="12"/>
        <rFont val="Times New Roman"/>
        <family val="1"/>
      </rPr>
      <t>Table 2:</t>
    </r>
    <r>
      <rPr>
        <sz val="12"/>
        <rFont val="Times New Roman"/>
        <family val="1"/>
      </rPr>
      <t xml:space="preserve"> Polarity corrections</t>
    </r>
  </si>
  <si>
    <t>Added warning to Elec sheet if electrometer units are not nC. Fixed some formatting errors in ElecReport and MVP+CoReport</t>
  </si>
  <si>
    <t>NATA Accredited Laboratory Number: 14433</t>
  </si>
  <si>
    <t>Text edits: NATA lab number changed to 14433, changed units so only cm used in describing chamber SSDs and depths in water phantom for consistency, added 'kV' to LEX report</t>
  </si>
  <si>
    <r>
      <t>Units of electrometer</t>
    </r>
    <r>
      <rPr>
        <i/>
        <sz val="11"/>
        <color indexed="8"/>
        <rFont val="Times New Roman"/>
        <family val="1"/>
      </rPr>
      <t xml:space="preserve"> </t>
    </r>
  </si>
  <si>
    <t>reading</t>
  </si>
  <si>
    <t xml:space="preserve">Calibration factor     </t>
  </si>
  <si>
    <r>
      <t xml:space="preserve">nC per </t>
    </r>
    <r>
      <rPr>
        <i/>
        <sz val="11"/>
        <color theme="1"/>
        <rFont val="Times New Roman"/>
        <family val="1"/>
      </rPr>
      <t>reading</t>
    </r>
  </si>
  <si>
    <t xml:space="preserve">Uncertainty              </t>
  </si>
  <si>
    <t>Units of electrometer</t>
  </si>
  <si>
    <t xml:space="preserve">Calibration factor   </t>
  </si>
  <si>
    <t xml:space="preserve">Uncertainty           </t>
  </si>
  <si>
    <t xml:space="preserve">Uncertainty         </t>
  </si>
  <si>
    <t>kV</t>
  </si>
  <si>
    <t>keV</t>
  </si>
  <si>
    <t xml:space="preserve">Added filter </t>
  </si>
  <si>
    <t xml:space="preserve">Added filter  </t>
  </si>
  <si>
    <t xml:space="preserve">HVL  </t>
  </si>
  <si>
    <t>Nominal effective energy [1]</t>
  </si>
  <si>
    <t>Nominal air kerma rate</t>
  </si>
  <si>
    <t xml:space="preserve">U   </t>
  </si>
  <si>
    <t>* With buildup cap on</t>
  </si>
  <si>
    <r>
      <rPr>
        <i/>
        <sz val="10.5"/>
        <color indexed="8"/>
        <rFont val="Times New Roman"/>
        <family val="1"/>
      </rPr>
      <t>N</t>
    </r>
    <r>
      <rPr>
        <i/>
        <vertAlign val="subscript"/>
        <sz val="10.5"/>
        <color indexed="8"/>
        <rFont val="Times New Roman"/>
        <family val="1"/>
      </rPr>
      <t xml:space="preserve">K </t>
    </r>
    <r>
      <rPr>
        <sz val="10.5"/>
        <color indexed="8"/>
        <rFont val="Times New Roman"/>
        <family val="1"/>
      </rPr>
      <t>[2]</t>
    </r>
  </si>
  <si>
    <t xml:space="preserve">U  </t>
  </si>
  <si>
    <t xml:space="preserve">HVL </t>
  </si>
  <si>
    <r>
      <rPr>
        <i/>
        <sz val="10.5"/>
        <color indexed="8"/>
        <rFont val="Times New Roman"/>
        <family val="1"/>
      </rPr>
      <t>N</t>
    </r>
    <r>
      <rPr>
        <i/>
        <vertAlign val="subscript"/>
        <sz val="10.5"/>
        <color indexed="8"/>
        <rFont val="Times New Roman"/>
        <family val="1"/>
      </rPr>
      <t>K</t>
    </r>
    <r>
      <rPr>
        <sz val="10.5"/>
        <color indexed="8"/>
        <rFont val="Times New Roman"/>
        <family val="1"/>
      </rPr>
      <t xml:space="preserve"> [2]</t>
    </r>
  </si>
  <si>
    <t xml:space="preserve">Tube voltage </t>
  </si>
  <si>
    <t>Added filter</t>
  </si>
  <si>
    <r>
      <rPr>
        <i/>
        <sz val="12"/>
        <rFont val="Times New Roman"/>
        <family val="1"/>
      </rPr>
      <t>N</t>
    </r>
    <r>
      <rPr>
        <i/>
        <vertAlign val="subscript"/>
        <sz val="12"/>
        <rFont val="Times New Roman"/>
        <family val="1"/>
      </rPr>
      <t>K</t>
    </r>
    <r>
      <rPr>
        <sz val="12"/>
        <rFont val="Times New Roman"/>
        <family val="1"/>
      </rPr>
      <t xml:space="preserve">  [2]</t>
    </r>
  </si>
  <si>
    <t>Effective photon energy</t>
  </si>
  <si>
    <t>Air kerma calibration coefficient</t>
  </si>
  <si>
    <t>Uncertainty</t>
  </si>
  <si>
    <r>
      <rPr>
        <i/>
        <sz val="12"/>
        <rFont val="Times New Roman"/>
        <family val="1"/>
      </rPr>
      <t>TPR</t>
    </r>
    <r>
      <rPr>
        <i/>
        <vertAlign val="subscript"/>
        <sz val="12"/>
        <rFont val="Times New Roman"/>
        <family val="1"/>
      </rPr>
      <t>20,10</t>
    </r>
  </si>
  <si>
    <r>
      <t xml:space="preserve">Beam quality, </t>
    </r>
    <r>
      <rPr>
        <i/>
        <sz val="12"/>
        <rFont val="Times New Roman"/>
        <family val="1"/>
      </rPr>
      <t>Q</t>
    </r>
    <r>
      <rPr>
        <vertAlign val="subscript"/>
        <sz val="12"/>
        <rFont val="Times New Roman"/>
        <family val="1"/>
      </rPr>
      <t>0</t>
    </r>
  </si>
  <si>
    <r>
      <t>Absorbed dose to water calibration coefficient</t>
    </r>
    <r>
      <rPr>
        <i/>
        <vertAlign val="superscript"/>
        <sz val="12"/>
        <rFont val="Times New Roman"/>
        <family val="1"/>
      </rPr>
      <t>a</t>
    </r>
    <r>
      <rPr>
        <i/>
        <sz val="12"/>
        <rFont val="Times New Roman"/>
        <family val="1"/>
      </rPr>
      <t xml:space="preserve"> N</t>
    </r>
    <r>
      <rPr>
        <i/>
        <vertAlign val="subscript"/>
        <sz val="12"/>
        <rFont val="Times New Roman"/>
        <family val="1"/>
      </rPr>
      <t>D,w</t>
    </r>
  </si>
  <si>
    <r>
      <t xml:space="preserve">Beam quality, </t>
    </r>
    <r>
      <rPr>
        <i/>
        <sz val="12"/>
        <rFont val="Times New Roman"/>
        <family val="1"/>
      </rPr>
      <t>Q</t>
    </r>
    <r>
      <rPr>
        <sz val="12"/>
        <rFont val="Times New Roman"/>
        <family val="1"/>
      </rPr>
      <t xml:space="preserve"> </t>
    </r>
  </si>
  <si>
    <t>Table edits: added shading and borders to all report tables in reports to separate units from labels</t>
  </si>
  <si>
    <r>
      <rPr>
        <i/>
        <sz val="11"/>
        <color indexed="8"/>
        <rFont val="Times New Roman"/>
        <family val="1"/>
      </rPr>
      <t>N</t>
    </r>
    <r>
      <rPr>
        <i/>
        <vertAlign val="subscript"/>
        <sz val="11"/>
        <color indexed="8"/>
        <rFont val="Times New Roman"/>
        <family val="1"/>
      </rPr>
      <t>K</t>
    </r>
    <r>
      <rPr>
        <sz val="11"/>
        <color indexed="8"/>
        <rFont val="Times New Roman"/>
        <family val="1"/>
      </rPr>
      <t xml:space="preserve"> [2]</t>
    </r>
  </si>
  <si>
    <r>
      <rPr>
        <b/>
        <sz val="12"/>
        <color indexed="8"/>
        <rFont val="Times New Roman"/>
        <family val="1"/>
      </rPr>
      <t>Table 1:</t>
    </r>
    <r>
      <rPr>
        <sz val="12"/>
        <color indexed="8"/>
        <rFont val="Times New Roman"/>
        <family val="1"/>
      </rPr>
      <t xml:space="preserve"> Subset of air kerma calibration coefficients</t>
    </r>
  </si>
  <si>
    <r>
      <rPr>
        <b/>
        <sz val="12"/>
        <color indexed="8"/>
        <rFont val="Times New Roman"/>
        <family val="1"/>
      </rPr>
      <t>Table 2:</t>
    </r>
    <r>
      <rPr>
        <sz val="12"/>
        <color indexed="8"/>
        <rFont val="Times New Roman"/>
        <family val="1"/>
      </rPr>
      <t xml:space="preserve"> Complete set of air kerma calibration coefficients for all MEX beams</t>
    </r>
  </si>
  <si>
    <t>The calibration coefficient is the number by which the charge from the chamber, in nC, must be multiplied to obtain the air kerma or absorbed dose to water. The calibration factor for the electrometer must also be taken into account when measuring the charge from the chamber.</t>
  </si>
  <si>
    <t>The calibration coefficient is the number by which the charge from the chamber, in nC, must be multiplied to obtain the air kerma [1]. The calibration factor for the electrometer must also be taken into account when measuring the charge from the chamber.</t>
  </si>
  <si>
    <t>The calibration coefficient is the number by which the charge from the chamber, in nC, must be multiplied to obtain the air kerma. The calibration factor for the electrometer must also be taken into account when measuring the charge from the chamber.</t>
  </si>
  <si>
    <t>The calibration coefficient is the number by which the charge from the chamber, in nC, must be multiplied to obtain the absorbed dose to water or air kerma. The calibration factor for the electrometer must also be taken into account when measuring the charge from the chamber.</t>
  </si>
  <si>
    <t>The calibration coefficient is the number by which the charge from the chamber, in nC, must be multiplied to obtain the absorbed dose to water. The calibration factor for the electrometer must also be taken into account when measuring the charge from the chamber.</t>
  </si>
  <si>
    <t>Uncertainties (U) are given at a confidence level of approximately 95% (k=2)</t>
  </si>
  <si>
    <t>The recombination correction in Table 1 has been applied to the calibration coefficient presented in this report.</t>
  </si>
  <si>
    <t>The polarity correction in Table 2 has been applied to the calibration coefficient presented in this report.</t>
  </si>
  <si>
    <t>cm</t>
  </si>
  <si>
    <r>
      <t xml:space="preserve">Beam quality </t>
    </r>
    <r>
      <rPr>
        <i/>
        <sz val="12"/>
        <rFont val="Cambria"/>
        <family val="1"/>
      </rPr>
      <t>Q</t>
    </r>
    <r>
      <rPr>
        <i/>
        <vertAlign val="subscript"/>
        <sz val="12"/>
        <rFont val="Cambria"/>
        <family val="1"/>
      </rPr>
      <t>cross</t>
    </r>
    <r>
      <rPr>
        <sz val="12"/>
        <rFont val="Times New Roman"/>
        <family val="1"/>
      </rPr>
      <t xml:space="preserve"> (</t>
    </r>
    <r>
      <rPr>
        <i/>
        <sz val="12"/>
        <rFont val="Times New Roman"/>
        <family val="1"/>
      </rPr>
      <t>R</t>
    </r>
    <r>
      <rPr>
        <i/>
        <vertAlign val="subscript"/>
        <sz val="12"/>
        <rFont val="Times New Roman"/>
        <family val="1"/>
      </rPr>
      <t>50</t>
    </r>
    <r>
      <rPr>
        <sz val="12"/>
        <rFont val="Times New Roman"/>
        <family val="1"/>
      </rPr>
      <t>)</t>
    </r>
  </si>
  <si>
    <t xml:space="preserve">Absorbed dose to water calibration coefficient 
</t>
  </si>
  <si>
    <r>
      <t xml:space="preserve">Absorbed dose to water calibration coefficient        </t>
    </r>
    <r>
      <rPr>
        <i/>
        <sz val="11"/>
        <color indexed="8"/>
        <rFont val="Times New Roman"/>
        <family val="1"/>
      </rPr>
      <t>N</t>
    </r>
    <r>
      <rPr>
        <i/>
        <vertAlign val="subscript"/>
        <sz val="11"/>
        <color indexed="8"/>
        <rFont val="Times New Roman"/>
        <family val="1"/>
      </rPr>
      <t>D,w</t>
    </r>
    <r>
      <rPr>
        <vertAlign val="subscript"/>
        <sz val="11"/>
        <color indexed="8"/>
        <rFont val="Times New Roman"/>
        <family val="1"/>
      </rPr>
      <t/>
    </r>
  </si>
  <si>
    <t>Absorbed dose to water                       rate</t>
  </si>
  <si>
    <t>Text edit: changed 'to obtain' to 'when measuring' in Calibration Coefficient statements on all calibration reports, edited results tables in 'CoReport' and 'MVEreport'</t>
  </si>
  <si>
    <r>
      <rPr>
        <b/>
        <sz val="12"/>
        <color indexed="8"/>
        <rFont val="Times New Roman"/>
        <family val="1"/>
      </rPr>
      <t>Table 4:</t>
    </r>
    <r>
      <rPr>
        <sz val="12"/>
        <color indexed="8"/>
        <rFont val="Times New Roman"/>
        <family val="1"/>
      </rPr>
      <t xml:space="preserve"> </t>
    </r>
    <r>
      <rPr>
        <vertAlign val="superscript"/>
        <sz val="12"/>
        <color indexed="8"/>
        <rFont val="Times New Roman"/>
        <family val="1"/>
      </rPr>
      <t>60</t>
    </r>
    <r>
      <rPr>
        <sz val="12"/>
        <color indexed="8"/>
        <rFont val="Times New Roman"/>
        <family val="1"/>
      </rPr>
      <t>Co absorbed dose to water calibration coefficient</t>
    </r>
  </si>
  <si>
    <t>Updated nominal MEX kerma rates</t>
  </si>
  <si>
    <t>Updated nominal LEX kerma rates using average of all runs from CAL00887 and CAL00885 following repairs/adjustments to RT100</t>
  </si>
  <si>
    <r>
      <t xml:space="preserve">The calibration coefficient for the chamber, in terms of absorbed dose to water from gamma rays from the ARPANSA </t>
    </r>
    <r>
      <rPr>
        <vertAlign val="superscript"/>
        <sz val="12"/>
        <color indexed="8"/>
        <rFont val="Times New Roman"/>
        <family val="1"/>
      </rPr>
      <t>60</t>
    </r>
    <r>
      <rPr>
        <sz val="12"/>
        <color indexed="8"/>
        <rFont val="Times New Roman"/>
        <family val="1"/>
      </rPr>
      <t>Co teletherapy source, was derived from a comparison with the absorbed dose to water rate at the reference point in a water phantom. The absorbed dose to water rate was determined using a Monte Carlo calculation from measurements of absorbed dose to graphite using the ARPANSA Graphite Calorimeter, which is the Australian primary standard for absorbed dose.</t>
    </r>
  </si>
  <si>
    <t>Source-detector distance 100 cm</t>
  </si>
  <si>
    <r>
      <rPr>
        <vertAlign val="superscript"/>
        <sz val="11"/>
        <color indexed="8"/>
        <rFont val="Times New Roman"/>
        <family val="1"/>
      </rPr>
      <t>60</t>
    </r>
    <r>
      <rPr>
        <sz val="11"/>
        <color indexed="8"/>
        <rFont val="Times New Roman"/>
        <family val="1"/>
      </rPr>
      <t>Co measurement dates</t>
    </r>
  </si>
  <si>
    <t>MV photon measurement dates</t>
  </si>
  <si>
    <t>Added drop down box for polarity for thimble chamber, LEX and electron chamber in 'Client' tab and changed 'Calibrated by' on MVP+CoReport pg6</t>
  </si>
  <si>
    <r>
      <t xml:space="preserve">Andreo, P., Burns, D. T., Hohlfeld, K., Huq, M. S., Kanai, T., Laitano, F., Smyth, V. and Vynckier, S., </t>
    </r>
    <r>
      <rPr>
        <i/>
        <sz val="12"/>
        <color indexed="8"/>
        <rFont val="Times New Roman"/>
        <family val="1"/>
      </rPr>
      <t>Absorbed Dose Determination in External Beam Radiotherapy: An International Code of Practice for Dosimetry based on Standards of Absorbed Dose to Water</t>
    </r>
    <r>
      <rPr>
        <sz val="12"/>
        <color indexed="8"/>
        <rFont val="Times New Roman"/>
        <family val="1"/>
      </rPr>
      <t>, IAEA Technical Report Series No. 398, IAEA, Vienna, 2000. (V.12, 2006).</t>
    </r>
  </si>
  <si>
    <t>Source-phantom surface distance 100 cm</t>
  </si>
  <si>
    <t>Added second box for date for Co-60 and MV calibrations and formulas for Period of tests on CoReport, MVP+CoReport and MVPreport</t>
  </si>
  <si>
    <t>Updated all references to TRS398 from V11b 2004 to V12 2006</t>
  </si>
  <si>
    <r>
      <t xml:space="preserve">The recombination corrections in Table 1 have been applied to the </t>
    </r>
    <r>
      <rPr>
        <i/>
        <sz val="12"/>
        <rFont val="Times New Roman"/>
        <family val="1"/>
      </rPr>
      <t>N</t>
    </r>
    <r>
      <rPr>
        <i/>
        <vertAlign val="subscript"/>
        <sz val="12"/>
        <rFont val="Times New Roman"/>
        <family val="1"/>
      </rPr>
      <t>D,w</t>
    </r>
    <r>
      <rPr>
        <i/>
        <sz val="12"/>
        <rFont val="Times New Roman"/>
        <family val="1"/>
      </rPr>
      <t xml:space="preserve"> </t>
    </r>
    <r>
      <rPr>
        <sz val="12"/>
        <rFont val="Times New Roman"/>
        <family val="1"/>
      </rPr>
      <t xml:space="preserve">calibration coefficient and </t>
    </r>
    <r>
      <rPr>
        <i/>
        <sz val="12"/>
        <rFont val="Times New Roman"/>
        <family val="1"/>
      </rPr>
      <t>k</t>
    </r>
    <r>
      <rPr>
        <i/>
        <vertAlign val="subscript"/>
        <sz val="12"/>
        <rFont val="Times New Roman"/>
        <family val="1"/>
      </rPr>
      <t>Q</t>
    </r>
    <r>
      <rPr>
        <sz val="12"/>
        <rFont val="Times New Roman"/>
        <family val="1"/>
      </rPr>
      <t xml:space="preserve"> factors presented in this report.</t>
    </r>
  </si>
  <si>
    <r>
      <t xml:space="preserve">The polarity corrections in Table 2 have been applied to the </t>
    </r>
    <r>
      <rPr>
        <i/>
        <sz val="12"/>
        <rFont val="Times New Roman"/>
        <family val="1"/>
      </rPr>
      <t>N</t>
    </r>
    <r>
      <rPr>
        <i/>
        <vertAlign val="subscript"/>
        <sz val="12"/>
        <rFont val="Times New Roman"/>
        <family val="1"/>
      </rPr>
      <t>D,w</t>
    </r>
    <r>
      <rPr>
        <sz val="12"/>
        <rFont val="Times New Roman"/>
        <family val="1"/>
      </rPr>
      <t xml:space="preserve"> calibration coefficient and </t>
    </r>
    <r>
      <rPr>
        <i/>
        <sz val="12"/>
        <rFont val="Times New Roman"/>
        <family val="1"/>
      </rPr>
      <t>k</t>
    </r>
    <r>
      <rPr>
        <i/>
        <vertAlign val="subscript"/>
        <sz val="12"/>
        <rFont val="Times New Roman"/>
        <family val="1"/>
      </rPr>
      <t>Q</t>
    </r>
    <r>
      <rPr>
        <sz val="12"/>
        <rFont val="Times New Roman"/>
        <family val="1"/>
      </rPr>
      <t xml:space="preserve"> factors presented in this report.</t>
    </r>
  </si>
  <si>
    <t>The ionisation chamber, without its buildup cap, was enclosed in a Perspex tube of wall thickness 0.5 mm and placed in a water phantom of dimensions 30 cm x 30 cm x 30 cm. The radiation beam entered the phantom horizontally through a side window of thickness 3 mm.</t>
  </si>
  <si>
    <t>The ionisation chamber, without its buildup cap, was placed in a water phantom of dimensions 30 cm x 30 cm x 30 cm. The radiation beam entered the phantom horizontally through a side window of thickness 3 mm. The centre of the chamber was placed 5 cm behind the front surface of the phantom, and this surface was placed 100 cm from the effective source centre.</t>
  </si>
  <si>
    <t xml:space="preserve">The ionisation chamber, without its buildup cap, was enclosed in a Perspex tube of wall thickness 0.5 mm and placed in a water phantom of dimensions 30 cm x 30 cm x 30 cm. The radiation beam entered the phantom horizontally through a side window of thickness 3 mm. The centre of the chamber was placed at a water equivalent depth of 10 cm with the phantom surface 100 cm from the effective source centre. </t>
  </si>
  <si>
    <t>The ionisation chamber, without its buildup cap, was placed in a water phantom of dimensions 30 cm x 30 cm x 30 cm. The radiation beam entered the phantom horizontally through a side window of thickness 3 mm. The centre of the chamber was placed at a water equivalent depth of 10 cm with the phantom surface 100 cm from the effective source centre.</t>
  </si>
  <si>
    <t>The ionisation chamber had no obvious damage or faults on receipt.</t>
  </si>
  <si>
    <t>The ionisation chamber was tested in accordance with ARPANSA Standard Operational Procedure ARPANSA-SOP-0816 Version 7.</t>
  </si>
  <si>
    <t>on a therapy ionisation chamber for</t>
  </si>
  <si>
    <t>Ionisation chamber</t>
  </si>
  <si>
    <t>The ionisation chamber was tested in accordance with ARPANSA Standard Operational Procedures ARPANSA-SOP-0816 Version 7 and ARPANSA-SOP-0812 Version 5.</t>
  </si>
  <si>
    <t>The ionisation chamber was tested in accordance with ARPANSA Standard Operational Procedure ARPANSA-SOP-0813 Version 4.2.</t>
  </si>
  <si>
    <t>15-Production</t>
  </si>
  <si>
    <t>Refer to ARPANSA-SOP-0816</t>
  </si>
  <si>
    <t>16-dev</t>
  </si>
  <si>
    <r>
      <rPr>
        <sz val="10"/>
        <rFont val="Calibri"/>
        <family val="2"/>
      </rPr>
      <t>²</t>
    </r>
    <r>
      <rPr>
        <sz val="8.6"/>
        <rFont val="Arial"/>
        <family val="2"/>
      </rPr>
      <t>.</t>
    </r>
  </si>
  <si>
    <t>Farmer chamber with graphite walls of nominal thickness 0.065 g/cm</t>
  </si>
  <si>
    <t>Farmer-type with graphite walls of nominal thickness 0.073 g/cm</t>
  </si>
  <si>
    <t>Farmer-type chamber with plastic-coated graphite walls of nominal thickness 0.057 g/cm</t>
  </si>
  <si>
    <t>The chamber is cylindrical type with graphite walls of nominal thickness 0.09 g/cm</t>
  </si>
  <si>
    <t>Farmer-type chamber with graphite walls of nominal thickness 0.079 g/cm</t>
  </si>
  <si>
    <t>Farmer-type with C552 (air-equivalent) plastic walls of nominal thickness 0.088 g/cm</t>
  </si>
  <si>
    <t>The chamber is cylindrical type with C552 (air-equivalent) walls of nominal thickness 0.07 g/cm</t>
  </si>
  <si>
    <t>Changed /cm^2. to /cm for all cylindrical chamber descriptions and added superscript 2 to each report description for cylindrical chambers</t>
  </si>
  <si>
    <r>
      <t>The polarising voltage was measured with the chamber attached using an 11 G</t>
    </r>
    <r>
      <rPr>
        <sz val="12"/>
        <rFont val="Symbol"/>
        <family val="1"/>
        <charset val="2"/>
      </rPr>
      <t>W</t>
    </r>
    <r>
      <rPr>
        <sz val="12"/>
        <rFont val="Times New Roman"/>
        <family val="1"/>
      </rPr>
      <t xml:space="preserve"> resistor in series with a digital voltmeter to provide a displayed voltage which is proportional to the polarising voltage, but with an impedance that did not interfere with the electrometer. The electrometer was replaced with a calibrated voltage source which was adjusted until the reading on the voltmeter was the same as the reading when the electrometer was in place. </t>
    </r>
  </si>
  <si>
    <t>Polarising voltage</t>
  </si>
  <si>
    <t>Changed all the 'polarizing' to polarising' in the reports</t>
  </si>
  <si>
    <t xml:space="preserve">Inherent </t>
  </si>
  <si>
    <t>MEFAC</t>
  </si>
  <si>
    <t>corrections</t>
  </si>
  <si>
    <t>(10% of mag)</t>
  </si>
  <si>
    <t>Meas</t>
  </si>
  <si>
    <t>Uncorrelated uncertainty components</t>
  </si>
  <si>
    <t>Combined</t>
  </si>
  <si>
    <t>U (k=2)</t>
  </si>
  <si>
    <t>u, (k=1)</t>
  </si>
  <si>
    <t>uncertainties (k=1)</t>
  </si>
  <si>
    <t>Total uncertainty from analysis</t>
  </si>
  <si>
    <t>combined U, (k=2)</t>
  </si>
  <si>
    <t>Added MEX uncertainty calculation tab</t>
  </si>
  <si>
    <t>E15</t>
  </si>
  <si>
    <r>
      <t>15e N</t>
    </r>
    <r>
      <rPr>
        <b/>
        <i/>
        <vertAlign val="subscript"/>
        <sz val="10"/>
        <rFont val="Arial"/>
        <family val="2"/>
      </rPr>
      <t>D,w</t>
    </r>
  </si>
  <si>
    <t>RES00756</t>
  </si>
  <si>
    <r>
      <t xml:space="preserve"> </t>
    </r>
    <r>
      <rPr>
        <i/>
        <sz val="12"/>
        <rFont val="Cambria"/>
        <family val="1"/>
      </rPr>
      <t>Q</t>
    </r>
    <r>
      <rPr>
        <vertAlign val="subscript"/>
        <sz val="12"/>
        <rFont val="Cambria"/>
        <family val="1"/>
      </rPr>
      <t>cross</t>
    </r>
    <r>
      <rPr>
        <i/>
        <vertAlign val="subscript"/>
        <sz val="12"/>
        <rFont val="Times New Roman"/>
        <family val="1"/>
      </rPr>
      <t xml:space="preserve"> </t>
    </r>
    <r>
      <rPr>
        <sz val="12"/>
        <rFont val="Times New Roman"/>
        <family val="1"/>
      </rPr>
      <t xml:space="preserve">was the nominal 15 MeV electron beam from the ARPANSA Elekta Versa HD linear accelerator, </t>
    </r>
    <r>
      <rPr>
        <i/>
        <sz val="12"/>
        <rFont val="Times New Roman"/>
        <family val="1"/>
      </rPr>
      <t>R</t>
    </r>
    <r>
      <rPr>
        <i/>
        <vertAlign val="subscript"/>
        <sz val="12"/>
        <rFont val="Times New Roman"/>
        <family val="1"/>
      </rPr>
      <t>50</t>
    </r>
    <r>
      <rPr>
        <vertAlign val="subscript"/>
        <sz val="12"/>
        <rFont val="Times New Roman"/>
        <family val="1"/>
      </rPr>
      <t xml:space="preserve"> </t>
    </r>
    <r>
      <rPr>
        <sz val="12"/>
        <rFont val="Times New Roman"/>
        <family val="1"/>
      </rPr>
      <t>= 5.89 cm.</t>
    </r>
  </si>
  <si>
    <r>
      <rPr>
        <b/>
        <sz val="12"/>
        <rFont val="Times New Roman"/>
        <family val="1"/>
      </rPr>
      <t>Table 1</t>
    </r>
    <r>
      <rPr>
        <sz val="12"/>
        <rFont val="Times New Roman"/>
        <family val="1"/>
      </rPr>
      <t>: Recombination correction in nominal 15 MeVelectron beam</t>
    </r>
  </si>
  <si>
    <t>5.89 cm</t>
  </si>
  <si>
    <r>
      <rPr>
        <b/>
        <sz val="12"/>
        <rFont val="Times New Roman"/>
        <family val="1"/>
      </rPr>
      <t>Table 2</t>
    </r>
    <r>
      <rPr>
        <sz val="12"/>
        <rFont val="Times New Roman"/>
        <family val="1"/>
      </rPr>
      <t>: Polarity correction in nominal 15 MeV electron beam</t>
    </r>
  </si>
  <si>
    <r>
      <t xml:space="preserve">Absorbed Dose to Water </t>
    </r>
    <r>
      <rPr>
        <b/>
        <u/>
        <sz val="14"/>
        <color indexed="8"/>
        <rFont val="Times New Roman"/>
        <family val="1"/>
      </rPr>
      <t>Calibration Certificate - 15 MeV Electron Beam</t>
    </r>
  </si>
  <si>
    <t>15 MeV</t>
  </si>
  <si>
    <r>
      <t xml:space="preserve">denotes the linear accelerator electron beam quality of the beam in which the chamber was calibrated. In this calibration report  </t>
    </r>
    <r>
      <rPr>
        <i/>
        <sz val="12"/>
        <rFont val="Cambria"/>
        <family val="1"/>
      </rPr>
      <t>Q</t>
    </r>
    <r>
      <rPr>
        <i/>
        <vertAlign val="subscript"/>
        <sz val="12"/>
        <rFont val="Cambria"/>
        <family val="1"/>
      </rPr>
      <t>cross</t>
    </r>
    <r>
      <rPr>
        <sz val="12"/>
        <rFont val="Times New Roman"/>
        <family val="1"/>
      </rPr>
      <t xml:space="preserve"> is a nominal 15 MeV electron beam with quality </t>
    </r>
    <r>
      <rPr>
        <i/>
        <sz val="12"/>
        <rFont val="Times New Roman"/>
        <family val="1"/>
      </rPr>
      <t>R</t>
    </r>
    <r>
      <rPr>
        <i/>
        <vertAlign val="subscript"/>
        <sz val="12"/>
        <rFont val="Times New Roman"/>
        <family val="1"/>
      </rPr>
      <t>50</t>
    </r>
    <r>
      <rPr>
        <sz val="12"/>
        <rFont val="Times New Roman"/>
        <family val="1"/>
      </rPr>
      <t xml:space="preserve"> = 5.89 cm;</t>
    </r>
  </si>
  <si>
    <r>
      <t xml:space="preserve">Table 7.IV of TRS-398. When </t>
    </r>
    <r>
      <rPr>
        <i/>
        <sz val="12"/>
        <rFont val="Times New Roman"/>
        <family val="1"/>
      </rPr>
      <t>Q</t>
    </r>
    <r>
      <rPr>
        <i/>
        <vertAlign val="subscript"/>
        <sz val="12"/>
        <rFont val="Times New Roman"/>
        <family val="1"/>
      </rPr>
      <t>cross</t>
    </r>
    <r>
      <rPr>
        <sz val="12"/>
        <rFont val="Times New Roman"/>
        <family val="1"/>
      </rPr>
      <t xml:space="preserve"> is the nominal 15 MeV electron with beam quality</t>
    </r>
  </si>
  <si>
    <r>
      <rPr>
        <i/>
        <sz val="12"/>
        <rFont val="Times New Roman"/>
        <family val="1"/>
      </rPr>
      <t>R</t>
    </r>
    <r>
      <rPr>
        <i/>
        <vertAlign val="subscript"/>
        <sz val="12"/>
        <rFont val="Times New Roman"/>
        <family val="1"/>
      </rPr>
      <t>50</t>
    </r>
    <r>
      <rPr>
        <sz val="12"/>
        <rFont val="Times New Roman"/>
        <family val="1"/>
      </rPr>
      <t xml:space="preserve"> = 5.89 cm and </t>
    </r>
    <r>
      <rPr>
        <i/>
        <sz val="12"/>
        <rFont val="Times New Roman"/>
        <family val="1"/>
      </rPr>
      <t>Q</t>
    </r>
    <r>
      <rPr>
        <i/>
        <vertAlign val="subscript"/>
        <sz val="12"/>
        <rFont val="Times New Roman"/>
        <family val="1"/>
      </rPr>
      <t>int</t>
    </r>
    <r>
      <rPr>
        <sz val="12"/>
        <rFont val="Times New Roman"/>
        <family val="1"/>
      </rPr>
      <t xml:space="preserve"> = 7.5 g cm</t>
    </r>
    <r>
      <rPr>
        <vertAlign val="superscript"/>
        <sz val="12"/>
        <rFont val="Times New Roman"/>
        <family val="1"/>
      </rPr>
      <t>-2</t>
    </r>
    <r>
      <rPr>
        <sz val="12"/>
        <rFont val="Times New Roman"/>
        <family val="1"/>
      </rPr>
      <t xml:space="preserve">, </t>
    </r>
  </si>
  <si>
    <t>= 1.0108</t>
  </si>
  <si>
    <t xml:space="preserve">Changed the MeV electron cross calibration at 18 MeV to 15 MeV: updating report template and Lookup table </t>
  </si>
  <si>
    <t>Elekta Versa HD</t>
  </si>
  <si>
    <t>Qcross R50,dos  = 5.89 cm  Dw (mGy/MU)</t>
  </si>
  <si>
    <t>(This table is not included in the report by default)</t>
  </si>
  <si>
    <t>5. Calibration coefficients in other MeV electron beams</t>
  </si>
  <si>
    <t>6. Calibration coefficients in other MeV electron beams</t>
  </si>
  <si>
    <t>16-Production</t>
  </si>
  <si>
    <t>17-dev</t>
  </si>
  <si>
    <t>Added "Completed" option boxes to all the measurement tabs - so the database can tell that the calibration is finished</t>
  </si>
  <si>
    <t>Is everything done?</t>
  </si>
  <si>
    <t>Is water done?</t>
  </si>
  <si>
    <t>Is air done?</t>
  </si>
  <si>
    <t>(These flags are set when the relevant fields have data)</t>
  </si>
  <si>
    <t>17-Production</t>
  </si>
  <si>
    <t>Validated using operating system: Microsoft Windows 10</t>
  </si>
  <si>
    <t>Fields appear to be filled out</t>
  </si>
  <si>
    <t>IBA PPC40</t>
  </si>
  <si>
    <t>Chamber description - IBA PPC40</t>
  </si>
  <si>
    <t>PPC40</t>
  </si>
  <si>
    <t>The nominal cavity volume is 0.4 cc. Plate separation 2 mm.</t>
  </si>
  <si>
    <t>The collecting electrode is graphite coated acrylic of diameter 16 mm.</t>
  </si>
  <si>
    <t>The front window is graphite coated PMMA of 1 mm thickness.</t>
  </si>
  <si>
    <t>File ID</t>
  </si>
  <si>
    <t>Record of signatures</t>
  </si>
  <si>
    <t>Name</t>
  </si>
  <si>
    <t>18-dev</t>
  </si>
  <si>
    <t xml:space="preserve">Ready for report:   </t>
  </si>
  <si>
    <t>Signing as</t>
  </si>
  <si>
    <t xml:space="preserve">Repeats = </t>
  </si>
  <si>
    <t>Same tester as Co-60</t>
  </si>
  <si>
    <t>What was signed (X = unsigned)</t>
  </si>
  <si>
    <t>Adding macro to sign reports as checker. Added Log page.</t>
  </si>
  <si>
    <t>Results are ready for reporting?</t>
  </si>
  <si>
    <t>Leave blank unless you want Co-only report</t>
  </si>
  <si>
    <t>3 means report CAL00001/03</t>
  </si>
  <si>
    <t>Fixed references to signatories in MVEreport and MVP+Co report (which pointed to Client!B44)</t>
  </si>
  <si>
    <t>18-Production</t>
  </si>
  <si>
    <t>19-dev</t>
  </si>
  <si>
    <t>Updated MEX uncertainty values in MEXtabs from MEX-u</t>
  </si>
  <si>
    <t>Details:</t>
  </si>
  <si>
    <t>Copy combined uncertainty, U (k=2) from analysis sheets for each set</t>
  </si>
  <si>
    <t>Worksheet calculates the standard uncertainty, u (k=1) for each set for the uncorrelated components (removing the two MEFAC uncertainties in columns C and D)</t>
  </si>
  <si>
    <r>
      <t>(This includes Bgd shift effect (ion chamber and MEFAC), bgd fraction (ion chamber and MEFAC), ratio ESDM, MEFAC corrections (u</t>
    </r>
    <r>
      <rPr>
        <vertAlign val="subscript"/>
        <sz val="10"/>
        <rFont val="Arial"/>
        <family val="2"/>
      </rPr>
      <t>k</t>
    </r>
    <r>
      <rPr>
        <sz val="10"/>
        <rFont val="Arial"/>
        <family val="2"/>
      </rPr>
      <t>) and inherent MEFAC uncertainty (u</t>
    </r>
    <r>
      <rPr>
        <vertAlign val="subscript"/>
        <sz val="10"/>
        <rFont val="Arial"/>
        <family val="2"/>
      </rPr>
      <t>m</t>
    </r>
    <r>
      <rPr>
        <sz val="10"/>
        <rFont val="Arial"/>
        <family val="2"/>
      </rPr>
      <t xml:space="preserve">)) </t>
    </r>
  </si>
  <si>
    <t>Then the uncorrelated uncertatinties from each set are combined with the MEFAC uncertainties</t>
  </si>
  <si>
    <t>Explanation added for calculation of MEX uncertainties</t>
  </si>
  <si>
    <t>19-Production</t>
  </si>
  <si>
    <t>IRC-FORM-2100J (ARPANSA-FORM-1856)</t>
  </si>
  <si>
    <t>20-dev</t>
  </si>
  <si>
    <t>20-Production</t>
  </si>
  <si>
    <t>Added usernames for all staff (for signing). Changed TPR from Synergy to Versa Values. Moved signature to COL C on all reports.</t>
  </si>
  <si>
    <t>The absorbed dose to water rate at the reference point in the water phantom from MV photons produced by an ARPANSA Elekta Versa linear accelerator was determined using a Monte Carlo calculation from measurements of absorbed dose to graphite using the ARPANSA Graphite Calorimeter, which is the Australian primary standard for absorbed dose.</t>
  </si>
  <si>
    <t>Calibration Factor</t>
  </si>
  <si>
    <t>The calibration factor is the number by which the charge reading on the screen must be multiplied in order to obtain the "true" charge.</t>
  </si>
  <si>
    <t>Changed coefficient to factor on electrometer report (and 2Channel) (in the text p2)</t>
  </si>
  <si>
    <t>Changed Synergy -&gt; Versa</t>
  </si>
  <si>
    <t>The absorbed dose to water rate at the reference point in the water phantom from MV photons produced by the ARPANSA Elekta Versa linear accelerator was determined using a Monte Carlo calculation from measurements of absorbed dose to graphite using the ARPANSA Graphite Calorimeter, which is the Australian primary standard for absorbed dose.</t>
  </si>
  <si>
    <t>Comment</t>
  </si>
  <si>
    <t>21-dev</t>
  </si>
  <si>
    <t>Checker signature now locks the report page (and unsign unlocks it)</t>
  </si>
  <si>
    <t>Made blue line thinner in footer of MEX report (to match others)</t>
  </si>
  <si>
    <t>Prevent checker signing if not already signed by Tester</t>
  </si>
  <si>
    <t>7a. Dave BQs</t>
  </si>
  <si>
    <t>Previous calibration accelerator</t>
  </si>
  <si>
    <t>Synergy</t>
  </si>
  <si>
    <t>Dave</t>
  </si>
  <si>
    <t>8. Table to calculate linear gradient for extrapolated ND,w,Q for TPR20,10 &gt; 0.777</t>
  </si>
  <si>
    <t>a</t>
  </si>
  <si>
    <t>b</t>
  </si>
  <si>
    <t>TRS-398 Update</t>
  </si>
  <si>
    <t>Update</t>
  </si>
  <si>
    <t>Old</t>
  </si>
  <si>
    <r>
      <t xml:space="preserve">9. TRS-398 Update </t>
    </r>
    <r>
      <rPr>
        <b/>
        <i/>
        <sz val="10"/>
        <rFont val="Arial"/>
        <family val="2"/>
      </rPr>
      <t>k</t>
    </r>
    <r>
      <rPr>
        <b/>
        <i/>
        <vertAlign val="subscript"/>
        <sz val="10"/>
        <rFont val="Arial"/>
        <family val="2"/>
      </rPr>
      <t>Q</t>
    </r>
    <r>
      <rPr>
        <b/>
        <sz val="10"/>
        <rFont val="Arial"/>
        <family val="2"/>
      </rPr>
      <t xml:space="preserve"> for photon beams - coefficients for kQ equation in Pedro's paper</t>
    </r>
  </si>
  <si>
    <t>Added kQ values from the update to TRS-398 for comparison with measured values - MV-P sheet</t>
  </si>
  <si>
    <t>ND,w (mGy/nC)</t>
  </si>
  <si>
    <t>Synergy (R50 = 7.13 cm)</t>
  </si>
  <si>
    <t>Dave (R50 = 5.89 cm)</t>
  </si>
  <si>
    <t>Added functionality to automatically compare electron cal coefficients at R50 = 5.89 cm using either accelerator - MV-E sheet</t>
  </si>
  <si>
    <t>Added interpolation between Synergy and Dave beam qualities for comparison between calibrations on both accelerators at Dave BQs- MV-P sheet</t>
  </si>
  <si>
    <t>3. Comparison with Previous Calibration (corrected to Dave BQ of R50 = 5.89 cm if necessary)</t>
  </si>
  <si>
    <t>3. Comparison with Previous Calibration (corrected to Dave BQs if necessary)</t>
  </si>
  <si>
    <t>As a single date eg 11/02/2021</t>
  </si>
  <si>
    <t>Added start and end date to all calibrations on the client sheet, and a function to interpret these in the reports</t>
  </si>
  <si>
    <t>Min</t>
  </si>
  <si>
    <t>Max</t>
  </si>
  <si>
    <t>Co+MVP</t>
  </si>
  <si>
    <r>
      <t xml:space="preserve">Period of </t>
    </r>
    <r>
      <rPr>
        <b/>
        <sz val="10"/>
        <rFont val="Arial"/>
        <family val="2"/>
      </rPr>
      <t>linac</t>
    </r>
    <r>
      <rPr>
        <sz val="10"/>
        <rFont val="Arial"/>
        <family val="2"/>
      </rPr>
      <t xml:space="preserve"> tests</t>
    </r>
  </si>
  <si>
    <r>
      <t xml:space="preserve">Period of </t>
    </r>
    <r>
      <rPr>
        <b/>
        <sz val="10"/>
        <rFont val="Arial"/>
        <family val="2"/>
      </rPr>
      <t>Co</t>
    </r>
    <r>
      <rPr>
        <sz val="10"/>
        <rFont val="Arial"/>
        <family val="2"/>
      </rPr>
      <t xml:space="preserve"> tests</t>
    </r>
  </si>
  <si>
    <t>Date range</t>
  </si>
  <si>
    <t>Loaded from MV-P sheet</t>
  </si>
  <si>
    <t>Loaded from MV-E sheet</t>
  </si>
  <si>
    <t>1. Compare ARPANSA QA Chamber</t>
  </si>
  <si>
    <t>2. Comparison Previous Calibration</t>
  </si>
  <si>
    <t>Date ranges</t>
  </si>
  <si>
    <t>Loaded from Co sheet</t>
  </si>
  <si>
    <t>3. Two-voltage recombination</t>
  </si>
  <si>
    <t>4. Polarity correction</t>
  </si>
  <si>
    <t>5. Dose to water rate</t>
  </si>
  <si>
    <t>Measurement dates</t>
  </si>
  <si>
    <t>Loaded from Elec sheet</t>
  </si>
  <si>
    <t>Loaded from LEX sheet</t>
  </si>
  <si>
    <t>Loaded from MEX sheet</t>
  </si>
  <si>
    <t>Number of runs</t>
  </si>
  <si>
    <t>Number of dates</t>
  </si>
  <si>
    <t>Added shell DCC functions for electrometer in Module 3 for future development</t>
  </si>
  <si>
    <t>Measurement date (s)</t>
  </si>
  <si>
    <t>7b. Synergy BQs &amp; kQs &amp; Quadratic coefficients</t>
  </si>
  <si>
    <t>7 Gy/min</t>
  </si>
  <si>
    <t>0.06 cGy/pulse</t>
  </si>
  <si>
    <r>
      <rPr>
        <i/>
        <sz val="11"/>
        <color indexed="8"/>
        <rFont val="Cambria"/>
        <family val="1"/>
      </rPr>
      <t>z</t>
    </r>
    <r>
      <rPr>
        <i/>
        <vertAlign val="subscript"/>
        <sz val="11"/>
        <color indexed="8"/>
        <rFont val="Cambria"/>
        <family val="1"/>
      </rPr>
      <t>ref</t>
    </r>
    <r>
      <rPr>
        <sz val="11"/>
        <color indexed="8"/>
        <rFont val="Times New Roman"/>
        <family val="1"/>
      </rPr>
      <t xml:space="preserve"> = 0.6</t>
    </r>
    <r>
      <rPr>
        <i/>
        <sz val="11"/>
        <color indexed="8"/>
        <rFont val="Times New Roman"/>
        <family val="1"/>
      </rPr>
      <t>R</t>
    </r>
    <r>
      <rPr>
        <i/>
        <vertAlign val="subscript"/>
        <sz val="11"/>
        <color indexed="8"/>
        <rFont val="Times New Roman"/>
        <family val="1"/>
      </rPr>
      <t>50</t>
    </r>
    <r>
      <rPr>
        <sz val="11"/>
        <color indexed="8"/>
        <rFont val="Times New Roman"/>
        <family val="1"/>
      </rPr>
      <t xml:space="preserve"> – 0.1 = 3.43 cm</t>
    </r>
  </si>
  <si>
    <t>[3] Plus 0.25 mm of Cu</t>
  </si>
  <si>
    <t>1.02 [3]</t>
  </si>
  <si>
    <t>Report RT8? (default is no)</t>
  </si>
  <si>
    <t>Added option to report RT8 (Yes or No) to LEX sheet, with effect on LEXReport</t>
  </si>
  <si>
    <t>Changed sign function so that you can uncheck a report regardless of its state (but can only sign if data is ready)</t>
  </si>
  <si>
    <t>21-Production</t>
  </si>
  <si>
    <t>Has data</t>
  </si>
  <si>
    <t>Combined done?</t>
  </si>
  <si>
    <t>Num runs</t>
  </si>
  <si>
    <t>22-dev</t>
  </si>
  <si>
    <t>Added status of each report to Log sheet</t>
  </si>
  <si>
    <t>ElecReport</t>
  </si>
  <si>
    <t>CoReport</t>
  </si>
  <si>
    <t>MEXReport</t>
  </si>
  <si>
    <t>LEXReport</t>
  </si>
  <si>
    <t>MVP+CoReport</t>
  </si>
  <si>
    <t>MVEreport</t>
  </si>
  <si>
    <t>Directory (include trailing \)</t>
  </si>
  <si>
    <t>This file (source)</t>
  </si>
  <si>
    <t>DCC Generator</t>
  </si>
  <si>
    <t>Deleted Sr sheets</t>
  </si>
  <si>
    <t>Warning: these files will be overwritten if they already exist (.pdf, _base64.txt,.dcc)</t>
  </si>
  <si>
    <t>File locations</t>
  </si>
  <si>
    <t>Report is finished</t>
  </si>
  <si>
    <t>Signed NATA</t>
  </si>
  <si>
    <t>Signed checker</t>
  </si>
  <si>
    <t>Signed Tester</t>
  </si>
  <si>
    <t>File name for DCC</t>
  </si>
  <si>
    <t>Report</t>
  </si>
  <si>
    <t>Directory for PDFs (including \)</t>
  </si>
  <si>
    <t>Directory for DCCs (including \)</t>
  </si>
  <si>
    <t>Added DCC and code to Module 3 and a sheet for handling export of DCC</t>
  </si>
  <si>
    <t>Finalise and     create PDF</t>
  </si>
  <si>
    <t>22-Production</t>
  </si>
  <si>
    <t>ElecRep2Ch</t>
  </si>
  <si>
    <t>ElecRep2Ch - 2 CHANNEL</t>
  </si>
  <si>
    <t>Elec 2 CHANNEL checked by:</t>
  </si>
  <si>
    <t>Tester says ready</t>
  </si>
  <si>
    <t>Report second channel</t>
  </si>
  <si>
    <t>2nd channel filled out</t>
  </si>
  <si>
    <t>23-dev</t>
  </si>
  <si>
    <t>Added digital signing of 2channel elec report</t>
  </si>
  <si>
    <t>Validated: Note yet</t>
  </si>
  <si>
    <t>(channel 2 - if calibrated - see Q8)</t>
  </si>
  <si>
    <t>Make checking PDF</t>
  </si>
  <si>
    <t>Signatory</t>
  </si>
  <si>
    <t>Anyone</t>
  </si>
  <si>
    <t>Directory for checking (including \)</t>
  </si>
  <si>
    <t>Create DCC       (beta)</t>
  </si>
  <si>
    <t>NB: DIGITAL CALIBRATION CERTIFICATES ARE STILL IN BETA</t>
  </si>
  <si>
    <t>Added button to produce checking copy of each report</t>
  </si>
  <si>
    <t>23-Production</t>
  </si>
  <si>
    <t>(note: version should start with the number e.g. 21-Prod not v21)</t>
  </si>
  <si>
    <t>457</t>
  </si>
  <si>
    <t>1</t>
  </si>
  <si>
    <t>3</t>
  </si>
  <si>
    <t>2</t>
  </si>
  <si>
    <t>De-identified for distribution</t>
  </si>
  <si>
    <t>Buildup cap</t>
  </si>
  <si>
    <t>CAL11957</t>
  </si>
  <si>
    <t>Not previously calibrated at ARPANSA</t>
  </si>
  <si>
    <t>100 Street Name</t>
  </si>
  <si>
    <t>Suburb 2000 NSW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</si>
</sst>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164" formatCode="0.000E+00"/>
    <numFmt numFmtId="165" formatCode="0.0"/>
    <numFmt numFmtId="166" formatCode="0.000"/>
    <numFmt numFmtId="167" formatCode="hh:mm:ss_)"/>
    <numFmt numFmtId="168" formatCode="0.0000"/>
    <numFmt numFmtId="169" formatCode="d/mm/yy;@"/>
    <numFmt numFmtId="170" formatCode="General_)"/>
    <numFmt numFmtId="171" formatCode="dd/mm/yyyy;@"/>
    <numFmt numFmtId="172" formatCode="[$-409]d\-mmm\-yy;@"/>
    <numFmt numFmtId="173" formatCode="[$-C09]dd\-mmm\-yy;@"/>
    <numFmt numFmtId="174" formatCode="0.00000"/>
    <numFmt numFmtId="175" formatCode="d/m/yyyy;@"/>
    <numFmt numFmtId="176" formatCode="dd/mm/yy;@"/>
    <numFmt numFmtId="177" formatCode="d/m/yy;@"/>
  </numFmts>
  <fonts count="140">
    <font>
      <sz val="10"/>
      <name val="Arial"/>
    </font>
    <font>
      <sz val="10"/>
      <name val="Arial"/>
      <family val="2"/>
    </font>
    <font>
      <sz val="8"/>
      <name val="Arial"/>
      <family val="2"/>
    </font>
    <font>
      <b/>
      <sz val="10"/>
      <name val="Arial"/>
      <family val="2"/>
    </font>
    <font>
      <b/>
      <i/>
      <sz val="10"/>
      <name val="Arial"/>
      <family val="2"/>
    </font>
    <font>
      <sz val="10"/>
      <name val="Arial"/>
      <family val="2"/>
    </font>
    <font>
      <sz val="12"/>
      <name val="Arial"/>
      <family val="2"/>
    </font>
    <font>
      <b/>
      <sz val="18"/>
      <name val="Arial"/>
      <family val="2"/>
    </font>
    <font>
      <b/>
      <sz val="12"/>
      <name val="Arial"/>
      <family val="2"/>
    </font>
    <font>
      <b/>
      <vertAlign val="superscript"/>
      <sz val="10"/>
      <name val="Arial"/>
      <family val="2"/>
    </font>
    <font>
      <b/>
      <vertAlign val="superscript"/>
      <sz val="12"/>
      <name val="Arial"/>
      <family val="2"/>
    </font>
    <font>
      <vertAlign val="superscript"/>
      <sz val="10"/>
      <name val="Arial"/>
      <family val="2"/>
    </font>
    <font>
      <i/>
      <sz val="10"/>
      <name val="Arial"/>
      <family val="2"/>
    </font>
    <font>
      <vertAlign val="subscript"/>
      <sz val="10"/>
      <name val="Arial"/>
      <family val="2"/>
    </font>
    <font>
      <i/>
      <vertAlign val="subscript"/>
      <sz val="10"/>
      <name val="Arial"/>
      <family val="2"/>
    </font>
    <font>
      <b/>
      <i/>
      <vertAlign val="subscript"/>
      <sz val="10"/>
      <name val="Arial"/>
      <family val="2"/>
    </font>
    <font>
      <b/>
      <sz val="10"/>
      <name val="Helv"/>
    </font>
    <font>
      <sz val="10"/>
      <color indexed="10"/>
      <name val="Arial"/>
      <family val="2"/>
    </font>
    <font>
      <b/>
      <vertAlign val="subscript"/>
      <sz val="10"/>
      <name val="Arial"/>
      <family val="2"/>
    </font>
    <font>
      <b/>
      <sz val="12"/>
      <color indexed="8"/>
      <name val="Times New Roman"/>
      <family val="1"/>
    </font>
    <font>
      <sz val="10"/>
      <color indexed="8"/>
      <name val="Times New Roman"/>
      <family val="1"/>
    </font>
    <font>
      <b/>
      <sz val="10"/>
      <color indexed="8"/>
      <name val="Times New Roman"/>
      <family val="1"/>
    </font>
    <font>
      <sz val="11"/>
      <color indexed="8"/>
      <name val="Times New Roman"/>
      <family val="1"/>
    </font>
    <font>
      <sz val="12"/>
      <color indexed="8"/>
      <name val="Times New Roman"/>
      <family val="1"/>
    </font>
    <font>
      <i/>
      <sz val="12"/>
      <color indexed="8"/>
      <name val="Times New Roman"/>
      <family val="1"/>
    </font>
    <font>
      <vertAlign val="superscript"/>
      <sz val="11"/>
      <color indexed="8"/>
      <name val="Times New Roman"/>
      <family val="1"/>
    </font>
    <font>
      <i/>
      <sz val="11"/>
      <color indexed="8"/>
      <name val="Times New Roman"/>
      <family val="1"/>
    </font>
    <font>
      <i/>
      <vertAlign val="subscript"/>
      <sz val="11"/>
      <color indexed="8"/>
      <name val="Times New Roman"/>
      <family val="1"/>
    </font>
    <font>
      <sz val="11"/>
      <name val="Times New Roman"/>
      <family val="1"/>
    </font>
    <font>
      <i/>
      <sz val="12"/>
      <name val="Times New Roman"/>
      <family val="1"/>
    </font>
    <font>
      <b/>
      <u/>
      <sz val="14"/>
      <color indexed="8"/>
      <name val="Times New Roman"/>
      <family val="1"/>
    </font>
    <font>
      <b/>
      <vertAlign val="superscript"/>
      <sz val="12"/>
      <color indexed="8"/>
      <name val="Times New Roman"/>
      <family val="1"/>
    </font>
    <font>
      <sz val="12"/>
      <name val="Times New Roman"/>
      <family val="1"/>
    </font>
    <font>
      <b/>
      <sz val="12"/>
      <name val="Times New Roman"/>
      <family val="1"/>
    </font>
    <font>
      <b/>
      <u/>
      <vertAlign val="superscript"/>
      <sz val="14"/>
      <color indexed="8"/>
      <name val="Times New Roman"/>
      <family val="1"/>
    </font>
    <font>
      <vertAlign val="superscript"/>
      <sz val="12"/>
      <name val="Times New Roman"/>
      <family val="1"/>
    </font>
    <font>
      <vertAlign val="superscript"/>
      <sz val="12"/>
      <color indexed="8"/>
      <name val="Times New Roman"/>
      <family val="1"/>
    </font>
    <font>
      <vertAlign val="subscript"/>
      <sz val="12"/>
      <name val="Times New Roman"/>
      <family val="1"/>
    </font>
    <font>
      <b/>
      <i/>
      <sz val="12"/>
      <name val="Times New Roman"/>
      <family val="1"/>
    </font>
    <font>
      <i/>
      <vertAlign val="subscript"/>
      <sz val="12"/>
      <name val="Times New Roman"/>
      <family val="1"/>
    </font>
    <font>
      <i/>
      <vertAlign val="subscript"/>
      <sz val="12"/>
      <color indexed="8"/>
      <name val="Times New Roman"/>
      <family val="1"/>
    </font>
    <font>
      <sz val="10"/>
      <color indexed="12"/>
      <name val="Arial"/>
      <family val="2"/>
    </font>
    <font>
      <vertAlign val="subscript"/>
      <sz val="11"/>
      <color indexed="8"/>
      <name val="Times New Roman"/>
      <family val="1"/>
    </font>
    <font>
      <sz val="12"/>
      <name val="Symbol"/>
      <family val="1"/>
      <charset val="2"/>
    </font>
    <font>
      <vertAlign val="subscript"/>
      <sz val="10"/>
      <color indexed="8"/>
      <name val="Arial"/>
      <family val="2"/>
    </font>
    <font>
      <sz val="7"/>
      <name val="Times New Roman"/>
      <family val="1"/>
    </font>
    <font>
      <b/>
      <i/>
      <vertAlign val="subscript"/>
      <sz val="12"/>
      <name val="Times New Roman"/>
      <family val="1"/>
    </font>
    <font>
      <i/>
      <sz val="11"/>
      <name val="Times New Roman"/>
      <family val="1"/>
    </font>
    <font>
      <i/>
      <vertAlign val="subscript"/>
      <sz val="11"/>
      <name val="Times New Roman"/>
      <family val="1"/>
    </font>
    <font>
      <b/>
      <i/>
      <sz val="11"/>
      <name val="Times New Roman"/>
      <family val="1"/>
    </font>
    <font>
      <b/>
      <i/>
      <vertAlign val="subscript"/>
      <sz val="11"/>
      <name val="Times New Roman"/>
      <family val="1"/>
    </font>
    <font>
      <sz val="10"/>
      <name val="Times New Roman"/>
      <family val="1"/>
    </font>
    <font>
      <vertAlign val="superscript"/>
      <sz val="11"/>
      <name val="Times New Roman"/>
      <family val="1"/>
    </font>
    <font>
      <b/>
      <sz val="11"/>
      <name val="Times New Roman"/>
      <family val="1"/>
    </font>
    <font>
      <b/>
      <sz val="11"/>
      <color indexed="8"/>
      <name val="Times New Roman"/>
      <family val="1"/>
    </font>
    <font>
      <b/>
      <sz val="14"/>
      <color indexed="8"/>
      <name val="Times New Roman"/>
      <family val="1"/>
    </font>
    <font>
      <b/>
      <vertAlign val="superscript"/>
      <sz val="14"/>
      <color indexed="8"/>
      <name val="Times New Roman"/>
      <family val="1"/>
    </font>
    <font>
      <b/>
      <i/>
      <sz val="14"/>
      <color indexed="8"/>
      <name val="Times New Roman"/>
      <family val="1"/>
    </font>
    <font>
      <b/>
      <i/>
      <vertAlign val="subscript"/>
      <sz val="14"/>
      <color indexed="8"/>
      <name val="Times New Roman"/>
      <family val="1"/>
    </font>
    <font>
      <vertAlign val="superscript"/>
      <sz val="10"/>
      <name val="Times New Roman"/>
      <family val="1"/>
    </font>
    <font>
      <i/>
      <vertAlign val="superscript"/>
      <sz val="12"/>
      <name val="Times New Roman"/>
      <family val="1"/>
    </font>
    <font>
      <vertAlign val="subscript"/>
      <sz val="10"/>
      <name val="Times New Roman"/>
      <family val="1"/>
    </font>
    <font>
      <i/>
      <vertAlign val="superscript"/>
      <sz val="10"/>
      <name val="Times New Roman"/>
      <family val="1"/>
    </font>
    <font>
      <i/>
      <sz val="10"/>
      <name val="Times New Roman"/>
      <family val="1"/>
    </font>
    <font>
      <i/>
      <vertAlign val="subscript"/>
      <sz val="10"/>
      <name val="Times New Roman"/>
      <family val="1"/>
    </font>
    <font>
      <sz val="10"/>
      <name val="Ariel"/>
    </font>
    <font>
      <sz val="10"/>
      <name val="MS Sans Serif"/>
      <family val="2"/>
    </font>
    <font>
      <i/>
      <sz val="10.5"/>
      <color indexed="8"/>
      <name val="Times New Roman"/>
      <family val="1"/>
    </font>
    <font>
      <i/>
      <vertAlign val="subscript"/>
      <sz val="10.5"/>
      <color indexed="8"/>
      <name val="Times New Roman"/>
      <family val="1"/>
    </font>
    <font>
      <sz val="10.5"/>
      <color indexed="8"/>
      <name val="Times New Roman"/>
      <family val="1"/>
    </font>
    <font>
      <sz val="10.5"/>
      <name val="Times New Roman"/>
      <family val="1"/>
    </font>
    <font>
      <i/>
      <sz val="12"/>
      <name val="Cambria"/>
      <family val="1"/>
    </font>
    <font>
      <i/>
      <vertAlign val="subscript"/>
      <sz val="12"/>
      <name val="Cambria"/>
      <family val="1"/>
    </font>
    <font>
      <i/>
      <sz val="12"/>
      <color indexed="8"/>
      <name val="Cambria"/>
      <family val="1"/>
    </font>
    <font>
      <vertAlign val="subscript"/>
      <sz val="12"/>
      <color indexed="8"/>
      <name val="Cambria"/>
      <family val="1"/>
    </font>
    <font>
      <vertAlign val="subscript"/>
      <sz val="12"/>
      <name val="Cambria"/>
      <family val="1"/>
    </font>
    <font>
      <i/>
      <sz val="11"/>
      <color indexed="8"/>
      <name val="Cambria"/>
      <family val="1"/>
    </font>
    <font>
      <i/>
      <vertAlign val="subscript"/>
      <sz val="11"/>
      <color indexed="8"/>
      <name val="Cambria"/>
      <family val="1"/>
    </font>
    <font>
      <sz val="12"/>
      <name val="Cambria"/>
      <family val="1"/>
    </font>
    <font>
      <i/>
      <sz val="10"/>
      <color indexed="8"/>
      <name val="Times New Roman"/>
      <family val="1"/>
    </font>
    <font>
      <i/>
      <vertAlign val="superscript"/>
      <sz val="10"/>
      <color indexed="8"/>
      <name val="Times New Roman"/>
      <family val="1"/>
    </font>
    <font>
      <vertAlign val="subscript"/>
      <sz val="12"/>
      <name val="Arial"/>
      <family val="2"/>
    </font>
    <font>
      <sz val="10"/>
      <color theme="1"/>
      <name val="Arial"/>
      <family val="2"/>
    </font>
    <font>
      <sz val="11"/>
      <color theme="1"/>
      <name val="Calibri"/>
      <family val="2"/>
      <scheme val="minor"/>
    </font>
    <font>
      <sz val="11"/>
      <color theme="0"/>
      <name val="Calibri"/>
      <family val="2"/>
      <scheme val="minor"/>
    </font>
    <font>
      <sz val="11"/>
      <color rgb="FF9C0006"/>
      <name val="Calibri"/>
      <family val="2"/>
      <scheme val="minor"/>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b/>
      <sz val="11"/>
      <color rgb="FF3F3F3F"/>
      <name val="Calibri"/>
      <family val="2"/>
      <scheme val="minor"/>
    </font>
    <font>
      <b/>
      <sz val="18"/>
      <color theme="3"/>
      <name val="Cambria"/>
      <family val="2"/>
      <scheme val="major"/>
    </font>
    <font>
      <b/>
      <sz val="10"/>
      <color theme="1"/>
      <name val="Arial"/>
      <family val="2"/>
    </font>
    <font>
      <b/>
      <sz val="11"/>
      <color theme="1"/>
      <name val="Calibri"/>
      <family val="2"/>
      <scheme val="minor"/>
    </font>
    <font>
      <sz val="10"/>
      <color rgb="FFFF0000"/>
      <name val="Arial"/>
      <family val="2"/>
    </font>
    <font>
      <sz val="11"/>
      <color rgb="FFFF0000"/>
      <name val="Calibri"/>
      <family val="2"/>
      <scheme val="minor"/>
    </font>
    <font>
      <b/>
      <sz val="12"/>
      <color theme="1"/>
      <name val="Calibri"/>
      <family val="2"/>
      <scheme val="minor"/>
    </font>
    <font>
      <b/>
      <sz val="11"/>
      <color theme="4" tint="-0.24994659260841701"/>
      <name val="Calibri"/>
      <family val="2"/>
      <scheme val="minor"/>
    </font>
    <font>
      <sz val="11"/>
      <color theme="1"/>
      <name val="Times New Roman"/>
      <family val="1"/>
    </font>
    <font>
      <sz val="12"/>
      <color theme="1"/>
      <name val="Times New Roman"/>
      <family val="1"/>
    </font>
    <font>
      <b/>
      <sz val="12"/>
      <color theme="1"/>
      <name val="Times New Roman"/>
      <family val="1"/>
    </font>
    <font>
      <sz val="5.5"/>
      <color theme="1"/>
      <name val="Arial"/>
      <family val="2"/>
    </font>
    <font>
      <b/>
      <sz val="5.5"/>
      <color theme="1"/>
      <name val="Arial"/>
      <family val="2"/>
    </font>
    <font>
      <sz val="12"/>
      <color theme="1"/>
      <name val="Calibri"/>
      <family val="2"/>
      <scheme val="minor"/>
    </font>
    <font>
      <b/>
      <sz val="11"/>
      <color theme="1"/>
      <name val="Times New Roman"/>
      <family val="1"/>
    </font>
    <font>
      <i/>
      <sz val="10"/>
      <color theme="1"/>
      <name val="Calibri"/>
      <family val="2"/>
      <scheme val="minor"/>
    </font>
    <font>
      <sz val="10"/>
      <color theme="1"/>
      <name val="Times New Roman"/>
      <family val="1"/>
    </font>
    <font>
      <i/>
      <sz val="10"/>
      <color theme="1"/>
      <name val="Times New Roman"/>
      <family val="1"/>
    </font>
    <font>
      <b/>
      <i/>
      <sz val="11"/>
      <color theme="1"/>
      <name val="Calibri"/>
      <family val="2"/>
      <scheme val="minor"/>
    </font>
    <font>
      <b/>
      <sz val="12"/>
      <color rgb="FFFF0000"/>
      <name val="Times New Roman"/>
      <family val="1"/>
    </font>
    <font>
      <sz val="12"/>
      <color rgb="FFFF0000"/>
      <name val="Times New Roman"/>
      <family val="1"/>
    </font>
    <font>
      <sz val="10"/>
      <color theme="1"/>
      <name val="Calibri"/>
      <family val="2"/>
      <scheme val="minor"/>
    </font>
    <font>
      <i/>
      <sz val="12"/>
      <color theme="1"/>
      <name val="Times New Roman"/>
      <family val="1"/>
    </font>
    <font>
      <i/>
      <sz val="10"/>
      <color rgb="FFFF0000"/>
      <name val="Arial"/>
      <family val="2"/>
    </font>
    <font>
      <b/>
      <sz val="11"/>
      <color rgb="FFFF0000"/>
      <name val="Calibri"/>
      <family val="2"/>
      <scheme val="minor"/>
    </font>
    <font>
      <b/>
      <u/>
      <sz val="14"/>
      <color theme="1"/>
      <name val="Times New Roman"/>
      <family val="1"/>
    </font>
    <font>
      <sz val="10"/>
      <color rgb="FF0000FF"/>
      <name val="Arial"/>
      <family val="2"/>
    </font>
    <font>
      <b/>
      <sz val="10"/>
      <color rgb="FFFF0000"/>
      <name val="Arial"/>
      <family val="2"/>
    </font>
    <font>
      <i/>
      <sz val="11"/>
      <color theme="1"/>
      <name val="Times New Roman"/>
      <family val="1"/>
    </font>
    <font>
      <sz val="11"/>
      <color theme="1"/>
      <name val="Calibri"/>
      <family val="2"/>
    </font>
    <font>
      <sz val="10"/>
      <color rgb="FF0000FF"/>
      <name val="Ariel"/>
    </font>
    <font>
      <b/>
      <sz val="10"/>
      <color theme="5" tint="-0.249977111117893"/>
      <name val="Arial"/>
      <family val="2"/>
    </font>
    <font>
      <i/>
      <sz val="8"/>
      <color theme="1"/>
      <name val="Times New Roman"/>
      <family val="1"/>
    </font>
    <font>
      <b/>
      <u/>
      <sz val="12"/>
      <color theme="1"/>
      <name val="Times New Roman"/>
      <family val="1"/>
    </font>
    <font>
      <b/>
      <sz val="10"/>
      <color theme="1"/>
      <name val="Times New Roman"/>
      <family val="1"/>
    </font>
    <font>
      <sz val="10.5"/>
      <color theme="1"/>
      <name val="Times New Roman"/>
      <family val="1"/>
    </font>
    <font>
      <b/>
      <sz val="14"/>
      <color theme="1"/>
      <name val="Times New Roman"/>
      <family val="1"/>
    </font>
    <font>
      <sz val="9"/>
      <color indexed="81"/>
      <name val="Tahoma"/>
      <family val="2"/>
    </font>
    <font>
      <b/>
      <sz val="9"/>
      <color indexed="81"/>
      <name val="Tahoma"/>
      <family val="2"/>
    </font>
    <font>
      <b/>
      <sz val="11"/>
      <color theme="4" tint="-0.249977111117893"/>
      <name val="Calibri"/>
      <family val="2"/>
      <scheme val="minor"/>
    </font>
    <font>
      <sz val="10"/>
      <name val="Calibri"/>
      <family val="2"/>
    </font>
    <font>
      <sz val="8.6"/>
      <name val="Arial"/>
      <family val="2"/>
    </font>
    <font>
      <sz val="10"/>
      <color rgb="FF000000"/>
      <name val="Arial"/>
      <family val="2"/>
    </font>
    <font>
      <b/>
      <sz val="14"/>
      <name val="Arial"/>
      <family val="2"/>
    </font>
  </fonts>
  <fills count="63">
    <fill>
      <patternFill patternType="none"/>
    </fill>
    <fill>
      <patternFill patternType="gray125"/>
    </fill>
    <fill>
      <patternFill patternType="solid">
        <fgColor indexed="47"/>
        <bgColor indexed="64"/>
      </patternFill>
    </fill>
    <fill>
      <patternFill patternType="solid">
        <fgColor indexed="26"/>
        <bgColor indexed="64"/>
      </patternFill>
    </fill>
    <fill>
      <patternFill patternType="solid">
        <fgColor indexed="27"/>
        <bgColor indexed="64"/>
      </patternFill>
    </fill>
    <fill>
      <patternFill patternType="solid">
        <fgColor indexed="41"/>
        <bgColor indexed="64"/>
      </patternFill>
    </fill>
    <fill>
      <patternFill patternType="solid">
        <fgColor indexed="31"/>
        <bgColor indexed="64"/>
      </patternFill>
    </fill>
    <fill>
      <patternFill patternType="solid">
        <fgColor indexed="42"/>
        <bgColor indexed="64"/>
      </patternFill>
    </fill>
    <fill>
      <patternFill patternType="solid">
        <fgColor indexed="15"/>
        <bgColor indexed="64"/>
      </patternFill>
    </fill>
    <fill>
      <patternFill patternType="solid">
        <fgColor indexed="40"/>
        <bgColor indexed="64"/>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7" tint="0.59996337778862885"/>
        <bgColor indexed="64"/>
      </patternFill>
    </fill>
    <fill>
      <patternFill patternType="solid">
        <fgColor theme="3" tint="0.79998168889431442"/>
        <bgColor indexed="64"/>
      </patternFill>
    </fill>
    <fill>
      <patternFill patternType="solid">
        <fgColor rgb="FFFFFFCC"/>
        <bgColor indexed="64"/>
      </patternFill>
    </fill>
    <fill>
      <patternFill patternType="solid">
        <fgColor rgb="FFCCFFCC"/>
        <bgColor indexed="64"/>
      </patternFill>
    </fill>
    <fill>
      <patternFill patternType="solid">
        <fgColor rgb="FFCCFFFF"/>
        <bgColor indexed="64"/>
      </patternFill>
    </fill>
    <fill>
      <patternFill patternType="solid">
        <fgColor theme="3" tint="0.59996337778862885"/>
        <bgColor indexed="64"/>
      </patternFill>
    </fill>
    <fill>
      <patternFill patternType="solid">
        <fgColor theme="2" tint="-0.24994659260841701"/>
        <bgColor indexed="64"/>
      </patternFill>
    </fill>
    <fill>
      <patternFill patternType="solid">
        <fgColor rgb="FF00FFFF"/>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7" tint="0.39994506668294322"/>
        <bgColor theme="9" tint="0.59996337778862885"/>
      </patternFill>
    </fill>
    <fill>
      <patternFill patternType="solid">
        <fgColor theme="2" tint="-0.499984740745262"/>
        <bgColor indexed="64"/>
      </patternFill>
    </fill>
    <fill>
      <patternFill patternType="solid">
        <fgColor rgb="FF00B050"/>
        <bgColor indexed="64"/>
      </patternFill>
    </fill>
    <fill>
      <patternFill patternType="solid">
        <fgColor rgb="FF00B0F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92D050"/>
        <bgColor indexed="64"/>
      </patternFill>
    </fill>
    <fill>
      <patternFill patternType="solid">
        <fgColor rgb="FFFFFF00"/>
        <bgColor indexed="64"/>
      </patternFill>
    </fill>
    <fill>
      <patternFill patternType="solid">
        <fgColor theme="4" tint="0.59996337778862885"/>
        <bgColor indexed="64"/>
      </patternFill>
    </fill>
    <fill>
      <patternFill patternType="solid">
        <fgColor theme="9" tint="0.79998168889431442"/>
        <bgColor indexed="64"/>
      </patternFill>
    </fill>
    <fill>
      <patternFill patternType="solid">
        <fgColor rgb="FFEC8C8C"/>
        <bgColor indexed="64"/>
      </patternFill>
    </fill>
  </fills>
  <borders count="43">
    <border>
      <left/>
      <right/>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45"/>
      </left>
      <right style="thin">
        <color indexed="45"/>
      </right>
      <top style="thin">
        <color indexed="45"/>
      </top>
      <bottom style="thin">
        <color indexed="45"/>
      </bottom>
      <diagonal/>
    </border>
    <border>
      <left style="thin">
        <color indexed="64"/>
      </left>
      <right/>
      <top style="thin">
        <color indexed="64"/>
      </top>
      <bottom/>
      <diagonal/>
    </border>
    <border>
      <left style="medium">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right/>
      <top style="medium">
        <color theme="3"/>
      </top>
      <bottom/>
      <diagonal/>
    </border>
    <border>
      <left/>
      <right/>
      <top style="thin">
        <color theme="3"/>
      </top>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45"/>
      </left>
      <right/>
      <top style="thin">
        <color indexed="45"/>
      </top>
      <bottom style="thin">
        <color indexed="45"/>
      </bottom>
      <diagonal/>
    </border>
    <border>
      <left/>
      <right style="thin">
        <color indexed="45"/>
      </right>
      <top style="thin">
        <color indexed="45"/>
      </top>
      <bottom style="thin">
        <color indexed="45"/>
      </bottom>
      <diagonal/>
    </border>
    <border>
      <left/>
      <right/>
      <top/>
      <bottom style="thin">
        <color theme="3"/>
      </bottom>
      <diagonal/>
    </border>
  </borders>
  <cellStyleXfs count="47">
    <xf numFmtId="0" fontId="0" fillId="0" borderId="0"/>
    <xf numFmtId="0" fontId="83" fillId="11" borderId="0" applyNumberFormat="0" applyBorder="0" applyAlignment="0" applyProtection="0"/>
    <xf numFmtId="0" fontId="83" fillId="12" borderId="0" applyNumberFormat="0" applyBorder="0" applyAlignment="0" applyProtection="0"/>
    <xf numFmtId="0" fontId="83" fillId="13" borderId="0" applyNumberFormat="0" applyBorder="0" applyAlignment="0" applyProtection="0"/>
    <xf numFmtId="0" fontId="83" fillId="14" borderId="0" applyNumberFormat="0" applyBorder="0" applyAlignment="0" applyProtection="0"/>
    <xf numFmtId="0" fontId="83" fillId="15" borderId="0" applyNumberFormat="0" applyBorder="0" applyAlignment="0" applyProtection="0"/>
    <xf numFmtId="0" fontId="83" fillId="16" borderId="0" applyNumberFormat="0" applyBorder="0" applyAlignment="0" applyProtection="0"/>
    <xf numFmtId="0" fontId="83" fillId="17" borderId="0" applyNumberFormat="0" applyBorder="0" applyAlignment="0" applyProtection="0"/>
    <xf numFmtId="0" fontId="83" fillId="18" borderId="0" applyNumberFormat="0" applyBorder="0" applyAlignment="0" applyProtection="0"/>
    <xf numFmtId="0" fontId="83" fillId="19" borderId="0" applyNumberFormat="0" applyBorder="0" applyAlignment="0" applyProtection="0"/>
    <xf numFmtId="0" fontId="83" fillId="20" borderId="0" applyNumberFormat="0" applyBorder="0" applyAlignment="0" applyProtection="0"/>
    <xf numFmtId="0" fontId="83" fillId="21" borderId="0" applyNumberFormat="0" applyBorder="0" applyAlignment="0" applyProtection="0"/>
    <xf numFmtId="0" fontId="83" fillId="22" borderId="0" applyNumberFormat="0" applyBorder="0" applyAlignment="0" applyProtection="0"/>
    <xf numFmtId="0" fontId="84" fillId="23" borderId="0" applyNumberFormat="0" applyBorder="0" applyAlignment="0" applyProtection="0"/>
    <xf numFmtId="0" fontId="84" fillId="24" borderId="0" applyNumberFormat="0" applyBorder="0" applyAlignment="0" applyProtection="0"/>
    <xf numFmtId="0" fontId="84" fillId="25" borderId="0" applyNumberFormat="0" applyBorder="0" applyAlignment="0" applyProtection="0"/>
    <xf numFmtId="0" fontId="84" fillId="26" borderId="0" applyNumberFormat="0" applyBorder="0" applyAlignment="0" applyProtection="0"/>
    <xf numFmtId="0" fontId="84" fillId="27" borderId="0" applyNumberFormat="0" applyBorder="0" applyAlignment="0" applyProtection="0"/>
    <xf numFmtId="0" fontId="84" fillId="28" borderId="0" applyNumberFormat="0" applyBorder="0" applyAlignment="0" applyProtection="0"/>
    <xf numFmtId="0" fontId="84" fillId="29" borderId="0" applyNumberFormat="0" applyBorder="0" applyAlignment="0" applyProtection="0"/>
    <xf numFmtId="0" fontId="84" fillId="30" borderId="0" applyNumberFormat="0" applyBorder="0" applyAlignment="0" applyProtection="0"/>
    <xf numFmtId="0" fontId="84" fillId="31" borderId="0" applyNumberFormat="0" applyBorder="0" applyAlignment="0" applyProtection="0"/>
    <xf numFmtId="0" fontId="84" fillId="32" borderId="0" applyNumberFormat="0" applyBorder="0" applyAlignment="0" applyProtection="0"/>
    <xf numFmtId="0" fontId="84" fillId="33" borderId="0" applyNumberFormat="0" applyBorder="0" applyAlignment="0" applyProtection="0"/>
    <xf numFmtId="0" fontId="84" fillId="34" borderId="0" applyNumberFormat="0" applyBorder="0" applyAlignment="0" applyProtection="0"/>
    <xf numFmtId="0" fontId="85" fillId="35" borderId="0" applyNumberFormat="0" applyBorder="0" applyAlignment="0" applyProtection="0"/>
    <xf numFmtId="0" fontId="86" fillId="36" borderId="22" applyNumberFormat="0" applyAlignment="0" applyProtection="0"/>
    <xf numFmtId="0" fontId="87" fillId="37" borderId="23" applyNumberFormat="0" applyAlignment="0" applyProtection="0"/>
    <xf numFmtId="0" fontId="88" fillId="0" borderId="0" applyNumberFormat="0" applyFill="0" applyBorder="0" applyAlignment="0" applyProtection="0"/>
    <xf numFmtId="0" fontId="89" fillId="38" borderId="0" applyNumberFormat="0" applyBorder="0" applyAlignment="0" applyProtection="0"/>
    <xf numFmtId="0" fontId="90" fillId="0" borderId="24" applyNumberFormat="0" applyFill="0" applyAlignment="0" applyProtection="0"/>
    <xf numFmtId="0" fontId="91" fillId="0" borderId="25" applyNumberFormat="0" applyFill="0" applyAlignment="0" applyProtection="0"/>
    <xf numFmtId="0" fontId="92" fillId="0" borderId="26" applyNumberFormat="0" applyFill="0" applyAlignment="0" applyProtection="0"/>
    <xf numFmtId="0" fontId="92" fillId="0" borderId="0" applyNumberFormat="0" applyFill="0" applyBorder="0" applyAlignment="0" applyProtection="0"/>
    <xf numFmtId="0" fontId="93" fillId="39" borderId="22" applyNumberFormat="0" applyAlignment="0" applyProtection="0"/>
    <xf numFmtId="0" fontId="94" fillId="0" borderId="27" applyNumberFormat="0" applyFill="0" applyAlignment="0" applyProtection="0"/>
    <xf numFmtId="0" fontId="95" fillId="40" borderId="0" applyNumberFormat="0" applyBorder="0" applyAlignment="0" applyProtection="0"/>
    <xf numFmtId="0" fontId="5" fillId="0" borderId="0"/>
    <xf numFmtId="0" fontId="66" fillId="0" borderId="0"/>
    <xf numFmtId="0" fontId="83" fillId="0" borderId="0"/>
    <xf numFmtId="0" fontId="5" fillId="0" borderId="0"/>
    <xf numFmtId="0" fontId="5" fillId="0" borderId="0"/>
    <xf numFmtId="0" fontId="83" fillId="41" borderId="28" applyNumberFormat="0" applyFont="0" applyAlignment="0" applyProtection="0"/>
    <xf numFmtId="0" fontId="96" fillId="36" borderId="29" applyNumberFormat="0" applyAlignment="0" applyProtection="0"/>
    <xf numFmtId="0" fontId="97" fillId="0" borderId="0" applyNumberFormat="0" applyFill="0" applyBorder="0" applyAlignment="0" applyProtection="0"/>
    <xf numFmtId="0" fontId="99" fillId="0" borderId="30" applyNumberFormat="0" applyFill="0" applyAlignment="0" applyProtection="0"/>
    <xf numFmtId="0" fontId="101" fillId="0" borderId="0" applyNumberFormat="0" applyFill="0" applyBorder="0" applyAlignment="0" applyProtection="0"/>
  </cellStyleXfs>
  <cellXfs count="1516">
    <xf numFmtId="0" fontId="0" fillId="0" borderId="0" xfId="0"/>
    <xf numFmtId="0" fontId="0" fillId="0" borderId="0" xfId="0" applyAlignment="1">
      <alignment horizontal="center"/>
    </xf>
    <xf numFmtId="0" fontId="0" fillId="0" borderId="0" xfId="0" applyAlignment="1">
      <alignment horizontal="left"/>
    </xf>
    <xf numFmtId="2" fontId="0" fillId="0" borderId="0" xfId="0" applyNumberFormat="1" applyAlignment="1">
      <alignment horizontal="center"/>
    </xf>
    <xf numFmtId="0" fontId="0" fillId="0" borderId="0" xfId="0" applyAlignment="1"/>
    <xf numFmtId="0" fontId="3" fillId="0" borderId="0" xfId="0" applyFont="1"/>
    <xf numFmtId="0" fontId="6" fillId="2" borderId="0" xfId="0" applyFont="1" applyFill="1"/>
    <xf numFmtId="15" fontId="6" fillId="2" borderId="0" xfId="0" applyNumberFormat="1" applyFont="1" applyFill="1" applyAlignment="1">
      <alignment horizontal="center"/>
    </xf>
    <xf numFmtId="0" fontId="6" fillId="2" borderId="0" xfId="0" applyFont="1" applyFill="1" applyAlignment="1">
      <alignment horizontal="left"/>
    </xf>
    <xf numFmtId="0" fontId="6" fillId="0" borderId="0" xfId="0" applyFont="1"/>
    <xf numFmtId="0" fontId="7" fillId="2" borderId="0" xfId="0" applyFont="1" applyFill="1" applyProtection="1"/>
    <xf numFmtId="15" fontId="6" fillId="2" borderId="0" xfId="0" applyNumberFormat="1" applyFont="1" applyFill="1" applyAlignment="1">
      <alignment horizontal="left"/>
    </xf>
    <xf numFmtId="0" fontId="8" fillId="2" borderId="0" xfId="0" applyFont="1" applyFill="1"/>
    <xf numFmtId="15" fontId="6" fillId="2" borderId="1" xfId="0" applyNumberFormat="1" applyFont="1" applyFill="1" applyBorder="1" applyAlignment="1">
      <alignment horizontal="center"/>
    </xf>
    <xf numFmtId="0" fontId="6" fillId="2" borderId="2" xfId="0" applyFont="1" applyFill="1" applyBorder="1" applyAlignment="1">
      <alignment horizontal="center"/>
    </xf>
    <xf numFmtId="0" fontId="6" fillId="2" borderId="1" xfId="0" applyFont="1" applyFill="1" applyBorder="1" applyAlignment="1">
      <alignment horizontal="center"/>
    </xf>
    <xf numFmtId="0" fontId="6" fillId="2" borderId="3" xfId="0" applyFont="1" applyFill="1" applyBorder="1" applyAlignment="1">
      <alignment horizontal="center"/>
    </xf>
    <xf numFmtId="0" fontId="6" fillId="2" borderId="4" xfId="0" applyFont="1" applyFill="1" applyBorder="1"/>
    <xf numFmtId="0" fontId="6" fillId="2" borderId="3" xfId="0" applyFont="1" applyFill="1" applyBorder="1"/>
    <xf numFmtId="15" fontId="8" fillId="2" borderId="0" xfId="0" applyNumberFormat="1" applyFont="1" applyFill="1" applyAlignment="1">
      <alignment horizontal="center"/>
    </xf>
    <xf numFmtId="0" fontId="8" fillId="2" borderId="0" xfId="0" applyFont="1" applyFill="1" applyAlignment="1">
      <alignment horizontal="center"/>
    </xf>
    <xf numFmtId="0" fontId="8" fillId="2" borderId="0" xfId="0" applyFont="1" applyFill="1" applyAlignment="1">
      <alignment horizontal="left"/>
    </xf>
    <xf numFmtId="0" fontId="8" fillId="0" borderId="0" xfId="0" applyFont="1"/>
    <xf numFmtId="0" fontId="6" fillId="2" borderId="0" xfId="0" applyFont="1" applyFill="1" applyAlignment="1">
      <alignment horizontal="center"/>
    </xf>
    <xf numFmtId="0" fontId="0" fillId="2" borderId="0" xfId="0" applyFill="1"/>
    <xf numFmtId="0" fontId="5" fillId="2" borderId="0" xfId="0" applyFont="1" applyFill="1"/>
    <xf numFmtId="0" fontId="3" fillId="2" borderId="0" xfId="0" applyFont="1" applyFill="1"/>
    <xf numFmtId="2" fontId="0" fillId="3" borderId="2" xfId="0" applyNumberFormat="1" applyFill="1" applyBorder="1" applyAlignment="1" applyProtection="1">
      <alignment horizontal="center"/>
      <protection locked="0"/>
    </xf>
    <xf numFmtId="0" fontId="0" fillId="3" borderId="2" xfId="0" applyFill="1" applyBorder="1" applyAlignment="1" applyProtection="1">
      <alignment horizontal="center"/>
      <protection locked="0"/>
    </xf>
    <xf numFmtId="0" fontId="5" fillId="0" borderId="0" xfId="0" applyFont="1"/>
    <xf numFmtId="0" fontId="5" fillId="0" borderId="0" xfId="0" applyFont="1" applyAlignment="1">
      <alignment horizontal="center"/>
    </xf>
    <xf numFmtId="0" fontId="8" fillId="0" borderId="0" xfId="0" applyFont="1" applyAlignment="1">
      <alignment horizontal="left"/>
    </xf>
    <xf numFmtId="2" fontId="0" fillId="4" borderId="2" xfId="0" applyNumberFormat="1" applyFill="1" applyBorder="1" applyAlignment="1" applyProtection="1">
      <alignment horizontal="center"/>
    </xf>
    <xf numFmtId="2" fontId="0" fillId="3" borderId="5" xfId="0" applyNumberFormat="1" applyFill="1" applyBorder="1" applyAlignment="1" applyProtection="1">
      <alignment horizontal="center"/>
      <protection locked="0"/>
    </xf>
    <xf numFmtId="2" fontId="0" fillId="4" borderId="5" xfId="0" applyNumberFormat="1" applyFill="1" applyBorder="1" applyAlignment="1" applyProtection="1">
      <alignment horizontal="center"/>
    </xf>
    <xf numFmtId="0" fontId="0" fillId="3" borderId="2" xfId="0" applyNumberFormat="1" applyFill="1" applyBorder="1" applyAlignment="1" applyProtection="1">
      <alignment horizontal="center"/>
      <protection locked="0"/>
    </xf>
    <xf numFmtId="0" fontId="6" fillId="0" borderId="0" xfId="0" applyFont="1" applyAlignment="1">
      <alignment horizontal="left"/>
    </xf>
    <xf numFmtId="165" fontId="0" fillId="3" borderId="2" xfId="0" applyNumberFormat="1" applyFill="1" applyBorder="1" applyAlignment="1" applyProtection="1">
      <alignment horizontal="center"/>
      <protection locked="0"/>
    </xf>
    <xf numFmtId="0" fontId="0" fillId="0" borderId="0" xfId="0" applyProtection="1">
      <protection locked="0"/>
    </xf>
    <xf numFmtId="0" fontId="0" fillId="0" borderId="0" xfId="0" applyBorder="1"/>
    <xf numFmtId="0" fontId="5" fillId="0" borderId="6" xfId="0" applyFont="1" applyBorder="1"/>
    <xf numFmtId="0" fontId="0" fillId="0" borderId="6" xfId="0" applyBorder="1"/>
    <xf numFmtId="0" fontId="5" fillId="0" borderId="0" xfId="0" applyFont="1" applyBorder="1"/>
    <xf numFmtId="0" fontId="0" fillId="0" borderId="7" xfId="0" applyBorder="1"/>
    <xf numFmtId="0" fontId="0" fillId="0" borderId="9" xfId="0" applyBorder="1"/>
    <xf numFmtId="0" fontId="0" fillId="0" borderId="10" xfId="0" applyBorder="1"/>
    <xf numFmtId="0" fontId="5" fillId="0" borderId="11" xfId="0" applyFont="1" applyBorder="1"/>
    <xf numFmtId="0" fontId="0" fillId="0" borderId="12" xfId="0" applyBorder="1"/>
    <xf numFmtId="0" fontId="0" fillId="0" borderId="11" xfId="0" applyBorder="1"/>
    <xf numFmtId="0" fontId="0" fillId="0" borderId="13" xfId="0" applyBorder="1"/>
    <xf numFmtId="0" fontId="5" fillId="0" borderId="6" xfId="0" applyFont="1" applyFill="1" applyBorder="1"/>
    <xf numFmtId="0" fontId="5" fillId="0" borderId="14" xfId="0" applyFont="1" applyBorder="1"/>
    <xf numFmtId="0" fontId="5" fillId="3" borderId="2" xfId="0" applyFont="1" applyFill="1" applyBorder="1" applyAlignment="1" applyProtection="1">
      <alignment horizontal="center"/>
      <protection locked="0"/>
    </xf>
    <xf numFmtId="170" fontId="5" fillId="0" borderId="0" xfId="0" applyNumberFormat="1" applyFont="1" applyAlignment="1" applyProtection="1">
      <alignment horizontal="center"/>
    </xf>
    <xf numFmtId="0" fontId="3" fillId="3" borderId="15" xfId="0" applyFont="1" applyFill="1" applyBorder="1" applyAlignment="1" applyProtection="1">
      <alignment horizontal="center" vertical="center"/>
      <protection locked="0"/>
    </xf>
    <xf numFmtId="0" fontId="8" fillId="0" borderId="0" xfId="0" applyFont="1" applyProtection="1"/>
    <xf numFmtId="0" fontId="0" fillId="0" borderId="0" xfId="0" applyProtection="1"/>
    <xf numFmtId="0" fontId="4" fillId="0" borderId="0" xfId="0" applyFont="1" applyProtection="1"/>
    <xf numFmtId="0" fontId="3" fillId="0" borderId="0" xfId="0" applyFont="1" applyProtection="1"/>
    <xf numFmtId="0" fontId="12" fillId="0" borderId="0" xfId="0" applyFont="1" applyProtection="1"/>
    <xf numFmtId="0" fontId="5" fillId="0" borderId="0" xfId="0" applyFont="1" applyAlignment="1" applyProtection="1">
      <alignment horizontal="center"/>
    </xf>
    <xf numFmtId="0" fontId="0" fillId="5" borderId="4" xfId="0" applyFill="1" applyBorder="1" applyProtection="1"/>
    <xf numFmtId="0" fontId="0" fillId="5" borderId="3" xfId="0" applyFill="1" applyBorder="1" applyProtection="1"/>
    <xf numFmtId="0" fontId="5" fillId="42" borderId="15" xfId="0" applyNumberFormat="1" applyFont="1" applyFill="1" applyBorder="1" applyAlignment="1" applyProtection="1">
      <alignment horizontal="center" vertical="center"/>
    </xf>
    <xf numFmtId="0" fontId="5" fillId="0" borderId="0" xfId="0" applyFont="1" applyAlignment="1" applyProtection="1">
      <alignment vertical="center"/>
    </xf>
    <xf numFmtId="0" fontId="0" fillId="0" borderId="0" xfId="0" applyAlignment="1" applyProtection="1">
      <alignment vertical="center"/>
    </xf>
    <xf numFmtId="2" fontId="5" fillId="42" borderId="15" xfId="0" applyNumberFormat="1" applyFont="1" applyFill="1" applyBorder="1" applyAlignment="1" applyProtection="1">
      <alignment horizontal="center" vertical="center"/>
    </xf>
    <xf numFmtId="2" fontId="0" fillId="0" borderId="0" xfId="0" applyNumberFormat="1" applyAlignment="1" applyProtection="1">
      <alignment horizontal="center" vertical="center"/>
    </xf>
    <xf numFmtId="0" fontId="5" fillId="0" borderId="0" xfId="0" applyFont="1" applyFill="1" applyBorder="1" applyAlignment="1" applyProtection="1">
      <alignment vertical="center"/>
    </xf>
    <xf numFmtId="0" fontId="5" fillId="0" borderId="0" xfId="0" applyFont="1" applyProtection="1"/>
    <xf numFmtId="0" fontId="0" fillId="0" borderId="0" xfId="0" applyAlignment="1" applyProtection="1">
      <alignment horizontal="center"/>
    </xf>
    <xf numFmtId="0" fontId="5" fillId="0" borderId="0" xfId="0" applyFont="1" applyFill="1" applyBorder="1" applyProtection="1"/>
    <xf numFmtId="0" fontId="5" fillId="0" borderId="0" xfId="0" applyFont="1" applyFill="1" applyBorder="1" applyAlignment="1" applyProtection="1">
      <alignment horizontal="center"/>
    </xf>
    <xf numFmtId="165" fontId="0" fillId="0" borderId="2" xfId="0" applyNumberFormat="1" applyBorder="1" applyAlignment="1" applyProtection="1">
      <alignment horizontal="center"/>
    </xf>
    <xf numFmtId="0" fontId="5" fillId="3" borderId="2" xfId="0" applyNumberFormat="1" applyFont="1" applyFill="1" applyBorder="1" applyAlignment="1" applyProtection="1">
      <alignment horizontal="center"/>
      <protection locked="0"/>
    </xf>
    <xf numFmtId="165" fontId="0" fillId="0" borderId="0" xfId="0" applyNumberFormat="1" applyAlignment="1">
      <alignment horizontal="center"/>
    </xf>
    <xf numFmtId="0" fontId="0" fillId="0" borderId="0" xfId="0" applyAlignment="1">
      <alignment wrapText="1"/>
    </xf>
    <xf numFmtId="0" fontId="3" fillId="0" borderId="2" xfId="0" applyFont="1" applyBorder="1" applyAlignment="1">
      <alignment horizontal="center" vertical="center" wrapText="1"/>
    </xf>
    <xf numFmtId="0" fontId="5" fillId="0" borderId="0" xfId="0" applyFont="1" applyAlignment="1">
      <alignment horizontal="center" wrapText="1"/>
    </xf>
    <xf numFmtId="0" fontId="0" fillId="0" borderId="5" xfId="0" applyBorder="1" applyAlignment="1">
      <alignment horizontal="center"/>
    </xf>
    <xf numFmtId="165" fontId="0" fillId="0" borderId="5" xfId="0" applyNumberFormat="1" applyBorder="1" applyAlignment="1">
      <alignment horizontal="center"/>
    </xf>
    <xf numFmtId="2" fontId="0" fillId="0" borderId="5" xfId="0" applyNumberFormat="1" applyBorder="1" applyAlignment="1">
      <alignment horizontal="center"/>
    </xf>
    <xf numFmtId="0" fontId="0" fillId="0" borderId="14" xfId="0" applyBorder="1" applyAlignment="1">
      <alignment horizontal="center"/>
    </xf>
    <xf numFmtId="165" fontId="0" fillId="0" borderId="14" xfId="0" applyNumberFormat="1" applyBorder="1" applyAlignment="1">
      <alignment horizontal="center"/>
    </xf>
    <xf numFmtId="2" fontId="0" fillId="0" borderId="14" xfId="0" applyNumberFormat="1" applyBorder="1" applyAlignment="1">
      <alignment horizontal="center"/>
    </xf>
    <xf numFmtId="0" fontId="0" fillId="0" borderId="8" xfId="0" applyBorder="1" applyAlignment="1">
      <alignment horizontal="center"/>
    </xf>
    <xf numFmtId="165" fontId="0" fillId="0" borderId="8" xfId="0" applyNumberFormat="1" applyBorder="1" applyAlignment="1">
      <alignment horizontal="center"/>
    </xf>
    <xf numFmtId="2" fontId="0" fillId="0" borderId="8" xfId="0" applyNumberFormat="1" applyBorder="1" applyAlignment="1">
      <alignment horizontal="center"/>
    </xf>
    <xf numFmtId="165" fontId="1" fillId="3" borderId="2" xfId="0" applyNumberFormat="1" applyFont="1" applyFill="1" applyBorder="1" applyAlignment="1" applyProtection="1">
      <alignment horizontal="center"/>
      <protection locked="0"/>
    </xf>
    <xf numFmtId="0" fontId="102" fillId="0" borderId="0" xfId="0" applyFont="1"/>
    <xf numFmtId="49" fontId="103" fillId="0" borderId="0" xfId="0" applyNumberFormat="1" applyFont="1"/>
    <xf numFmtId="0" fontId="104" fillId="0" borderId="0" xfId="0" applyNumberFormat="1" applyFont="1"/>
    <xf numFmtId="0" fontId="104" fillId="0" borderId="11" xfId="0" applyNumberFormat="1" applyFont="1" applyBorder="1" applyAlignment="1">
      <alignment horizontal="center"/>
    </xf>
    <xf numFmtId="0" fontId="104" fillId="0" borderId="11" xfId="0" applyNumberFormat="1" applyFont="1" applyBorder="1"/>
    <xf numFmtId="0" fontId="104" fillId="0" borderId="0" xfId="0" applyNumberFormat="1" applyFont="1" applyAlignment="1">
      <alignment horizontal="right"/>
    </xf>
    <xf numFmtId="0" fontId="105" fillId="0" borderId="0" xfId="0" applyNumberFormat="1" applyFont="1" applyAlignment="1">
      <alignment horizontal="right"/>
    </xf>
    <xf numFmtId="0" fontId="104" fillId="0" borderId="0" xfId="0" applyFont="1"/>
    <xf numFmtId="0" fontId="0" fillId="0" borderId="0" xfId="0" applyNumberFormat="1"/>
    <xf numFmtId="0" fontId="106" fillId="0" borderId="0" xfId="0" applyNumberFormat="1" applyFont="1"/>
    <xf numFmtId="0" fontId="105" fillId="0" borderId="0" xfId="0" applyNumberFormat="1" applyFont="1"/>
    <xf numFmtId="49" fontId="105" fillId="0" borderId="0" xfId="0" applyNumberFormat="1" applyFont="1"/>
    <xf numFmtId="0" fontId="105" fillId="0" borderId="10" xfId="0" applyNumberFormat="1" applyFont="1" applyBorder="1"/>
    <xf numFmtId="0" fontId="105" fillId="0" borderId="0" xfId="0" applyNumberFormat="1" applyFont="1" applyBorder="1"/>
    <xf numFmtId="0" fontId="99" fillId="0" borderId="0" xfId="0" applyFont="1"/>
    <xf numFmtId="0" fontId="107" fillId="0" borderId="0" xfId="0" applyFont="1" applyAlignment="1">
      <alignment horizontal="center"/>
    </xf>
    <xf numFmtId="0" fontId="107" fillId="0" borderId="0" xfId="0" applyFont="1" applyAlignment="1">
      <alignment horizontal="center" vertical="center"/>
    </xf>
    <xf numFmtId="0" fontId="108" fillId="0" borderId="0" xfId="0" applyFont="1" applyAlignment="1">
      <alignment horizontal="center"/>
    </xf>
    <xf numFmtId="0" fontId="107" fillId="0" borderId="0" xfId="0" applyFont="1" applyAlignment="1">
      <alignment horizontal="center" vertical="top"/>
    </xf>
    <xf numFmtId="0" fontId="109" fillId="0" borderId="0" xfId="0" applyFont="1"/>
    <xf numFmtId="0" fontId="105" fillId="0" borderId="0" xfId="0" applyFont="1"/>
    <xf numFmtId="0" fontId="106" fillId="0" borderId="0" xfId="0" applyFont="1"/>
    <xf numFmtId="0" fontId="0" fillId="0" borderId="0" xfId="0" applyAlignment="1">
      <alignment vertical="top"/>
    </xf>
    <xf numFmtId="0" fontId="106" fillId="0" borderId="0" xfId="0" applyFont="1" applyAlignment="1">
      <alignment vertical="center"/>
    </xf>
    <xf numFmtId="0" fontId="105" fillId="0" borderId="0" xfId="0" applyFont="1" applyAlignment="1">
      <alignment vertical="top"/>
    </xf>
    <xf numFmtId="0" fontId="110" fillId="0" borderId="0" xfId="0" applyNumberFormat="1" applyFont="1"/>
    <xf numFmtId="0" fontId="0" fillId="0" borderId="0" xfId="0" applyFont="1"/>
    <xf numFmtId="0" fontId="105" fillId="0" borderId="0" xfId="0" applyNumberFormat="1" applyFont="1" applyAlignment="1">
      <alignment horizontal="center"/>
    </xf>
    <xf numFmtId="0" fontId="0" fillId="0" borderId="11" xfId="0" applyNumberFormat="1" applyBorder="1"/>
    <xf numFmtId="0" fontId="104" fillId="0" borderId="0" xfId="0" applyNumberFormat="1" applyFont="1" applyAlignment="1">
      <alignment vertical="center"/>
    </xf>
    <xf numFmtId="0" fontId="111" fillId="0" borderId="0" xfId="0" applyFont="1" applyBorder="1"/>
    <xf numFmtId="0" fontId="112" fillId="0" borderId="0" xfId="0" applyFont="1" applyBorder="1"/>
    <xf numFmtId="49" fontId="113" fillId="0" borderId="0" xfId="0" applyNumberFormat="1" applyFont="1" applyBorder="1"/>
    <xf numFmtId="0" fontId="113" fillId="0" borderId="0" xfId="0" applyFont="1" applyBorder="1"/>
    <xf numFmtId="0" fontId="113" fillId="0" borderId="0" xfId="0" applyFont="1" applyBorder="1" applyAlignment="1">
      <alignment horizontal="right"/>
    </xf>
    <xf numFmtId="0" fontId="29" fillId="0" borderId="0" xfId="0" applyFont="1"/>
    <xf numFmtId="0" fontId="105" fillId="0" borderId="0" xfId="0" applyFont="1" applyAlignment="1">
      <alignment horizontal="left" vertical="center" wrapText="1"/>
    </xf>
    <xf numFmtId="0" fontId="105" fillId="0" borderId="0" xfId="0" applyFont="1" applyAlignment="1">
      <alignment horizontal="left" vertical="top" wrapText="1"/>
    </xf>
    <xf numFmtId="0" fontId="105" fillId="0" borderId="0" xfId="0" applyFont="1" applyAlignment="1">
      <alignment horizontal="left" vertical="top" wrapText="1"/>
    </xf>
    <xf numFmtId="0" fontId="105" fillId="0" borderId="0" xfId="0" applyFont="1" applyAlignment="1">
      <alignment horizontal="left" vertical="center" wrapText="1"/>
    </xf>
    <xf numFmtId="0" fontId="114" fillId="0" borderId="1" xfId="0" applyFont="1" applyBorder="1"/>
    <xf numFmtId="49" fontId="103" fillId="0" borderId="4" xfId="0" applyNumberFormat="1" applyFont="1" applyBorder="1"/>
    <xf numFmtId="0" fontId="0" fillId="0" borderId="4" xfId="0" applyBorder="1"/>
    <xf numFmtId="0" fontId="0" fillId="0" borderId="3" xfId="0" applyBorder="1"/>
    <xf numFmtId="0" fontId="5" fillId="0" borderId="16" xfId="0" applyFont="1" applyBorder="1"/>
    <xf numFmtId="0" fontId="0" fillId="0" borderId="0" xfId="0" applyNumberFormat="1" applyAlignment="1">
      <alignment horizontal="left"/>
    </xf>
    <xf numFmtId="0" fontId="0" fillId="0" borderId="5" xfId="0" applyNumberFormat="1" applyBorder="1"/>
    <xf numFmtId="0" fontId="0" fillId="0" borderId="14" xfId="0" applyNumberFormat="1" applyBorder="1"/>
    <xf numFmtId="0" fontId="0" fillId="0" borderId="0" xfId="0" applyNumberFormat="1" applyBorder="1"/>
    <xf numFmtId="0" fontId="0" fillId="0" borderId="12" xfId="0" applyNumberFormat="1" applyBorder="1"/>
    <xf numFmtId="0" fontId="0" fillId="0" borderId="8" xfId="0" applyNumberFormat="1" applyBorder="1"/>
    <xf numFmtId="0" fontId="0" fillId="0" borderId="10" xfId="0" applyNumberFormat="1" applyBorder="1"/>
    <xf numFmtId="0" fontId="0" fillId="0" borderId="7" xfId="0" applyNumberFormat="1" applyBorder="1"/>
    <xf numFmtId="0" fontId="5" fillId="0" borderId="5" xfId="0" applyNumberFormat="1" applyFont="1" applyBorder="1"/>
    <xf numFmtId="0" fontId="5" fillId="0" borderId="0" xfId="0" applyNumberFormat="1" applyFont="1"/>
    <xf numFmtId="0" fontId="5" fillId="0" borderId="11" xfId="0" applyNumberFormat="1" applyFont="1" applyBorder="1"/>
    <xf numFmtId="0" fontId="5" fillId="0" borderId="0" xfId="0" applyNumberFormat="1" applyFont="1" applyBorder="1"/>
    <xf numFmtId="0" fontId="5" fillId="43" borderId="2" xfId="0" applyNumberFormat="1" applyFont="1" applyFill="1" applyBorder="1"/>
    <xf numFmtId="0" fontId="3" fillId="0" borderId="0" xfId="0" applyNumberFormat="1" applyFont="1"/>
    <xf numFmtId="0" fontId="5" fillId="0" borderId="0" xfId="0" applyNumberFormat="1" applyFont="1" applyFill="1" applyBorder="1"/>
    <xf numFmtId="0" fontId="33" fillId="0" borderId="0" xfId="0" applyFont="1" applyAlignment="1">
      <alignment vertical="center"/>
    </xf>
    <xf numFmtId="0" fontId="115" fillId="0" borderId="0" xfId="0" applyFont="1" applyAlignment="1">
      <alignment vertical="center"/>
    </xf>
    <xf numFmtId="0" fontId="116" fillId="0" borderId="0" xfId="0" applyFont="1" applyAlignment="1">
      <alignment horizontal="justify" vertical="center"/>
    </xf>
    <xf numFmtId="0" fontId="33" fillId="0" borderId="0" xfId="0" applyNumberFormat="1" applyFont="1" applyAlignment="1">
      <alignment vertical="center"/>
    </xf>
    <xf numFmtId="0" fontId="32" fillId="0" borderId="0" xfId="0" applyFont="1" applyAlignment="1">
      <alignment horizontal="left" vertical="top" wrapText="1"/>
    </xf>
    <xf numFmtId="0" fontId="105" fillId="0" borderId="0" xfId="0" applyFont="1" applyAlignment="1">
      <alignment vertical="center" wrapText="1"/>
    </xf>
    <xf numFmtId="0" fontId="117" fillId="0" borderId="0" xfId="0" applyFont="1" applyBorder="1"/>
    <xf numFmtId="49" fontId="111" fillId="0" borderId="0" xfId="0" applyNumberFormat="1" applyFont="1" applyBorder="1"/>
    <xf numFmtId="0" fontId="111" fillId="0" borderId="0" xfId="0" applyFont="1" applyBorder="1" applyAlignment="1">
      <alignment horizontal="right"/>
    </xf>
    <xf numFmtId="0" fontId="32" fillId="0" borderId="0" xfId="0" applyFont="1"/>
    <xf numFmtId="0" fontId="32" fillId="0" borderId="0" xfId="0" applyFont="1" applyAlignment="1">
      <alignment vertical="top"/>
    </xf>
    <xf numFmtId="0" fontId="32" fillId="0" borderId="0" xfId="0" applyFont="1" applyAlignment="1">
      <alignment horizontal="right"/>
    </xf>
    <xf numFmtId="0" fontId="23" fillId="0" borderId="0" xfId="0" applyNumberFormat="1" applyFont="1" applyAlignment="1">
      <alignment horizontal="center"/>
    </xf>
    <xf numFmtId="0" fontId="104" fillId="0" borderId="0" xfId="0" applyNumberFormat="1" applyFont="1" applyAlignment="1">
      <alignment vertical="top"/>
    </xf>
    <xf numFmtId="0" fontId="104" fillId="0" borderId="0" xfId="0" applyNumberFormat="1" applyFont="1" applyAlignment="1"/>
    <xf numFmtId="0" fontId="110" fillId="0" borderId="0" xfId="0" applyNumberFormat="1" applyFont="1" applyAlignment="1">
      <alignment horizontal="left"/>
    </xf>
    <xf numFmtId="0" fontId="104" fillId="0" borderId="0" xfId="0" applyNumberFormat="1" applyFont="1" applyAlignment="1">
      <alignment horizontal="left"/>
    </xf>
    <xf numFmtId="49" fontId="104" fillId="0" borderId="0" xfId="0" applyNumberFormat="1" applyFont="1" applyAlignment="1">
      <alignment horizontal="left"/>
    </xf>
    <xf numFmtId="0" fontId="0" fillId="0" borderId="0" xfId="0" applyFont="1" applyAlignment="1">
      <alignment horizontal="left"/>
    </xf>
    <xf numFmtId="0" fontId="5" fillId="0" borderId="13" xfId="0" applyNumberFormat="1" applyFont="1" applyBorder="1"/>
    <xf numFmtId="0" fontId="3" fillId="0" borderId="0" xfId="0" applyFont="1" applyBorder="1"/>
    <xf numFmtId="0" fontId="5" fillId="0" borderId="10" xfId="0" applyFont="1" applyBorder="1"/>
    <xf numFmtId="0" fontId="0" fillId="0" borderId="0" xfId="0" applyNumberFormat="1" applyFont="1" applyFill="1" applyBorder="1"/>
    <xf numFmtId="0" fontId="5" fillId="0" borderId="14" xfId="0" applyNumberFormat="1" applyFont="1" applyBorder="1"/>
    <xf numFmtId="0" fontId="5" fillId="0" borderId="10" xfId="0" applyNumberFormat="1" applyFont="1" applyFill="1" applyBorder="1"/>
    <xf numFmtId="0" fontId="0" fillId="0" borderId="0" xfId="0" applyAlignment="1">
      <alignment horizontal="left" vertical="top"/>
    </xf>
    <xf numFmtId="0" fontId="118" fillId="0" borderId="0" xfId="0" applyFont="1" applyAlignment="1">
      <alignment horizontal="left" vertical="center" wrapText="1"/>
    </xf>
    <xf numFmtId="49" fontId="105" fillId="0" borderId="0" xfId="0" applyNumberFormat="1" applyFont="1" applyAlignment="1">
      <alignment horizontal="left" vertical="top"/>
    </xf>
    <xf numFmtId="0" fontId="104" fillId="0" borderId="0" xfId="0" applyNumberFormat="1" applyFont="1" applyBorder="1"/>
    <xf numFmtId="0" fontId="23" fillId="0" borderId="0" xfId="0" applyFont="1" applyAlignment="1">
      <alignment horizontal="left" vertical="top" wrapText="1"/>
    </xf>
    <xf numFmtId="0" fontId="105" fillId="0" borderId="0" xfId="0" applyFont="1" applyAlignment="1">
      <alignment horizontal="left" vertical="center" wrapText="1"/>
    </xf>
    <xf numFmtId="0" fontId="105" fillId="0" borderId="0" xfId="0" applyFont="1" applyAlignment="1">
      <alignment horizontal="left" vertical="top" wrapText="1"/>
    </xf>
    <xf numFmtId="0" fontId="0" fillId="0" borderId="7" xfId="0" applyBorder="1" applyAlignment="1">
      <alignment horizontal="right"/>
    </xf>
    <xf numFmtId="0" fontId="100" fillId="0" borderId="0" xfId="0" applyFont="1" applyBorder="1"/>
    <xf numFmtId="0" fontId="105" fillId="0" borderId="0" xfId="0" applyFont="1" applyAlignment="1">
      <alignment horizontal="left" vertical="top" wrapText="1"/>
    </xf>
    <xf numFmtId="0" fontId="0" fillId="0" borderId="0" xfId="0" applyAlignment="1">
      <alignment horizontal="center" vertical="center"/>
    </xf>
    <xf numFmtId="0" fontId="0" fillId="0" borderId="0" xfId="0" applyNumberFormat="1" applyAlignment="1">
      <alignment horizontal="center" vertical="center"/>
    </xf>
    <xf numFmtId="0" fontId="104" fillId="0" borderId="0" xfId="0" applyNumberFormat="1" applyFont="1" applyAlignment="1">
      <alignment horizontal="left" vertical="top"/>
    </xf>
    <xf numFmtId="0" fontId="3" fillId="0" borderId="0" xfId="0" applyFont="1" applyAlignment="1" applyProtection="1">
      <alignment horizontal="left"/>
    </xf>
    <xf numFmtId="0" fontId="0" fillId="0" borderId="0" xfId="0" applyAlignment="1" applyProtection="1">
      <alignment horizontal="left"/>
    </xf>
    <xf numFmtId="2" fontId="0" fillId="7" borderId="2" xfId="0" applyNumberFormat="1" applyFill="1" applyBorder="1" applyAlignment="1" applyProtection="1">
      <alignment horizontal="center"/>
    </xf>
    <xf numFmtId="0" fontId="0" fillId="7" borderId="2" xfId="0" applyFill="1" applyBorder="1" applyAlignment="1" applyProtection="1">
      <alignment horizontal="center"/>
    </xf>
    <xf numFmtId="168" fontId="0" fillId="7" borderId="2" xfId="0" applyNumberFormat="1" applyFill="1" applyBorder="1" applyAlignment="1" applyProtection="1">
      <alignment horizontal="center"/>
    </xf>
    <xf numFmtId="0" fontId="3" fillId="7" borderId="1" xfId="0" applyFont="1" applyFill="1" applyBorder="1" applyAlignment="1" applyProtection="1">
      <alignment horizontal="center"/>
    </xf>
    <xf numFmtId="168" fontId="3" fillId="7" borderId="3" xfId="0" applyNumberFormat="1" applyFont="1" applyFill="1" applyBorder="1" applyAlignment="1" applyProtection="1">
      <alignment horizontal="center"/>
    </xf>
    <xf numFmtId="168" fontId="3" fillId="7" borderId="4" xfId="0" applyNumberFormat="1" applyFont="1" applyFill="1" applyBorder="1" applyAlignment="1" applyProtection="1">
      <alignment horizontal="center"/>
    </xf>
    <xf numFmtId="0" fontId="0" fillId="7" borderId="4" xfId="0" applyFill="1" applyBorder="1" applyAlignment="1" applyProtection="1">
      <alignment horizontal="left"/>
    </xf>
    <xf numFmtId="0" fontId="5" fillId="7" borderId="1" xfId="0" applyNumberFormat="1" applyFont="1" applyFill="1" applyBorder="1" applyAlignment="1" applyProtection="1">
      <alignment horizontal="center"/>
    </xf>
    <xf numFmtId="0" fontId="32" fillId="0" borderId="0" xfId="0" applyNumberFormat="1" applyFont="1"/>
    <xf numFmtId="0" fontId="33" fillId="0" borderId="0" xfId="0" applyNumberFormat="1" applyFont="1"/>
    <xf numFmtId="0" fontId="33" fillId="0" borderId="0" xfId="0" applyFont="1"/>
    <xf numFmtId="0" fontId="32" fillId="0" borderId="0" xfId="0" applyNumberFormat="1" applyFont="1" applyAlignment="1">
      <alignment vertical="top"/>
    </xf>
    <xf numFmtId="0" fontId="29" fillId="0" borderId="0" xfId="0" applyNumberFormat="1" applyFont="1"/>
    <xf numFmtId="0" fontId="29" fillId="0" borderId="0" xfId="0" applyNumberFormat="1" applyFont="1" applyAlignment="1">
      <alignment horizontal="left" vertical="top"/>
    </xf>
    <xf numFmtId="0" fontId="32" fillId="0" borderId="0" xfId="0" applyNumberFormat="1" applyFont="1" applyAlignment="1">
      <alignment horizontal="right"/>
    </xf>
    <xf numFmtId="0" fontId="105" fillId="0" borderId="0" xfId="0" applyFont="1" applyAlignment="1">
      <alignment horizontal="left" vertical="top" wrapText="1"/>
    </xf>
    <xf numFmtId="0" fontId="105" fillId="0" borderId="0" xfId="0" applyFont="1" applyAlignment="1">
      <alignment vertical="top" wrapText="1"/>
    </xf>
    <xf numFmtId="0" fontId="105" fillId="0" borderId="0" xfId="0" applyNumberFormat="1" applyFont="1" applyAlignment="1">
      <alignment horizontal="left"/>
    </xf>
    <xf numFmtId="0" fontId="6" fillId="0" borderId="0" xfId="0" applyNumberFormat="1" applyFont="1" applyAlignment="1">
      <alignment horizontal="left"/>
    </xf>
    <xf numFmtId="0" fontId="0" fillId="0" borderId="6" xfId="0" applyFont="1" applyFill="1" applyBorder="1"/>
    <xf numFmtId="0" fontId="5" fillId="0" borderId="0" xfId="0" applyFont="1" applyFill="1" applyBorder="1"/>
    <xf numFmtId="0" fontId="0" fillId="0" borderId="0" xfId="0" applyNumberFormat="1" applyAlignment="1">
      <alignment vertical="top"/>
    </xf>
    <xf numFmtId="49" fontId="5" fillId="42" borderId="15" xfId="0" applyNumberFormat="1" applyFont="1" applyFill="1" applyBorder="1" applyAlignment="1" applyProtection="1">
      <alignment horizontal="center" vertical="center"/>
    </xf>
    <xf numFmtId="49" fontId="0" fillId="5" borderId="1" xfId="0" applyNumberFormat="1" applyFill="1" applyBorder="1" applyProtection="1"/>
    <xf numFmtId="49" fontId="0" fillId="5" borderId="2" xfId="0" applyNumberFormat="1" applyFill="1" applyBorder="1" applyProtection="1"/>
    <xf numFmtId="2" fontId="0" fillId="3" borderId="8" xfId="0" applyNumberFormat="1" applyFill="1" applyBorder="1" applyAlignment="1" applyProtection="1">
      <alignment horizontal="center"/>
      <protection locked="0"/>
    </xf>
    <xf numFmtId="2" fontId="3" fillId="3" borderId="2" xfId="0" applyNumberFormat="1" applyFont="1" applyFill="1" applyBorder="1" applyAlignment="1" applyProtection="1">
      <alignment horizontal="center"/>
      <protection locked="0"/>
    </xf>
    <xf numFmtId="0" fontId="5" fillId="0" borderId="0" xfId="0" applyFont="1" applyBorder="1" applyAlignment="1">
      <alignment horizontal="right"/>
    </xf>
    <xf numFmtId="0" fontId="105" fillId="0" borderId="0" xfId="0" applyFont="1" applyAlignment="1">
      <alignment horizontal="left" vertical="center" wrapText="1"/>
    </xf>
    <xf numFmtId="0" fontId="0" fillId="43" borderId="2" xfId="0" applyNumberFormat="1" applyFill="1" applyBorder="1" applyAlignment="1">
      <alignment horizontal="left"/>
    </xf>
    <xf numFmtId="0" fontId="5" fillId="43" borderId="2" xfId="0" applyNumberFormat="1" applyFont="1" applyFill="1" applyBorder="1" applyAlignment="1">
      <alignment horizontal="left"/>
    </xf>
    <xf numFmtId="49" fontId="105" fillId="0" borderId="0" xfId="0" applyNumberFormat="1" applyFont="1" applyAlignment="1">
      <alignment horizontal="right"/>
    </xf>
    <xf numFmtId="0" fontId="23" fillId="0" borderId="0" xfId="0" applyNumberFormat="1" applyFont="1"/>
    <xf numFmtId="0" fontId="5" fillId="7" borderId="2" xfId="37" applyFill="1" applyBorder="1" applyAlignment="1" applyProtection="1">
      <alignment horizontal="center"/>
    </xf>
    <xf numFmtId="0" fontId="3" fillId="7" borderId="2" xfId="37" applyFont="1" applyFill="1" applyBorder="1" applyAlignment="1" applyProtection="1">
      <alignment horizontal="center"/>
    </xf>
    <xf numFmtId="0" fontId="6" fillId="0" borderId="0" xfId="37" applyFont="1" applyProtection="1"/>
    <xf numFmtId="0" fontId="5" fillId="0" borderId="0" xfId="37" applyProtection="1"/>
    <xf numFmtId="0" fontId="5" fillId="0" borderId="0" xfId="37" applyFont="1" applyProtection="1"/>
    <xf numFmtId="0" fontId="5" fillId="0" borderId="0" xfId="37" applyAlignment="1" applyProtection="1">
      <alignment horizontal="center"/>
    </xf>
    <xf numFmtId="0" fontId="3" fillId="0" borderId="0" xfId="37" applyFont="1" applyProtection="1"/>
    <xf numFmtId="0" fontId="3" fillId="0" borderId="0" xfId="37" applyFont="1" applyAlignment="1" applyProtection="1"/>
    <xf numFmtId="0" fontId="5" fillId="0" borderId="0" xfId="37" applyFont="1" applyAlignment="1" applyProtection="1">
      <alignment horizontal="center"/>
    </xf>
    <xf numFmtId="0" fontId="5" fillId="7" borderId="5" xfId="37" applyFill="1" applyBorder="1" applyAlignment="1" applyProtection="1">
      <alignment horizontal="center"/>
    </xf>
    <xf numFmtId="0" fontId="5" fillId="7" borderId="14" xfId="37" applyFill="1" applyBorder="1" applyAlignment="1" applyProtection="1">
      <alignment horizontal="center"/>
    </xf>
    <xf numFmtId="0" fontId="5" fillId="7" borderId="8" xfId="37" applyFill="1" applyBorder="1" applyAlignment="1" applyProtection="1">
      <alignment horizontal="center"/>
    </xf>
    <xf numFmtId="0" fontId="5" fillId="7" borderId="2" xfId="37" applyFont="1" applyFill="1" applyBorder="1" applyAlignment="1" applyProtection="1">
      <alignment horizontal="center"/>
    </xf>
    <xf numFmtId="0" fontId="5" fillId="7" borderId="5" xfId="37" applyFont="1" applyFill="1" applyBorder="1" applyAlignment="1" applyProtection="1">
      <alignment horizontal="center"/>
    </xf>
    <xf numFmtId="0" fontId="3" fillId="7" borderId="5" xfId="37" applyFont="1" applyFill="1" applyBorder="1" applyAlignment="1" applyProtection="1">
      <alignment horizontal="center"/>
    </xf>
    <xf numFmtId="171" fontId="5" fillId="44" borderId="8" xfId="37" applyNumberFormat="1" applyFont="1" applyFill="1" applyBorder="1" applyAlignment="1" applyProtection="1">
      <alignment horizontal="center"/>
      <protection locked="0"/>
    </xf>
    <xf numFmtId="0" fontId="5" fillId="44" borderId="2" xfId="37" applyFill="1" applyBorder="1" applyAlignment="1" applyProtection="1">
      <alignment horizontal="center"/>
      <protection locked="0"/>
    </xf>
    <xf numFmtId="0" fontId="6" fillId="0" borderId="0" xfId="37" applyFont="1" applyAlignment="1" applyProtection="1">
      <alignment horizontal="center"/>
    </xf>
    <xf numFmtId="0" fontId="5" fillId="45" borderId="5" xfId="37" applyFont="1" applyFill="1" applyBorder="1" applyAlignment="1" applyProtection="1">
      <alignment horizontal="center" vertical="center"/>
    </xf>
    <xf numFmtId="0" fontId="5" fillId="45" borderId="5" xfId="37" applyFill="1" applyBorder="1" applyAlignment="1" applyProtection="1">
      <alignment horizontal="center" vertical="center"/>
    </xf>
    <xf numFmtId="0" fontId="5" fillId="45" borderId="5" xfId="37" applyFont="1" applyFill="1" applyBorder="1" applyAlignment="1" applyProtection="1">
      <alignment horizontal="center"/>
    </xf>
    <xf numFmtId="0" fontId="5" fillId="45" borderId="13" xfId="37" applyFont="1" applyFill="1" applyBorder="1" applyProtection="1"/>
    <xf numFmtId="0" fontId="5" fillId="45" borderId="5" xfId="37" applyFill="1" applyBorder="1" applyAlignment="1" applyProtection="1">
      <alignment horizontal="center"/>
    </xf>
    <xf numFmtId="0" fontId="5" fillId="0" borderId="0" xfId="37" applyFont="1" applyFill="1" applyBorder="1" applyAlignment="1" applyProtection="1">
      <alignment horizontal="center" vertical="center"/>
    </xf>
    <xf numFmtId="0" fontId="5" fillId="45" borderId="14" xfId="37" applyFont="1" applyFill="1" applyBorder="1" applyAlignment="1" applyProtection="1">
      <alignment horizontal="center" vertical="center"/>
    </xf>
    <xf numFmtId="0" fontId="5" fillId="45" borderId="14" xfId="37" applyFill="1" applyBorder="1" applyAlignment="1" applyProtection="1">
      <alignment horizontal="center" vertical="center"/>
    </xf>
    <xf numFmtId="0" fontId="5" fillId="45" borderId="14" xfId="37" applyFill="1" applyBorder="1" applyAlignment="1" applyProtection="1">
      <alignment horizontal="center"/>
    </xf>
    <xf numFmtId="0" fontId="5" fillId="45" borderId="12" xfId="37" applyFill="1" applyBorder="1" applyProtection="1"/>
    <xf numFmtId="0" fontId="5" fillId="7" borderId="2" xfId="37" quotePrefix="1" applyFont="1" applyFill="1" applyBorder="1" applyAlignment="1" applyProtection="1">
      <alignment horizontal="center"/>
    </xf>
    <xf numFmtId="0" fontId="5" fillId="45" borderId="14" xfId="37" applyFont="1" applyFill="1" applyBorder="1" applyAlignment="1" applyProtection="1">
      <alignment horizontal="center"/>
    </xf>
    <xf numFmtId="0" fontId="5" fillId="45" borderId="8" xfId="37" applyFont="1" applyFill="1" applyBorder="1" applyAlignment="1" applyProtection="1">
      <alignment horizontal="center"/>
    </xf>
    <xf numFmtId="0" fontId="5" fillId="45" borderId="12" xfId="37" applyFont="1" applyFill="1" applyBorder="1" applyAlignment="1" applyProtection="1">
      <alignment horizontal="center"/>
    </xf>
    <xf numFmtId="0" fontId="5" fillId="0" borderId="0" xfId="37" applyFont="1" applyFill="1" applyBorder="1" applyAlignment="1" applyProtection="1">
      <alignment horizontal="center"/>
    </xf>
    <xf numFmtId="0" fontId="3" fillId="45" borderId="2" xfId="37" applyFont="1" applyFill="1" applyBorder="1" applyAlignment="1" applyProtection="1">
      <alignment horizontal="center"/>
    </xf>
    <xf numFmtId="0" fontId="5" fillId="45" borderId="2" xfId="37" applyFill="1" applyBorder="1" applyAlignment="1" applyProtection="1">
      <alignment horizontal="center"/>
    </xf>
    <xf numFmtId="0" fontId="5" fillId="0" borderId="0" xfId="37" applyFill="1" applyBorder="1" applyProtection="1"/>
    <xf numFmtId="0" fontId="5" fillId="0" borderId="0" xfId="37" applyFill="1" applyBorder="1" applyAlignment="1" applyProtection="1">
      <alignment horizontal="center"/>
    </xf>
    <xf numFmtId="0" fontId="5" fillId="7" borderId="2" xfId="37" applyFill="1" applyBorder="1" applyProtection="1"/>
    <xf numFmtId="0" fontId="11" fillId="0" borderId="0" xfId="37" applyFont="1" applyFill="1" applyBorder="1" applyAlignment="1" applyProtection="1"/>
    <xf numFmtId="0" fontId="11" fillId="0" borderId="0" xfId="37" applyFont="1" applyFill="1" applyBorder="1" applyAlignment="1" applyProtection="1">
      <alignment wrapText="1"/>
    </xf>
    <xf numFmtId="0" fontId="5" fillId="0" borderId="0" xfId="37" applyFont="1" applyFill="1" applyBorder="1" applyAlignment="1" applyProtection="1"/>
    <xf numFmtId="0" fontId="5" fillId="45" borderId="16" xfId="37" applyFill="1" applyBorder="1" applyProtection="1"/>
    <xf numFmtId="0" fontId="5" fillId="45" borderId="11" xfId="37" applyFill="1" applyBorder="1" applyProtection="1"/>
    <xf numFmtId="0" fontId="5" fillId="45" borderId="0" xfId="37" applyFill="1" applyBorder="1" applyProtection="1"/>
    <xf numFmtId="0" fontId="5" fillId="45" borderId="6" xfId="37" applyFill="1" applyBorder="1" applyProtection="1"/>
    <xf numFmtId="0" fontId="5" fillId="45" borderId="9" xfId="37" applyFill="1" applyBorder="1" applyProtection="1"/>
    <xf numFmtId="0" fontId="5" fillId="45" borderId="10" xfId="37" applyFill="1" applyBorder="1" applyProtection="1"/>
    <xf numFmtId="0" fontId="5" fillId="0" borderId="6" xfId="37" applyFont="1" applyFill="1" applyBorder="1" applyAlignment="1" applyProtection="1">
      <alignment horizontal="center"/>
    </xf>
    <xf numFmtId="0" fontId="5" fillId="0" borderId="6" xfId="37" applyFill="1" applyBorder="1" applyProtection="1"/>
    <xf numFmtId="165" fontId="3" fillId="0" borderId="6" xfId="37" applyNumberFormat="1" applyFont="1" applyFill="1" applyBorder="1" applyAlignment="1" applyProtection="1">
      <alignment horizontal="center"/>
    </xf>
    <xf numFmtId="0" fontId="5" fillId="45" borderId="2" xfId="37" applyFont="1" applyFill="1" applyBorder="1" applyAlignment="1" applyProtection="1">
      <alignment horizontal="left"/>
    </xf>
    <xf numFmtId="0" fontId="5" fillId="45" borderId="4" xfId="37" applyFill="1" applyBorder="1" applyProtection="1"/>
    <xf numFmtId="0" fontId="5" fillId="45" borderId="3" xfId="37" applyFill="1" applyBorder="1" applyProtection="1"/>
    <xf numFmtId="0" fontId="5" fillId="0" borderId="0" xfId="40" applyProtection="1"/>
    <xf numFmtId="0" fontId="3" fillId="0" borderId="0" xfId="40" applyFont="1" applyFill="1" applyBorder="1" applyProtection="1"/>
    <xf numFmtId="0" fontId="5" fillId="5" borderId="5" xfId="40" applyFont="1" applyFill="1" applyBorder="1" applyAlignment="1" applyProtection="1">
      <alignment horizontal="center"/>
    </xf>
    <xf numFmtId="49" fontId="5" fillId="7" borderId="2" xfId="40" applyNumberFormat="1" applyFill="1" applyBorder="1" applyAlignment="1" applyProtection="1">
      <alignment horizontal="center"/>
    </xf>
    <xf numFmtId="0" fontId="5" fillId="5" borderId="8" xfId="40" applyFill="1" applyBorder="1" applyAlignment="1" applyProtection="1">
      <alignment horizontal="center"/>
    </xf>
    <xf numFmtId="0" fontId="12" fillId="5" borderId="2" xfId="40" applyFont="1" applyFill="1" applyBorder="1" applyAlignment="1" applyProtection="1">
      <alignment horizontal="center"/>
    </xf>
    <xf numFmtId="2" fontId="5" fillId="5" borderId="2" xfId="40" applyNumberFormat="1" applyFill="1" applyBorder="1" applyAlignment="1" applyProtection="1">
      <alignment horizontal="center"/>
    </xf>
    <xf numFmtId="166" fontId="5" fillId="7" borderId="2" xfId="40" applyNumberFormat="1" applyFill="1" applyBorder="1" applyAlignment="1" applyProtection="1">
      <alignment horizontal="center"/>
    </xf>
    <xf numFmtId="165" fontId="5" fillId="45" borderId="2" xfId="0" applyNumberFormat="1" applyFont="1" applyFill="1" applyBorder="1" applyAlignment="1" applyProtection="1">
      <alignment horizontal="center"/>
    </xf>
    <xf numFmtId="0" fontId="0" fillId="44" borderId="2" xfId="0" applyFill="1" applyBorder="1" applyAlignment="1" applyProtection="1">
      <alignment horizontal="center"/>
      <protection locked="0"/>
    </xf>
    <xf numFmtId="0" fontId="0" fillId="45" borderId="2" xfId="0" applyFill="1" applyBorder="1" applyAlignment="1" applyProtection="1">
      <alignment horizontal="center"/>
    </xf>
    <xf numFmtId="166" fontId="0" fillId="7" borderId="2" xfId="0" applyNumberFormat="1" applyFill="1" applyBorder="1" applyAlignment="1" applyProtection="1">
      <alignment horizontal="center"/>
    </xf>
    <xf numFmtId="2" fontId="0" fillId="46" borderId="2" xfId="0" applyNumberFormat="1" applyFill="1" applyBorder="1" applyAlignment="1" applyProtection="1">
      <alignment horizontal="center"/>
    </xf>
    <xf numFmtId="0" fontId="0" fillId="7" borderId="5" xfId="0" applyFill="1" applyBorder="1" applyAlignment="1" applyProtection="1">
      <alignment horizontal="center"/>
    </xf>
    <xf numFmtId="0" fontId="0" fillId="7" borderId="14" xfId="0" applyFill="1" applyBorder="1" applyAlignment="1" applyProtection="1">
      <alignment horizontal="center"/>
    </xf>
    <xf numFmtId="166" fontId="3" fillId="7" borderId="2" xfId="0" applyNumberFormat="1" applyFont="1" applyFill="1" applyBorder="1" applyAlignment="1" applyProtection="1">
      <alignment horizontal="center"/>
    </xf>
    <xf numFmtId="2" fontId="3" fillId="46" borderId="2" xfId="0" applyNumberFormat="1" applyFont="1" applyFill="1" applyBorder="1" applyAlignment="1" applyProtection="1">
      <alignment horizontal="center"/>
    </xf>
    <xf numFmtId="165" fontId="3" fillId="7" borderId="2" xfId="0" applyNumberFormat="1" applyFont="1" applyFill="1" applyBorder="1" applyAlignment="1" applyProtection="1">
      <alignment horizontal="center"/>
    </xf>
    <xf numFmtId="166" fontId="5" fillId="45" borderId="2" xfId="37" applyNumberFormat="1" applyFill="1" applyBorder="1" applyAlignment="1" applyProtection="1">
      <alignment horizontal="center"/>
    </xf>
    <xf numFmtId="168" fontId="5" fillId="45" borderId="2" xfId="0" applyNumberFormat="1" applyFont="1" applyFill="1" applyBorder="1" applyAlignment="1" applyProtection="1">
      <alignment horizontal="center"/>
    </xf>
    <xf numFmtId="0" fontId="0" fillId="5" borderId="2" xfId="0" applyNumberFormat="1" applyFill="1" applyBorder="1" applyAlignment="1" applyProtection="1">
      <alignment horizontal="center"/>
    </xf>
    <xf numFmtId="2" fontId="0" fillId="5" borderId="2" xfId="0" applyNumberFormat="1" applyFill="1" applyBorder="1" applyAlignment="1" applyProtection="1">
      <alignment horizontal="center"/>
    </xf>
    <xf numFmtId="0" fontId="0" fillId="7" borderId="2" xfId="0" applyFill="1" applyBorder="1" applyAlignment="1" applyProtection="1">
      <alignment horizontal="right"/>
    </xf>
    <xf numFmtId="165" fontId="0" fillId="7" borderId="2" xfId="0" applyNumberFormat="1" applyFill="1" applyBorder="1" applyAlignment="1" applyProtection="1">
      <alignment horizontal="center"/>
    </xf>
    <xf numFmtId="165" fontId="0" fillId="5" borderId="2" xfId="0" applyNumberFormat="1" applyFill="1" applyBorder="1" applyAlignment="1" applyProtection="1">
      <alignment horizontal="center"/>
    </xf>
    <xf numFmtId="166" fontId="0" fillId="5" borderId="2" xfId="0" applyNumberFormat="1" applyFill="1" applyBorder="1" applyAlignment="1" applyProtection="1">
      <alignment horizontal="center"/>
    </xf>
    <xf numFmtId="0" fontId="5" fillId="7" borderId="2" xfId="0" quotePrefix="1" applyFont="1" applyFill="1" applyBorder="1" applyAlignment="1" applyProtection="1">
      <alignment horizontal="center"/>
    </xf>
    <xf numFmtId="0" fontId="5" fillId="7" borderId="2" xfId="0" applyFont="1" applyFill="1" applyBorder="1" applyAlignment="1" applyProtection="1">
      <alignment horizontal="center"/>
    </xf>
    <xf numFmtId="0" fontId="0" fillId="7" borderId="2" xfId="0" applyFill="1" applyBorder="1" applyProtection="1"/>
    <xf numFmtId="49" fontId="5" fillId="5" borderId="2" xfId="0" applyNumberFormat="1" applyFont="1" applyFill="1" applyBorder="1" applyAlignment="1" applyProtection="1">
      <alignment horizontal="center"/>
    </xf>
    <xf numFmtId="0" fontId="105" fillId="0" borderId="0" xfId="0" applyFont="1" applyAlignment="1">
      <alignment horizontal="left" vertical="top" wrapText="1"/>
    </xf>
    <xf numFmtId="0" fontId="105" fillId="0" borderId="0" xfId="0" applyFont="1" applyAlignment="1">
      <alignment horizontal="left" vertical="center" wrapText="1"/>
    </xf>
    <xf numFmtId="0" fontId="3" fillId="0" borderId="0" xfId="0" applyFont="1" applyAlignment="1" applyProtection="1"/>
    <xf numFmtId="0" fontId="5" fillId="45" borderId="16" xfId="0" applyFont="1" applyFill="1" applyBorder="1" applyAlignment="1" applyProtection="1">
      <alignment horizontal="left"/>
    </xf>
    <xf numFmtId="0" fontId="5" fillId="45" borderId="13" xfId="0" applyFont="1" applyFill="1" applyBorder="1" applyAlignment="1" applyProtection="1">
      <alignment horizontal="right"/>
    </xf>
    <xf numFmtId="0" fontId="5" fillId="45" borderId="2" xfId="0" applyFont="1" applyFill="1" applyBorder="1" applyAlignment="1" applyProtection="1">
      <alignment horizontal="center"/>
    </xf>
    <xf numFmtId="0" fontId="5" fillId="45" borderId="5" xfId="0" applyFont="1" applyFill="1" applyBorder="1" applyAlignment="1" applyProtection="1">
      <alignment horizontal="center"/>
    </xf>
    <xf numFmtId="0" fontId="5" fillId="45" borderId="6" xfId="0" applyFont="1" applyFill="1" applyBorder="1" applyAlignment="1" applyProtection="1">
      <alignment horizontal="left"/>
    </xf>
    <xf numFmtId="0" fontId="5" fillId="45" borderId="12" xfId="0" applyFont="1" applyFill="1" applyBorder="1" applyAlignment="1" applyProtection="1">
      <alignment horizontal="right"/>
    </xf>
    <xf numFmtId="14" fontId="5" fillId="45" borderId="14" xfId="0" applyNumberFormat="1" applyFont="1" applyFill="1" applyBorder="1" applyAlignment="1" applyProtection="1">
      <alignment horizontal="center"/>
    </xf>
    <xf numFmtId="14" fontId="5" fillId="0" borderId="0" xfId="0" applyNumberFormat="1" applyFont="1" applyFill="1" applyBorder="1" applyAlignment="1" applyProtection="1">
      <alignment horizontal="center"/>
    </xf>
    <xf numFmtId="166" fontId="0" fillId="0" borderId="0" xfId="0" applyNumberFormat="1" applyFill="1" applyBorder="1" applyAlignment="1" applyProtection="1">
      <alignment horizontal="center"/>
    </xf>
    <xf numFmtId="0" fontId="0" fillId="0" borderId="12" xfId="0" applyBorder="1" applyAlignment="1" applyProtection="1">
      <alignment vertical="center"/>
    </xf>
    <xf numFmtId="168" fontId="3" fillId="7" borderId="2" xfId="41" applyNumberFormat="1" applyFont="1" applyFill="1" applyBorder="1" applyAlignment="1" applyProtection="1">
      <alignment horizontal="center" vertical="center"/>
    </xf>
    <xf numFmtId="0" fontId="5" fillId="45" borderId="6" xfId="0" applyFont="1" applyFill="1" applyBorder="1" applyProtection="1"/>
    <xf numFmtId="166" fontId="5" fillId="45" borderId="14" xfId="0" applyNumberFormat="1" applyFont="1" applyFill="1" applyBorder="1" applyAlignment="1" applyProtection="1">
      <alignment horizontal="center"/>
    </xf>
    <xf numFmtId="0" fontId="5" fillId="45" borderId="9" xfId="0" applyFont="1" applyFill="1" applyBorder="1" applyProtection="1"/>
    <xf numFmtId="0" fontId="5" fillId="45" borderId="7" xfId="0" applyFont="1" applyFill="1" applyBorder="1" applyAlignment="1" applyProtection="1">
      <alignment horizontal="right"/>
    </xf>
    <xf numFmtId="0" fontId="0" fillId="0" borderId="0" xfId="0" applyAlignment="1" applyProtection="1"/>
    <xf numFmtId="0" fontId="5" fillId="7" borderId="5" xfId="0" quotePrefix="1" applyFont="1" applyFill="1" applyBorder="1" applyAlignment="1" applyProtection="1">
      <alignment horizontal="center"/>
    </xf>
    <xf numFmtId="0" fontId="5" fillId="7" borderId="8" xfId="0" applyFont="1" applyFill="1" applyBorder="1" applyAlignment="1" applyProtection="1">
      <alignment horizontal="center"/>
    </xf>
    <xf numFmtId="0" fontId="5" fillId="44" borderId="2" xfId="0" applyFont="1" applyFill="1" applyBorder="1" applyAlignment="1" applyProtection="1">
      <alignment horizontal="center" vertical="center"/>
      <protection locked="0"/>
    </xf>
    <xf numFmtId="2" fontId="3" fillId="45" borderId="3" xfId="0" applyNumberFormat="1" applyFont="1" applyFill="1" applyBorder="1" applyAlignment="1" applyProtection="1">
      <alignment horizontal="center" vertical="center"/>
    </xf>
    <xf numFmtId="168" fontId="0" fillId="45" borderId="3" xfId="0" applyNumberFormat="1" applyFill="1" applyBorder="1" applyAlignment="1" applyProtection="1">
      <alignment horizontal="center" vertical="center"/>
    </xf>
    <xf numFmtId="0" fontId="0" fillId="44" borderId="2" xfId="0" applyFill="1" applyBorder="1" applyAlignment="1" applyProtection="1">
      <alignment horizontal="center" vertical="center"/>
      <protection locked="0"/>
    </xf>
    <xf numFmtId="0" fontId="0" fillId="0" borderId="0" xfId="0" applyFill="1" applyBorder="1" applyAlignment="1" applyProtection="1">
      <alignment horizontal="center"/>
    </xf>
    <xf numFmtId="0" fontId="5" fillId="45" borderId="2" xfId="0" applyFont="1" applyFill="1" applyBorder="1" applyAlignment="1" applyProtection="1">
      <alignment horizontal="center" vertical="center"/>
    </xf>
    <xf numFmtId="0" fontId="5" fillId="0" borderId="7" xfId="0" applyFont="1" applyFill="1" applyBorder="1" applyAlignment="1" applyProtection="1"/>
    <xf numFmtId="2" fontId="0" fillId="0" borderId="0" xfId="0" applyNumberFormat="1" applyFill="1" applyBorder="1" applyAlignment="1" applyProtection="1">
      <alignment horizontal="center"/>
    </xf>
    <xf numFmtId="0" fontId="0" fillId="7" borderId="8" xfId="0" applyFill="1" applyBorder="1" applyAlignment="1" applyProtection="1">
      <alignment horizontal="center"/>
    </xf>
    <xf numFmtId="0" fontId="11" fillId="0" borderId="0" xfId="0" applyFont="1" applyFill="1" applyBorder="1" applyAlignment="1" applyProtection="1"/>
    <xf numFmtId="0" fontId="3" fillId="0" borderId="0" xfId="0" applyFont="1" applyFill="1" applyBorder="1" applyAlignment="1" applyProtection="1">
      <alignment horizontal="center"/>
    </xf>
    <xf numFmtId="166" fontId="3" fillId="0" borderId="0" xfId="0" applyNumberFormat="1" applyFont="1" applyFill="1" applyBorder="1" applyAlignment="1" applyProtection="1">
      <alignment horizontal="center"/>
    </xf>
    <xf numFmtId="0" fontId="11" fillId="0" borderId="0" xfId="0" applyFont="1" applyFill="1" applyBorder="1" applyAlignment="1" applyProtection="1">
      <alignment wrapText="1"/>
    </xf>
    <xf numFmtId="0" fontId="0" fillId="0" borderId="0" xfId="0" applyFill="1" applyBorder="1" applyProtection="1"/>
    <xf numFmtId="0" fontId="3" fillId="46" borderId="2" xfId="0" applyFont="1" applyFill="1" applyBorder="1" applyAlignment="1" applyProtection="1">
      <alignment horizontal="center"/>
    </xf>
    <xf numFmtId="0" fontId="12" fillId="0" borderId="0" xfId="0" applyFont="1" applyAlignment="1" applyProtection="1">
      <alignment horizontal="center"/>
    </xf>
    <xf numFmtId="0" fontId="5" fillId="7" borderId="14" xfId="0" applyFont="1" applyFill="1" applyBorder="1" applyAlignment="1" applyProtection="1">
      <alignment horizontal="center"/>
    </xf>
    <xf numFmtId="0" fontId="0" fillId="0" borderId="0" xfId="0" applyFill="1" applyBorder="1" applyAlignment="1" applyProtection="1"/>
    <xf numFmtId="0" fontId="5" fillId="0" borderId="0" xfId="40" applyFill="1" applyBorder="1" applyProtection="1"/>
    <xf numFmtId="0" fontId="5" fillId="0" borderId="0" xfId="40" applyFont="1" applyFill="1" applyBorder="1" applyAlignment="1" applyProtection="1">
      <alignment horizontal="center"/>
    </xf>
    <xf numFmtId="0" fontId="5" fillId="0" borderId="0" xfId="40" applyFill="1" applyBorder="1" applyAlignment="1" applyProtection="1">
      <alignment horizontal="center"/>
    </xf>
    <xf numFmtId="0" fontId="12" fillId="0" borderId="0" xfId="40" applyFont="1" applyFill="1" applyBorder="1" applyAlignment="1" applyProtection="1">
      <alignment horizontal="center"/>
    </xf>
    <xf numFmtId="2" fontId="5" fillId="0" borderId="0" xfId="40" applyNumberFormat="1" applyFill="1" applyBorder="1" applyAlignment="1" applyProtection="1">
      <alignment horizontal="center"/>
    </xf>
    <xf numFmtId="166" fontId="5" fillId="0" borderId="0" xfId="40" applyNumberFormat="1" applyFill="1" applyBorder="1" applyAlignment="1" applyProtection="1">
      <alignment horizontal="center"/>
    </xf>
    <xf numFmtId="0" fontId="119" fillId="0" borderId="0" xfId="0" applyFont="1"/>
    <xf numFmtId="0" fontId="32" fillId="0" borderId="0" xfId="0" applyFont="1" applyAlignment="1">
      <alignment horizontal="justify" vertical="center"/>
    </xf>
    <xf numFmtId="0" fontId="51" fillId="0" borderId="0" xfId="0" applyFont="1"/>
    <xf numFmtId="0" fontId="51" fillId="0" borderId="0" xfId="0" applyFont="1" applyAlignment="1">
      <alignment vertical="top"/>
    </xf>
    <xf numFmtId="0" fontId="32" fillId="0" borderId="0" xfId="0" applyFont="1" applyAlignment="1">
      <alignment horizontal="left" vertical="top"/>
    </xf>
    <xf numFmtId="0" fontId="32" fillId="0" borderId="0" xfId="0" applyFont="1" applyAlignment="1"/>
    <xf numFmtId="0" fontId="32" fillId="0" borderId="0" xfId="0" applyFont="1" applyAlignment="1">
      <alignment horizontal="justify" vertical="top"/>
    </xf>
    <xf numFmtId="0" fontId="105" fillId="0" borderId="0" xfId="0" applyFont="1" applyAlignment="1">
      <alignment horizontal="right" vertical="top"/>
    </xf>
    <xf numFmtId="0" fontId="100" fillId="0" borderId="0" xfId="0" applyFont="1"/>
    <xf numFmtId="168" fontId="5" fillId="3" borderId="2" xfId="37" applyNumberFormat="1" applyFill="1" applyBorder="1" applyAlignment="1" applyProtection="1">
      <alignment horizontal="center"/>
      <protection locked="0"/>
    </xf>
    <xf numFmtId="2" fontId="3" fillId="7" borderId="2" xfId="0" applyNumberFormat="1" applyFont="1" applyFill="1" applyBorder="1" applyAlignment="1" applyProtection="1">
      <alignment horizontal="center" vertical="center"/>
    </xf>
    <xf numFmtId="166" fontId="0" fillId="7" borderId="2" xfId="0" applyNumberFormat="1" applyFill="1" applyBorder="1" applyAlignment="1" applyProtection="1">
      <alignment horizontal="center" vertical="center"/>
    </xf>
    <xf numFmtId="2" fontId="0" fillId="7" borderId="2" xfId="0" applyNumberFormat="1" applyFill="1" applyBorder="1" applyAlignment="1" applyProtection="1">
      <alignment horizontal="center" vertical="center"/>
    </xf>
    <xf numFmtId="165" fontId="3" fillId="7" borderId="2" xfId="0" applyNumberFormat="1" applyFont="1" applyFill="1" applyBorder="1" applyAlignment="1" applyProtection="1">
      <alignment horizontal="center" vertical="center"/>
    </xf>
    <xf numFmtId="0" fontId="32" fillId="0" borderId="0" xfId="0" applyFont="1" applyBorder="1" applyAlignment="1">
      <alignment horizontal="center" vertical="center" wrapText="1"/>
    </xf>
    <xf numFmtId="2" fontId="32" fillId="0" borderId="0" xfId="0" applyNumberFormat="1" applyFont="1" applyBorder="1" applyAlignment="1">
      <alignment horizontal="center" vertical="center" wrapText="1"/>
    </xf>
    <xf numFmtId="0" fontId="32" fillId="0" borderId="0" xfId="0" applyFont="1" applyBorder="1" applyAlignment="1">
      <alignment horizontal="left" vertical="center"/>
    </xf>
    <xf numFmtId="0" fontId="61" fillId="0" borderId="0" xfId="0" applyFont="1" applyAlignment="1">
      <alignment horizontal="center" vertical="center"/>
    </xf>
    <xf numFmtId="0" fontId="51" fillId="0" borderId="0" xfId="0" applyFont="1" applyAlignment="1">
      <alignment horizontal="left" vertical="center"/>
    </xf>
    <xf numFmtId="0" fontId="51" fillId="0" borderId="0" xfId="0" applyFont="1" applyBorder="1" applyAlignment="1">
      <alignment horizontal="left" vertical="center"/>
    </xf>
    <xf numFmtId="0" fontId="29" fillId="0" borderId="0" xfId="0" applyNumberFormat="1" applyFont="1" applyAlignment="1">
      <alignment vertical="top"/>
    </xf>
    <xf numFmtId="0" fontId="29" fillId="0" borderId="0" xfId="0" applyFont="1" applyAlignment="1">
      <alignment vertical="top"/>
    </xf>
    <xf numFmtId="0" fontId="28" fillId="0" borderId="0" xfId="0" applyFont="1" applyBorder="1" applyAlignment="1">
      <alignment horizontal="center" vertical="center"/>
    </xf>
    <xf numFmtId="0" fontId="105" fillId="0" borderId="0" xfId="0" applyFont="1" applyBorder="1" applyAlignment="1">
      <alignment horizontal="right"/>
    </xf>
    <xf numFmtId="0" fontId="32" fillId="0" borderId="0" xfId="0" applyFont="1" applyAlignment="1">
      <alignment vertical="center"/>
    </xf>
    <xf numFmtId="0" fontId="105" fillId="0" borderId="0" xfId="0" applyFont="1" applyBorder="1" applyAlignment="1">
      <alignment horizontal="left"/>
    </xf>
    <xf numFmtId="166" fontId="3" fillId="7" borderId="2" xfId="37" applyNumberFormat="1" applyFont="1" applyFill="1" applyBorder="1" applyAlignment="1" applyProtection="1">
      <alignment horizontal="center"/>
    </xf>
    <xf numFmtId="0" fontId="5" fillId="7" borderId="2" xfId="40" applyNumberFormat="1" applyFill="1" applyBorder="1" applyAlignment="1" applyProtection="1">
      <alignment horizontal="center"/>
    </xf>
    <xf numFmtId="0" fontId="106" fillId="0" borderId="0" xfId="0" applyFont="1" applyBorder="1" applyAlignment="1">
      <alignment horizontal="left"/>
    </xf>
    <xf numFmtId="0" fontId="105" fillId="0" borderId="0" xfId="0" applyFont="1" applyAlignment="1">
      <alignment horizontal="left"/>
    </xf>
    <xf numFmtId="0" fontId="0" fillId="0" borderId="1" xfId="0" applyBorder="1"/>
    <xf numFmtId="0" fontId="5" fillId="0" borderId="4" xfId="0" applyFont="1" applyBorder="1"/>
    <xf numFmtId="0" fontId="22" fillId="0" borderId="0" xfId="0" applyNumberFormat="1" applyFont="1" applyAlignment="1">
      <alignment horizontal="left"/>
    </xf>
    <xf numFmtId="49" fontId="104" fillId="0" borderId="11" xfId="0" applyNumberFormat="1" applyFont="1" applyBorder="1"/>
    <xf numFmtId="0" fontId="105" fillId="0" borderId="0" xfId="0" applyFont="1" applyAlignment="1">
      <alignment horizontal="right" vertical="top" wrapText="1"/>
    </xf>
    <xf numFmtId="0" fontId="105" fillId="0" borderId="0" xfId="0" applyFont="1" applyAlignment="1">
      <alignment horizontal="left" vertical="top"/>
    </xf>
    <xf numFmtId="0" fontId="114" fillId="47" borderId="1" xfId="0" applyFont="1" applyFill="1" applyBorder="1"/>
    <xf numFmtId="49" fontId="103" fillId="47" borderId="4" xfId="0" applyNumberFormat="1" applyFont="1" applyFill="1" applyBorder="1"/>
    <xf numFmtId="0" fontId="0" fillId="47" borderId="4" xfId="0" applyFill="1" applyBorder="1"/>
    <xf numFmtId="0" fontId="0" fillId="47" borderId="3" xfId="0" applyFill="1" applyBorder="1"/>
    <xf numFmtId="0" fontId="114" fillId="42" borderId="1" xfId="0" applyFont="1" applyFill="1" applyBorder="1"/>
    <xf numFmtId="0" fontId="12" fillId="42" borderId="11" xfId="0" applyFont="1" applyFill="1" applyBorder="1"/>
    <xf numFmtId="0" fontId="0" fillId="42" borderId="4" xfId="0" applyFill="1" applyBorder="1"/>
    <xf numFmtId="0" fontId="0" fillId="42" borderId="3" xfId="0" applyFill="1" applyBorder="1"/>
    <xf numFmtId="0" fontId="114" fillId="48" borderId="1" xfId="0" applyFont="1" applyFill="1" applyBorder="1"/>
    <xf numFmtId="0" fontId="12" fillId="48" borderId="11" xfId="0" applyFont="1" applyFill="1" applyBorder="1"/>
    <xf numFmtId="0" fontId="0" fillId="48" borderId="4" xfId="0" applyFill="1" applyBorder="1"/>
    <xf numFmtId="0" fontId="0" fillId="48" borderId="3" xfId="0" applyFill="1" applyBorder="1"/>
    <xf numFmtId="0" fontId="5" fillId="44" borderId="5" xfId="0" applyNumberFormat="1" applyFont="1" applyFill="1" applyBorder="1"/>
    <xf numFmtId="0" fontId="0" fillId="44" borderId="11" xfId="0" applyNumberFormat="1" applyFill="1" applyBorder="1"/>
    <xf numFmtId="0" fontId="0" fillId="44" borderId="14" xfId="0" applyNumberFormat="1" applyFill="1" applyBorder="1"/>
    <xf numFmtId="0" fontId="0" fillId="44" borderId="0" xfId="0" applyNumberFormat="1" applyFill="1" applyBorder="1"/>
    <xf numFmtId="0" fontId="0" fillId="44" borderId="8" xfId="0" applyNumberFormat="1" applyFill="1" applyBorder="1"/>
    <xf numFmtId="0" fontId="0" fillId="44" borderId="10" xfId="0" applyNumberFormat="1" applyFill="1" applyBorder="1"/>
    <xf numFmtId="0" fontId="5" fillId="0" borderId="5" xfId="0" applyNumberFormat="1" applyFont="1" applyFill="1" applyBorder="1" applyAlignment="1">
      <alignment horizontal="left"/>
    </xf>
    <xf numFmtId="0" fontId="5" fillId="0" borderId="11" xfId="0" applyNumberFormat="1" applyFont="1" applyFill="1" applyBorder="1"/>
    <xf numFmtId="0" fontId="0" fillId="0" borderId="11" xfId="0" applyNumberFormat="1" applyFill="1" applyBorder="1"/>
    <xf numFmtId="0" fontId="0" fillId="0" borderId="14" xfId="0" applyNumberFormat="1" applyFill="1" applyBorder="1"/>
    <xf numFmtId="0" fontId="0" fillId="0" borderId="0" xfId="0" applyNumberFormat="1" applyFill="1" applyBorder="1"/>
    <xf numFmtId="0" fontId="0" fillId="0" borderId="8" xfId="0" applyNumberFormat="1" applyFill="1" applyBorder="1"/>
    <xf numFmtId="0" fontId="0" fillId="0" borderId="10" xfId="0" applyNumberFormat="1" applyFill="1" applyBorder="1"/>
    <xf numFmtId="49" fontId="103" fillId="0" borderId="10" xfId="0" applyNumberFormat="1" applyFont="1" applyBorder="1"/>
    <xf numFmtId="49" fontId="120" fillId="0" borderId="17" xfId="0" applyNumberFormat="1" applyFont="1" applyBorder="1" applyAlignment="1">
      <alignment horizontal="center"/>
    </xf>
    <xf numFmtId="0" fontId="110" fillId="0" borderId="0" xfId="0" applyNumberFormat="1" applyFont="1" applyAlignment="1"/>
    <xf numFmtId="49" fontId="104" fillId="0" borderId="0" xfId="0" applyNumberFormat="1" applyFont="1" applyAlignment="1"/>
    <xf numFmtId="0" fontId="0" fillId="0" borderId="0" xfId="0" applyFont="1" applyAlignment="1"/>
    <xf numFmtId="0" fontId="113" fillId="0" borderId="31" xfId="0" applyFont="1" applyBorder="1"/>
    <xf numFmtId="0" fontId="112" fillId="0" borderId="31" xfId="0" applyFont="1" applyBorder="1"/>
    <xf numFmtId="49" fontId="113" fillId="0" borderId="31" xfId="0" applyNumberFormat="1" applyFont="1" applyBorder="1"/>
    <xf numFmtId="0" fontId="113" fillId="0" borderId="31" xfId="0" applyFont="1" applyBorder="1" applyAlignment="1">
      <alignment horizontal="right"/>
    </xf>
    <xf numFmtId="0" fontId="113" fillId="0" borderId="32" xfId="0" applyFont="1" applyBorder="1"/>
    <xf numFmtId="0" fontId="112" fillId="0" borderId="32" xfId="0" applyFont="1" applyBorder="1"/>
    <xf numFmtId="49" fontId="113" fillId="0" borderId="32" xfId="0" applyNumberFormat="1" applyFont="1" applyBorder="1"/>
    <xf numFmtId="0" fontId="113" fillId="0" borderId="32" xfId="0" applyFont="1" applyBorder="1" applyAlignment="1">
      <alignment horizontal="right"/>
    </xf>
    <xf numFmtId="0" fontId="105" fillId="0" borderId="0" xfId="0" applyFont="1" applyAlignment="1">
      <alignment horizontal="left" vertical="top" wrapText="1"/>
    </xf>
    <xf numFmtId="0" fontId="104" fillId="0" borderId="0" xfId="0" applyNumberFormat="1" applyFont="1" applyAlignment="1">
      <alignment horizontal="left" vertical="top" wrapText="1"/>
    </xf>
    <xf numFmtId="49" fontId="105" fillId="0" borderId="0" xfId="0" applyNumberFormat="1" applyFont="1" applyAlignment="1">
      <alignment horizontal="left" vertical="center"/>
    </xf>
    <xf numFmtId="0" fontId="121" fillId="0" borderId="0" xfId="0" applyFont="1" applyAlignment="1">
      <alignment horizontal="center"/>
    </xf>
    <xf numFmtId="0" fontId="104" fillId="0" borderId="0" xfId="0" applyNumberFormat="1" applyFont="1" applyAlignment="1">
      <alignment horizontal="left" vertical="top" wrapText="1"/>
    </xf>
    <xf numFmtId="0" fontId="122" fillId="3" borderId="2" xfId="0" applyFont="1" applyFill="1" applyBorder="1" applyAlignment="1" applyProtection="1">
      <alignment horizontal="center"/>
      <protection locked="0"/>
    </xf>
    <xf numFmtId="0" fontId="5" fillId="0" borderId="5" xfId="0" applyNumberFormat="1" applyFont="1" applyFill="1" applyBorder="1"/>
    <xf numFmtId="0" fontId="0" fillId="0" borderId="13" xfId="0" applyNumberFormat="1" applyFill="1" applyBorder="1"/>
    <xf numFmtId="0" fontId="0" fillId="0" borderId="12" xfId="0" applyNumberFormat="1" applyFill="1" applyBorder="1"/>
    <xf numFmtId="0" fontId="0" fillId="0" borderId="7" xfId="0" applyNumberFormat="1" applyFill="1" applyBorder="1"/>
    <xf numFmtId="1" fontId="65" fillId="7" borderId="2" xfId="0" applyNumberFormat="1" applyFont="1" applyFill="1" applyBorder="1" applyAlignment="1" applyProtection="1">
      <alignment horizontal="center"/>
    </xf>
    <xf numFmtId="164" fontId="122" fillId="44" borderId="2" xfId="0" applyNumberFormat="1" applyFont="1" applyFill="1" applyBorder="1" applyAlignment="1" applyProtection="1">
      <alignment horizontal="left"/>
      <protection locked="0"/>
    </xf>
    <xf numFmtId="164" fontId="122" fillId="3" borderId="8" xfId="0" applyNumberFormat="1" applyFont="1" applyFill="1" applyBorder="1" applyAlignment="1" applyProtection="1">
      <alignment horizontal="left"/>
      <protection locked="0"/>
    </xf>
    <xf numFmtId="1" fontId="65" fillId="7" borderId="1" xfId="0" applyNumberFormat="1" applyFont="1" applyFill="1" applyBorder="1" applyAlignment="1" applyProtection="1">
      <alignment horizontal="left"/>
    </xf>
    <xf numFmtId="1" fontId="65" fillId="7" borderId="4" xfId="0" applyNumberFormat="1" applyFont="1" applyFill="1" applyBorder="1" applyAlignment="1" applyProtection="1">
      <alignment horizontal="left"/>
    </xf>
    <xf numFmtId="1" fontId="65" fillId="7" borderId="3" xfId="0" applyNumberFormat="1" applyFont="1" applyFill="1" applyBorder="1" applyAlignment="1" applyProtection="1">
      <alignment horizontal="left"/>
    </xf>
    <xf numFmtId="0" fontId="105" fillId="0" borderId="0" xfId="0" applyFont="1" applyAlignment="1">
      <alignment horizontal="left" vertical="top" wrapText="1"/>
    </xf>
    <xf numFmtId="0" fontId="123" fillId="0" borderId="0" xfId="0" applyNumberFormat="1" applyFont="1"/>
    <xf numFmtId="0" fontId="112" fillId="0" borderId="0" xfId="0" applyFont="1" applyBorder="1" applyAlignment="1">
      <alignment vertical="top"/>
    </xf>
    <xf numFmtId="0" fontId="118" fillId="0" borderId="0" xfId="0" applyFont="1" applyAlignment="1">
      <alignment horizontal="right" vertical="top"/>
    </xf>
    <xf numFmtId="0" fontId="104" fillId="0" borderId="0" xfId="0" applyNumberFormat="1" applyFont="1" applyAlignment="1">
      <alignment horizontal="left" vertical="top" wrapText="1"/>
    </xf>
    <xf numFmtId="0" fontId="3" fillId="45" borderId="2" xfId="0" applyFont="1" applyFill="1" applyBorder="1" applyAlignment="1" applyProtection="1">
      <alignment horizontal="center"/>
    </xf>
    <xf numFmtId="0" fontId="106" fillId="0" borderId="0" xfId="0" applyNumberFormat="1" applyFont="1" applyAlignment="1">
      <alignment horizontal="left" vertical="center"/>
    </xf>
    <xf numFmtId="0" fontId="105" fillId="0" borderId="0" xfId="0" applyNumberFormat="1" applyFont="1" applyAlignment="1">
      <alignment horizontal="left" vertical="center"/>
    </xf>
    <xf numFmtId="0" fontId="6" fillId="0" borderId="0" xfId="0" applyFont="1" applyAlignment="1">
      <alignment horizontal="left" vertical="center"/>
    </xf>
    <xf numFmtId="0" fontId="6" fillId="0" borderId="0" xfId="0" applyNumberFormat="1" applyFont="1" applyAlignment="1">
      <alignment horizontal="left" vertical="center"/>
    </xf>
    <xf numFmtId="0" fontId="6" fillId="0" borderId="0" xfId="0" applyFont="1" applyAlignment="1">
      <alignment vertical="center"/>
    </xf>
    <xf numFmtId="0" fontId="0" fillId="0" borderId="0" xfId="0" applyAlignment="1">
      <alignment vertical="center"/>
    </xf>
    <xf numFmtId="0" fontId="105" fillId="0" borderId="0" xfId="0" applyNumberFormat="1" applyFont="1" applyAlignment="1">
      <alignment vertical="center"/>
    </xf>
    <xf numFmtId="168" fontId="41" fillId="3" borderId="2" xfId="0" applyNumberFormat="1" applyFont="1" applyFill="1" applyBorder="1" applyAlignment="1" applyProtection="1">
      <alignment horizontal="center"/>
      <protection locked="0"/>
    </xf>
    <xf numFmtId="168" fontId="122" fillId="3" borderId="2" xfId="0" applyNumberFormat="1" applyFont="1" applyFill="1" applyBorder="1" applyAlignment="1" applyProtection="1">
      <alignment horizontal="center"/>
      <protection locked="0"/>
    </xf>
    <xf numFmtId="168" fontId="122" fillId="3" borderId="5" xfId="0" applyNumberFormat="1" applyFont="1" applyFill="1" applyBorder="1" applyAlignment="1" applyProtection="1">
      <alignment horizontal="center"/>
      <protection locked="0"/>
    </xf>
    <xf numFmtId="168" fontId="0" fillId="4" borderId="2" xfId="0" applyNumberFormat="1" applyFill="1" applyBorder="1" applyAlignment="1" applyProtection="1">
      <alignment horizontal="center"/>
    </xf>
    <xf numFmtId="168" fontId="0" fillId="4" borderId="5" xfId="0" applyNumberFormat="1" applyFill="1" applyBorder="1" applyAlignment="1" applyProtection="1">
      <alignment horizontal="center"/>
    </xf>
    <xf numFmtId="0" fontId="32" fillId="0" borderId="0" xfId="0" applyFont="1" applyAlignment="1">
      <alignment horizontal="left"/>
    </xf>
    <xf numFmtId="0" fontId="124" fillId="0" borderId="0" xfId="0" applyFont="1" applyBorder="1"/>
    <xf numFmtId="0" fontId="104" fillId="0" borderId="0" xfId="0" applyFont="1" applyBorder="1"/>
    <xf numFmtId="49" fontId="124" fillId="0" borderId="0" xfId="0" applyNumberFormat="1" applyFont="1" applyBorder="1"/>
    <xf numFmtId="0" fontId="124" fillId="0" borderId="0" xfId="0" applyFont="1" applyBorder="1" applyAlignment="1">
      <alignment horizontal="right"/>
    </xf>
    <xf numFmtId="49" fontId="104" fillId="0" borderId="0" xfId="0" applyNumberFormat="1" applyFont="1" applyBorder="1"/>
    <xf numFmtId="0" fontId="104" fillId="0" borderId="0" xfId="0" applyFont="1" applyBorder="1" applyAlignment="1">
      <alignment horizontal="right"/>
    </xf>
    <xf numFmtId="0" fontId="110" fillId="0" borderId="0" xfId="0" applyFont="1" applyBorder="1" applyAlignment="1"/>
    <xf numFmtId="0" fontId="104" fillId="0" borderId="0" xfId="0" applyFont="1" applyBorder="1" applyAlignment="1"/>
    <xf numFmtId="0" fontId="104" fillId="0" borderId="11" xfId="0" applyNumberFormat="1" applyFont="1" applyBorder="1"/>
    <xf numFmtId="0" fontId="112" fillId="0" borderId="11" xfId="0" applyFont="1" applyBorder="1"/>
    <xf numFmtId="0" fontId="113" fillId="0" borderId="11" xfId="0" applyFont="1" applyBorder="1"/>
    <xf numFmtId="0" fontId="113" fillId="0" borderId="11" xfId="0" applyFont="1" applyBorder="1" applyAlignment="1">
      <alignment horizontal="right"/>
    </xf>
    <xf numFmtId="0" fontId="32" fillId="0" borderId="0" xfId="0" applyFont="1" applyAlignment="1">
      <alignment vertical="top" wrapText="1"/>
    </xf>
    <xf numFmtId="0" fontId="33" fillId="0" borderId="0" xfId="0" applyFont="1" applyAlignment="1">
      <alignment vertical="top"/>
    </xf>
    <xf numFmtId="0" fontId="105" fillId="0" borderId="0" xfId="0" applyFont="1" applyAlignment="1">
      <alignment horizontal="left" vertical="top" wrapText="1"/>
    </xf>
    <xf numFmtId="2" fontId="65" fillId="7" borderId="2" xfId="0" applyNumberFormat="1" applyFont="1" applyFill="1" applyBorder="1" applyAlignment="1" applyProtection="1">
      <alignment horizontal="center" vertical="center"/>
    </xf>
    <xf numFmtId="0" fontId="3" fillId="7" borderId="1" xfId="37" applyFont="1" applyFill="1" applyBorder="1" applyAlignment="1" applyProtection="1">
      <alignment horizontal="center"/>
    </xf>
    <xf numFmtId="0" fontId="3" fillId="7" borderId="16" xfId="37" applyFont="1" applyFill="1" applyBorder="1" applyAlignment="1" applyProtection="1">
      <alignment horizontal="center"/>
    </xf>
    <xf numFmtId="168" fontId="3" fillId="0" borderId="0" xfId="37" applyNumberFormat="1" applyFont="1" applyFill="1" applyBorder="1" applyAlignment="1" applyProtection="1">
      <alignment horizontal="center"/>
    </xf>
    <xf numFmtId="166" fontId="3" fillId="0" borderId="0" xfId="37" applyNumberFormat="1" applyFont="1" applyFill="1" applyBorder="1" applyAlignment="1" applyProtection="1">
      <alignment horizontal="center"/>
    </xf>
    <xf numFmtId="0" fontId="12" fillId="0" borderId="0" xfId="37" applyFont="1" applyFill="1" applyBorder="1" applyAlignment="1" applyProtection="1">
      <alignment horizontal="center"/>
    </xf>
    <xf numFmtId="0" fontId="29" fillId="0" borderId="0" xfId="0" applyFont="1" applyAlignment="1">
      <alignment horizontal="right" vertical="center" wrapText="1"/>
    </xf>
    <xf numFmtId="165" fontId="0" fillId="0" borderId="0" xfId="0" applyNumberFormat="1" applyFill="1" applyBorder="1" applyProtection="1"/>
    <xf numFmtId="165" fontId="5" fillId="0" borderId="0" xfId="0" applyNumberFormat="1" applyFont="1" applyFill="1" applyBorder="1" applyProtection="1"/>
    <xf numFmtId="166" fontId="5" fillId="45" borderId="2" xfId="0" applyNumberFormat="1" applyFont="1" applyFill="1" applyBorder="1" applyAlignment="1" applyProtection="1">
      <alignment horizontal="center"/>
    </xf>
    <xf numFmtId="165" fontId="3" fillId="45" borderId="2" xfId="0" applyNumberFormat="1" applyFont="1" applyFill="1" applyBorder="1" applyAlignment="1" applyProtection="1">
      <alignment horizontal="center"/>
    </xf>
    <xf numFmtId="0" fontId="125" fillId="45" borderId="2" xfId="0" applyNumberFormat="1" applyFont="1" applyFill="1" applyBorder="1" applyAlignment="1" applyProtection="1">
      <alignment horizontal="center" vertical="center"/>
    </xf>
    <xf numFmtId="0" fontId="3" fillId="0" borderId="0" xfId="0" applyFont="1" applyFill="1" applyBorder="1" applyProtection="1"/>
    <xf numFmtId="49" fontId="105" fillId="0" borderId="0" xfId="0" applyNumberFormat="1" applyFont="1" applyAlignment="1">
      <alignment horizontal="left"/>
    </xf>
    <xf numFmtId="0" fontId="5" fillId="7" borderId="16" xfId="37" applyFont="1" applyFill="1" applyBorder="1" applyAlignment="1" applyProtection="1">
      <alignment horizontal="center"/>
    </xf>
    <xf numFmtId="0" fontId="5" fillId="45" borderId="6" xfId="37" applyFont="1" applyFill="1" applyBorder="1" applyAlignment="1" applyProtection="1">
      <alignment horizontal="center"/>
    </xf>
    <xf numFmtId="0" fontId="5" fillId="45" borderId="9" xfId="37" applyFont="1" applyFill="1" applyBorder="1" applyAlignment="1" applyProtection="1">
      <alignment horizontal="center"/>
    </xf>
    <xf numFmtId="165" fontId="0" fillId="7" borderId="1" xfId="0" applyNumberFormat="1" applyFill="1" applyBorder="1" applyAlignment="1" applyProtection="1">
      <alignment horizontal="center"/>
    </xf>
    <xf numFmtId="0" fontId="0" fillId="0" borderId="6" xfId="0" applyFill="1" applyBorder="1" applyProtection="1"/>
    <xf numFmtId="165" fontId="0" fillId="0" borderId="6" xfId="0" applyNumberFormat="1" applyFill="1" applyBorder="1" applyAlignment="1" applyProtection="1">
      <alignment horizontal="center"/>
    </xf>
    <xf numFmtId="166" fontId="5" fillId="4" borderId="2" xfId="0" applyNumberFormat="1" applyFont="1" applyFill="1" applyBorder="1" applyAlignment="1" applyProtection="1">
      <alignment horizontal="center"/>
    </xf>
    <xf numFmtId="166" fontId="0" fillId="4" borderId="2" xfId="0" applyNumberFormat="1" applyFill="1" applyBorder="1" applyAlignment="1" applyProtection="1">
      <alignment horizontal="center"/>
    </xf>
    <xf numFmtId="165" fontId="0" fillId="0" borderId="0" xfId="0" applyNumberFormat="1" applyFill="1" applyBorder="1" applyAlignment="1" applyProtection="1">
      <alignment horizontal="center"/>
    </xf>
    <xf numFmtId="49" fontId="5" fillId="7" borderId="14" xfId="37" applyNumberFormat="1" applyFill="1" applyBorder="1" applyAlignment="1" applyProtection="1">
      <alignment horizontal="center"/>
    </xf>
    <xf numFmtId="0" fontId="0" fillId="49" borderId="5" xfId="0" applyFill="1" applyBorder="1" applyAlignment="1">
      <alignment horizontal="center"/>
    </xf>
    <xf numFmtId="0" fontId="5" fillId="49" borderId="5" xfId="0" applyFont="1" applyFill="1" applyBorder="1" applyAlignment="1">
      <alignment horizontal="center"/>
    </xf>
    <xf numFmtId="0" fontId="0" fillId="49" borderId="14" xfId="0" applyFill="1" applyBorder="1" applyAlignment="1">
      <alignment horizontal="center"/>
    </xf>
    <xf numFmtId="0" fontId="5" fillId="49" borderId="14" xfId="0" applyFont="1" applyFill="1" applyBorder="1" applyAlignment="1">
      <alignment horizontal="center"/>
    </xf>
    <xf numFmtId="0" fontId="0" fillId="49" borderId="8" xfId="0" applyFill="1" applyBorder="1" applyAlignment="1">
      <alignment horizontal="center"/>
    </xf>
    <xf numFmtId="0" fontId="5" fillId="49" borderId="8" xfId="0" applyFont="1" applyFill="1" applyBorder="1" applyAlignment="1">
      <alignment horizontal="center"/>
    </xf>
    <xf numFmtId="0" fontId="0" fillId="46" borderId="14" xfId="0" applyFill="1" applyBorder="1" applyAlignment="1">
      <alignment horizontal="center"/>
    </xf>
    <xf numFmtId="2" fontId="0" fillId="46" borderId="14" xfId="0" applyNumberFormat="1" applyFill="1" applyBorder="1" applyAlignment="1">
      <alignment horizontal="center"/>
    </xf>
    <xf numFmtId="0" fontId="0" fillId="46" borderId="8" xfId="0" applyFill="1" applyBorder="1" applyAlignment="1">
      <alignment horizontal="center"/>
    </xf>
    <xf numFmtId="2" fontId="0" fillId="46" borderId="8" xfId="0" applyNumberFormat="1" applyFill="1" applyBorder="1" applyAlignment="1">
      <alignment horizontal="center"/>
    </xf>
    <xf numFmtId="2" fontId="100" fillId="46" borderId="14" xfId="0" applyNumberFormat="1" applyFont="1" applyFill="1" applyBorder="1" applyAlignment="1">
      <alignment horizontal="center"/>
    </xf>
    <xf numFmtId="2" fontId="100" fillId="46" borderId="8" xfId="0" applyNumberFormat="1" applyFont="1" applyFill="1" applyBorder="1" applyAlignment="1">
      <alignment horizontal="center"/>
    </xf>
    <xf numFmtId="0" fontId="8" fillId="0" borderId="0" xfId="0" applyFont="1" applyAlignment="1" applyProtection="1">
      <alignment horizontal="left"/>
    </xf>
    <xf numFmtId="0" fontId="6" fillId="0" borderId="0" xfId="0" applyFont="1" applyProtection="1"/>
    <xf numFmtId="0" fontId="6" fillId="0" borderId="0" xfId="0" applyFont="1" applyAlignment="1" applyProtection="1">
      <alignment horizontal="center"/>
    </xf>
    <xf numFmtId="0" fontId="10" fillId="0" borderId="0" xfId="0" applyFont="1" applyAlignment="1" applyProtection="1">
      <alignment horizontal="left"/>
    </xf>
    <xf numFmtId="49" fontId="3" fillId="7" borderId="2" xfId="0" applyNumberFormat="1" applyFont="1" applyFill="1" applyBorder="1" applyProtection="1"/>
    <xf numFmtId="49" fontId="3" fillId="7" borderId="1" xfId="0" applyNumberFormat="1" applyFont="1" applyFill="1" applyBorder="1" applyAlignment="1" applyProtection="1"/>
    <xf numFmtId="49" fontId="3" fillId="7" borderId="4" xfId="0" applyNumberFormat="1" applyFont="1" applyFill="1" applyBorder="1" applyAlignment="1" applyProtection="1"/>
    <xf numFmtId="0" fontId="3" fillId="7" borderId="4" xfId="0" applyFont="1" applyFill="1" applyBorder="1" applyAlignment="1" applyProtection="1"/>
    <xf numFmtId="0" fontId="3" fillId="7" borderId="3" xfId="0" applyFont="1" applyFill="1" applyBorder="1" applyAlignment="1" applyProtection="1"/>
    <xf numFmtId="0" fontId="0" fillId="7" borderId="3" xfId="0" applyFill="1" applyBorder="1" applyAlignment="1" applyProtection="1">
      <alignment horizontal="center"/>
    </xf>
    <xf numFmtId="0" fontId="0" fillId="7" borderId="1" xfId="0" applyFill="1" applyBorder="1" applyAlignment="1" applyProtection="1">
      <alignment horizontal="centerContinuous"/>
    </xf>
    <xf numFmtId="0" fontId="0" fillId="7" borderId="4" xfId="0" applyFill="1" applyBorder="1" applyAlignment="1" applyProtection="1">
      <alignment horizontal="centerContinuous"/>
    </xf>
    <xf numFmtId="0" fontId="0" fillId="7" borderId="3" xfId="0" applyFill="1" applyBorder="1" applyAlignment="1" applyProtection="1">
      <alignment horizontal="centerContinuous"/>
    </xf>
    <xf numFmtId="0" fontId="0" fillId="5" borderId="1" xfId="0" applyFill="1" applyBorder="1" applyAlignment="1" applyProtection="1">
      <alignment horizontal="centerContinuous"/>
    </xf>
    <xf numFmtId="0" fontId="0" fillId="5" borderId="4" xfId="0" applyFill="1" applyBorder="1" applyAlignment="1" applyProtection="1">
      <alignment horizontal="centerContinuous"/>
    </xf>
    <xf numFmtId="0" fontId="0" fillId="5" borderId="3" xfId="0" applyFill="1" applyBorder="1" applyAlignment="1" applyProtection="1">
      <alignment horizontal="centerContinuous"/>
    </xf>
    <xf numFmtId="0" fontId="0" fillId="5" borderId="2" xfId="0" applyFill="1" applyBorder="1" applyAlignment="1" applyProtection="1">
      <alignment horizontal="center"/>
    </xf>
    <xf numFmtId="0" fontId="3" fillId="7" borderId="5" xfId="0" applyFont="1" applyFill="1" applyBorder="1" applyAlignment="1" applyProtection="1">
      <alignment horizontal="center"/>
    </xf>
    <xf numFmtId="0" fontId="3" fillId="7" borderId="14" xfId="0" applyFont="1" applyFill="1" applyBorder="1" applyAlignment="1" applyProtection="1">
      <alignment horizontal="center"/>
    </xf>
    <xf numFmtId="0" fontId="3" fillId="7" borderId="8" xfId="0" applyFont="1" applyFill="1" applyBorder="1" applyAlignment="1" applyProtection="1">
      <alignment horizontal="center"/>
    </xf>
    <xf numFmtId="0" fontId="0" fillId="50" borderId="2" xfId="0" applyFill="1" applyBorder="1" applyAlignment="1" applyProtection="1">
      <alignment horizontal="center"/>
    </xf>
    <xf numFmtId="2" fontId="0" fillId="50" borderId="2" xfId="0" applyNumberFormat="1" applyFill="1" applyBorder="1" applyAlignment="1" applyProtection="1">
      <alignment horizontal="center"/>
    </xf>
    <xf numFmtId="165" fontId="0" fillId="50" borderId="2" xfId="0" applyNumberFormat="1" applyFill="1" applyBorder="1" applyAlignment="1" applyProtection="1">
      <alignment horizontal="center"/>
    </xf>
    <xf numFmtId="2" fontId="3" fillId="7" borderId="2" xfId="0" applyNumberFormat="1" applyFont="1" applyFill="1" applyBorder="1" applyAlignment="1" applyProtection="1">
      <alignment horizontal="center"/>
    </xf>
    <xf numFmtId="1" fontId="0" fillId="7" borderId="14" xfId="0" applyNumberFormat="1" applyFill="1" applyBorder="1" applyAlignment="1" applyProtection="1">
      <alignment horizontal="center"/>
    </xf>
    <xf numFmtId="2" fontId="0" fillId="7" borderId="14" xfId="0" applyNumberFormat="1" applyFill="1" applyBorder="1" applyAlignment="1" applyProtection="1">
      <alignment horizontal="center"/>
    </xf>
    <xf numFmtId="0" fontId="3" fillId="50" borderId="2" xfId="0" applyFont="1" applyFill="1" applyBorder="1" applyAlignment="1" applyProtection="1">
      <alignment horizontal="center"/>
    </xf>
    <xf numFmtId="2" fontId="3" fillId="50" borderId="2" xfId="0" applyNumberFormat="1" applyFont="1" applyFill="1" applyBorder="1" applyAlignment="1" applyProtection="1">
      <alignment horizontal="center"/>
    </xf>
    <xf numFmtId="165" fontId="3" fillId="50" borderId="2" xfId="0" applyNumberFormat="1" applyFont="1" applyFill="1" applyBorder="1" applyAlignment="1" applyProtection="1">
      <alignment horizontal="center"/>
    </xf>
    <xf numFmtId="1" fontId="0" fillId="7" borderId="2" xfId="0" applyNumberFormat="1" applyFill="1" applyBorder="1" applyAlignment="1" applyProtection="1">
      <alignment horizontal="center"/>
    </xf>
    <xf numFmtId="0" fontId="5" fillId="50" borderId="2" xfId="0" applyFont="1" applyFill="1" applyBorder="1" applyAlignment="1" applyProtection="1">
      <alignment horizontal="center"/>
    </xf>
    <xf numFmtId="0" fontId="0" fillId="7" borderId="1" xfId="0" applyFill="1" applyBorder="1" applyAlignment="1" applyProtection="1">
      <alignment horizontal="center"/>
    </xf>
    <xf numFmtId="0" fontId="0" fillId="7" borderId="4" xfId="0" applyFill="1" applyBorder="1" applyAlignment="1" applyProtection="1">
      <alignment horizontal="center"/>
    </xf>
    <xf numFmtId="0" fontId="0" fillId="5" borderId="1" xfId="0" applyFill="1" applyBorder="1" applyAlignment="1" applyProtection="1">
      <alignment horizontal="center"/>
    </xf>
    <xf numFmtId="0" fontId="0" fillId="5" borderId="4" xfId="0" applyFill="1" applyBorder="1" applyAlignment="1" applyProtection="1">
      <alignment horizontal="center"/>
    </xf>
    <xf numFmtId="0" fontId="0" fillId="5" borderId="3" xfId="0" applyFill="1" applyBorder="1" applyAlignment="1" applyProtection="1">
      <alignment horizontal="center"/>
    </xf>
    <xf numFmtId="1" fontId="0" fillId="7" borderId="8" xfId="0" applyNumberFormat="1" applyFill="1" applyBorder="1" applyAlignment="1" applyProtection="1">
      <alignment horizontal="center"/>
    </xf>
    <xf numFmtId="165" fontId="5" fillId="3" borderId="2" xfId="0" applyNumberFormat="1" applyFont="1" applyFill="1" applyBorder="1" applyAlignment="1" applyProtection="1">
      <alignment horizontal="center"/>
      <protection locked="0"/>
    </xf>
    <xf numFmtId="0" fontId="5" fillId="0" borderId="0" xfId="0" applyFont="1" applyAlignment="1" applyProtection="1"/>
    <xf numFmtId="168" fontId="5" fillId="0" borderId="0" xfId="37" applyNumberFormat="1" applyFill="1" applyBorder="1" applyAlignment="1" applyProtection="1">
      <alignment horizontal="center"/>
    </xf>
    <xf numFmtId="0" fontId="5" fillId="45" borderId="2" xfId="37" applyFill="1" applyBorder="1" applyAlignment="1" applyProtection="1">
      <alignment horizontal="center" vertical="center"/>
    </xf>
    <xf numFmtId="0" fontId="0" fillId="0" borderId="2" xfId="0" applyBorder="1" applyAlignment="1" applyProtection="1">
      <alignment horizontal="center"/>
    </xf>
    <xf numFmtId="0" fontId="5" fillId="0" borderId="0" xfId="0" applyFont="1" applyAlignment="1" applyProtection="1">
      <alignment horizontal="left"/>
    </xf>
    <xf numFmtId="0" fontId="3" fillId="8" borderId="5" xfId="0" applyFont="1" applyFill="1" applyBorder="1" applyAlignment="1" applyProtection="1">
      <alignment horizontal="center"/>
    </xf>
    <xf numFmtId="0" fontId="3" fillId="8" borderId="16" xfId="0" applyFont="1" applyFill="1" applyBorder="1" applyAlignment="1" applyProtection="1">
      <alignment horizontal="center"/>
    </xf>
    <xf numFmtId="0" fontId="3" fillId="8" borderId="14" xfId="0" applyFont="1" applyFill="1" applyBorder="1" applyAlignment="1" applyProtection="1">
      <alignment horizontal="center"/>
    </xf>
    <xf numFmtId="0" fontId="5" fillId="5" borderId="2" xfId="40" applyFill="1" applyBorder="1" applyAlignment="1" applyProtection="1">
      <alignment horizontal="center"/>
    </xf>
    <xf numFmtId="0" fontId="5" fillId="5" borderId="2" xfId="40" applyFont="1" applyFill="1" applyBorder="1" applyAlignment="1" applyProtection="1">
      <alignment horizontal="center"/>
    </xf>
    <xf numFmtId="0" fontId="3" fillId="8" borderId="8" xfId="0" applyFont="1" applyFill="1" applyBorder="1" applyAlignment="1" applyProtection="1">
      <alignment horizontal="center"/>
    </xf>
    <xf numFmtId="0" fontId="3" fillId="8" borderId="2" xfId="0" applyFont="1" applyFill="1" applyBorder="1" applyAlignment="1" applyProtection="1">
      <alignment horizontal="center"/>
    </xf>
    <xf numFmtId="14" fontId="3" fillId="4" borderId="2" xfId="0" applyNumberFormat="1" applyFont="1" applyFill="1" applyBorder="1" applyAlignment="1" applyProtection="1">
      <alignment horizontal="center"/>
    </xf>
    <xf numFmtId="166" fontId="3" fillId="4" borderId="2" xfId="0" applyNumberFormat="1" applyFont="1" applyFill="1" applyBorder="1" applyAlignment="1" applyProtection="1">
      <alignment horizontal="center"/>
    </xf>
    <xf numFmtId="165" fontId="5" fillId="5" borderId="2" xfId="40" applyNumberFormat="1" applyFill="1" applyBorder="1" applyAlignment="1" applyProtection="1">
      <alignment horizontal="center"/>
    </xf>
    <xf numFmtId="166" fontId="5" fillId="46" borderId="2" xfId="40" applyNumberFormat="1" applyFill="1" applyBorder="1" applyAlignment="1" applyProtection="1">
      <alignment horizontal="center"/>
    </xf>
    <xf numFmtId="166" fontId="5" fillId="46" borderId="2" xfId="40" applyNumberFormat="1" applyFont="1" applyFill="1" applyBorder="1" applyAlignment="1" applyProtection="1">
      <alignment horizontal="center"/>
    </xf>
    <xf numFmtId="0" fontId="3" fillId="4" borderId="14" xfId="0" applyFont="1" applyFill="1" applyBorder="1" applyAlignment="1" applyProtection="1">
      <alignment horizontal="center"/>
    </xf>
    <xf numFmtId="14" fontId="3" fillId="4" borderId="14" xfId="0" applyNumberFormat="1" applyFont="1" applyFill="1" applyBorder="1" applyAlignment="1" applyProtection="1">
      <alignment horizontal="center"/>
    </xf>
    <xf numFmtId="0" fontId="3" fillId="4" borderId="14" xfId="0" applyNumberFormat="1" applyFont="1" applyFill="1" applyBorder="1" applyAlignment="1" applyProtection="1">
      <alignment horizontal="center"/>
    </xf>
    <xf numFmtId="166" fontId="3" fillId="4" borderId="14" xfId="0" applyNumberFormat="1" applyFont="1" applyFill="1" applyBorder="1" applyAlignment="1" applyProtection="1">
      <alignment horizontal="center"/>
    </xf>
    <xf numFmtId="165" fontId="3" fillId="4" borderId="14" xfId="0" applyNumberFormat="1" applyFont="1" applyFill="1" applyBorder="1" applyAlignment="1" applyProtection="1">
      <alignment horizontal="center"/>
    </xf>
    <xf numFmtId="0" fontId="3" fillId="4" borderId="8" xfId="0" applyFont="1" applyFill="1" applyBorder="1" applyAlignment="1" applyProtection="1">
      <alignment horizontal="center"/>
    </xf>
    <xf numFmtId="0" fontId="3" fillId="4" borderId="8" xfId="0" applyNumberFormat="1" applyFont="1" applyFill="1" applyBorder="1" applyAlignment="1" applyProtection="1">
      <alignment horizontal="center"/>
    </xf>
    <xf numFmtId="166" fontId="3" fillId="4" borderId="8" xfId="0" applyNumberFormat="1" applyFont="1" applyFill="1" applyBorder="1" applyAlignment="1" applyProtection="1">
      <alignment horizontal="center"/>
    </xf>
    <xf numFmtId="165" fontId="3" fillId="4" borderId="8" xfId="0" applyNumberFormat="1" applyFont="1" applyFill="1" applyBorder="1" applyAlignment="1" applyProtection="1">
      <alignment horizontal="center"/>
    </xf>
    <xf numFmtId="0" fontId="0" fillId="46" borderId="4" xfId="0" applyFill="1" applyBorder="1" applyAlignment="1" applyProtection="1">
      <alignment horizontal="center"/>
    </xf>
    <xf numFmtId="0" fontId="3" fillId="4" borderId="2" xfId="0" applyNumberFormat="1" applyFont="1" applyFill="1" applyBorder="1" applyAlignment="1" applyProtection="1">
      <alignment horizontal="center"/>
    </xf>
    <xf numFmtId="0" fontId="0" fillId="0" borderId="6" xfId="0" applyFill="1" applyBorder="1" applyAlignment="1" applyProtection="1">
      <alignment horizontal="center"/>
    </xf>
    <xf numFmtId="0" fontId="3" fillId="0" borderId="6" xfId="0" applyFont="1" applyFill="1" applyBorder="1" applyAlignment="1" applyProtection="1">
      <alignment horizontal="center"/>
    </xf>
    <xf numFmtId="166" fontId="3" fillId="0" borderId="6" xfId="0" applyNumberFormat="1" applyFont="1" applyFill="1" applyBorder="1" applyAlignment="1" applyProtection="1">
      <alignment horizontal="center"/>
    </xf>
    <xf numFmtId="0" fontId="16" fillId="9" borderId="5" xfId="0" applyFont="1" applyFill="1" applyBorder="1" applyAlignment="1" applyProtection="1">
      <alignment horizontal="center"/>
    </xf>
    <xf numFmtId="0" fontId="16" fillId="9" borderId="8" xfId="0" applyFont="1" applyFill="1" applyBorder="1" applyAlignment="1" applyProtection="1">
      <alignment horizontal="center"/>
    </xf>
    <xf numFmtId="0" fontId="0" fillId="5" borderId="8" xfId="0" applyFill="1" applyBorder="1" applyAlignment="1" applyProtection="1">
      <alignment horizontal="center"/>
    </xf>
    <xf numFmtId="0" fontId="16" fillId="9" borderId="1" xfId="0" applyFont="1" applyFill="1" applyBorder="1" applyAlignment="1" applyProtection="1">
      <alignment horizontal="left"/>
    </xf>
    <xf numFmtId="0" fontId="16" fillId="9" borderId="4" xfId="0" applyFont="1" applyFill="1" applyBorder="1" applyAlignment="1" applyProtection="1">
      <alignment horizontal="left"/>
    </xf>
    <xf numFmtId="0" fontId="16" fillId="9" borderId="3" xfId="0" applyFont="1" applyFill="1" applyBorder="1" applyAlignment="1" applyProtection="1">
      <alignment horizontal="left"/>
    </xf>
    <xf numFmtId="0" fontId="0" fillId="10" borderId="2" xfId="0" applyFill="1" applyBorder="1" applyAlignment="1" applyProtection="1">
      <alignment horizontal="center"/>
    </xf>
    <xf numFmtId="0" fontId="0" fillId="10" borderId="2" xfId="0" applyFill="1" applyBorder="1" applyAlignment="1" applyProtection="1">
      <alignment horizontal="right"/>
    </xf>
    <xf numFmtId="0" fontId="0" fillId="10" borderId="5" xfId="0" applyFill="1" applyBorder="1" applyAlignment="1" applyProtection="1">
      <alignment horizontal="center"/>
    </xf>
    <xf numFmtId="0" fontId="0" fillId="10" borderId="5" xfId="0" applyFill="1" applyBorder="1" applyAlignment="1" applyProtection="1">
      <alignment horizontal="right"/>
    </xf>
    <xf numFmtId="0" fontId="0" fillId="0" borderId="1" xfId="0" applyBorder="1" applyAlignment="1" applyProtection="1">
      <alignment horizontal="center"/>
    </xf>
    <xf numFmtId="0" fontId="0" fillId="0" borderId="4" xfId="0" applyBorder="1" applyAlignment="1" applyProtection="1">
      <alignment horizontal="left"/>
    </xf>
    <xf numFmtId="0" fontId="0" fillId="0" borderId="3" xfId="0" applyBorder="1" applyAlignment="1" applyProtection="1">
      <alignment horizontal="right"/>
    </xf>
    <xf numFmtId="0" fontId="3" fillId="5" borderId="2" xfId="0" applyFont="1" applyFill="1" applyBorder="1" applyAlignment="1" applyProtection="1">
      <alignment horizontal="center"/>
    </xf>
    <xf numFmtId="0" fontId="0" fillId="0" borderId="0" xfId="0" applyAlignment="1" applyProtection="1">
      <alignment horizontal="right"/>
    </xf>
    <xf numFmtId="0" fontId="8" fillId="6" borderId="0" xfId="0" applyFont="1" applyFill="1" applyAlignment="1" applyProtection="1">
      <alignment horizontal="left"/>
    </xf>
    <xf numFmtId="0" fontId="6" fillId="6" borderId="0" xfId="0" applyFont="1" applyFill="1" applyProtection="1"/>
    <xf numFmtId="0" fontId="0" fillId="6" borderId="0" xfId="0" applyFill="1" applyProtection="1"/>
    <xf numFmtId="0" fontId="9" fillId="0" borderId="0" xfId="0" applyFont="1" applyAlignment="1" applyProtection="1">
      <alignment horizontal="left"/>
    </xf>
    <xf numFmtId="49" fontId="3" fillId="4" borderId="2" xfId="0" applyNumberFormat="1" applyFont="1" applyFill="1" applyBorder="1" applyProtection="1"/>
    <xf numFmtId="49" fontId="3" fillId="4" borderId="4" xfId="0" applyNumberFormat="1" applyFont="1" applyFill="1" applyBorder="1" applyProtection="1"/>
    <xf numFmtId="0" fontId="0" fillId="4" borderId="3" xfId="0" applyFill="1" applyBorder="1" applyProtection="1"/>
    <xf numFmtId="0" fontId="11" fillId="7" borderId="2" xfId="0" applyFont="1" applyFill="1" applyBorder="1" applyAlignment="1" applyProtection="1"/>
    <xf numFmtId="0" fontId="11" fillId="7" borderId="5" xfId="0" applyFont="1" applyFill="1" applyBorder="1" applyAlignment="1" applyProtection="1">
      <alignment wrapText="1"/>
    </xf>
    <xf numFmtId="166" fontId="3" fillId="7" borderId="5" xfId="0" applyNumberFormat="1" applyFont="1" applyFill="1" applyBorder="1" applyAlignment="1" applyProtection="1">
      <alignment horizontal="center"/>
    </xf>
    <xf numFmtId="0" fontId="5" fillId="0" borderId="18" xfId="0" applyFont="1" applyBorder="1" applyAlignment="1" applyProtection="1"/>
    <xf numFmtId="0" fontId="0" fillId="0" borderId="19" xfId="0" applyBorder="1" applyAlignment="1" applyProtection="1">
      <alignment horizontal="center"/>
    </xf>
    <xf numFmtId="168" fontId="3" fillId="7" borderId="20" xfId="0" applyNumberFormat="1" applyFont="1" applyFill="1" applyBorder="1" applyAlignment="1" applyProtection="1">
      <alignment horizontal="center"/>
    </xf>
    <xf numFmtId="166" fontId="3" fillId="7" borderId="20" xfId="0" applyNumberFormat="1" applyFont="1" applyFill="1" applyBorder="1" applyAlignment="1" applyProtection="1">
      <alignment horizontal="center"/>
    </xf>
    <xf numFmtId="167" fontId="5" fillId="0" borderId="0" xfId="0" applyNumberFormat="1" applyFont="1" applyFill="1" applyBorder="1" applyAlignment="1" applyProtection="1">
      <alignment horizontal="center" vertical="center"/>
    </xf>
    <xf numFmtId="0" fontId="11" fillId="7" borderId="5" xfId="0" applyFont="1" applyFill="1" applyBorder="1" applyAlignment="1" applyProtection="1"/>
    <xf numFmtId="0" fontId="8" fillId="0" borderId="0" xfId="0" applyFont="1" applyFill="1" applyAlignment="1" applyProtection="1">
      <alignment horizontal="left"/>
    </xf>
    <xf numFmtId="0" fontId="6" fillId="0" borderId="0" xfId="0" applyFont="1" applyFill="1" applyProtection="1"/>
    <xf numFmtId="0" fontId="0" fillId="0" borderId="0" xfId="0" applyBorder="1" applyProtection="1"/>
    <xf numFmtId="0" fontId="5" fillId="0" borderId="0" xfId="0" applyFont="1" applyBorder="1" applyProtection="1"/>
    <xf numFmtId="49" fontId="3" fillId="45" borderId="4" xfId="0" applyNumberFormat="1" applyFont="1" applyFill="1" applyBorder="1" applyProtection="1"/>
    <xf numFmtId="0" fontId="0" fillId="7" borderId="3" xfId="0" applyFill="1" applyBorder="1" applyProtection="1"/>
    <xf numFmtId="166" fontId="0" fillId="5" borderId="2" xfId="0" applyNumberFormat="1" applyFill="1" applyBorder="1" applyAlignment="1" applyProtection="1">
      <alignment horizontal="left"/>
    </xf>
    <xf numFmtId="49" fontId="5" fillId="46" borderId="8" xfId="0" applyNumberFormat="1" applyFont="1" applyFill="1" applyBorder="1" applyProtection="1"/>
    <xf numFmtId="164" fontId="0" fillId="46" borderId="2" xfId="0" applyNumberFormat="1" applyFill="1" applyBorder="1" applyAlignment="1" applyProtection="1">
      <alignment horizontal="left"/>
    </xf>
    <xf numFmtId="0" fontId="17" fillId="0" borderId="0" xfId="0" applyFont="1" applyProtection="1"/>
    <xf numFmtId="2" fontId="0" fillId="0" borderId="0" xfId="0" applyNumberFormat="1" applyAlignment="1" applyProtection="1">
      <alignment horizontal="center"/>
    </xf>
    <xf numFmtId="164" fontId="0" fillId="7" borderId="2" xfId="0" applyNumberFormat="1" applyFill="1" applyBorder="1" applyAlignment="1" applyProtection="1">
      <alignment horizontal="left"/>
    </xf>
    <xf numFmtId="0" fontId="0" fillId="7" borderId="1" xfId="0" applyFill="1" applyBorder="1" applyProtection="1"/>
    <xf numFmtId="0" fontId="0" fillId="7" borderId="4" xfId="0" applyFill="1" applyBorder="1" applyProtection="1"/>
    <xf numFmtId="0" fontId="3" fillId="0" borderId="0" xfId="0" applyFont="1" applyAlignment="1" applyProtection="1">
      <alignment horizontal="center"/>
    </xf>
    <xf numFmtId="164" fontId="122" fillId="45" borderId="2" xfId="0" applyNumberFormat="1" applyFont="1" applyFill="1" applyBorder="1" applyAlignment="1" applyProtection="1">
      <alignment horizontal="left"/>
    </xf>
    <xf numFmtId="164" fontId="0" fillId="45" borderId="2" xfId="0" applyNumberFormat="1" applyFill="1" applyBorder="1" applyAlignment="1" applyProtection="1">
      <alignment horizontal="left"/>
    </xf>
    <xf numFmtId="164" fontId="4" fillId="7" borderId="2" xfId="0" applyNumberFormat="1" applyFont="1" applyFill="1" applyBorder="1" applyAlignment="1" applyProtection="1">
      <alignment horizontal="center"/>
    </xf>
    <xf numFmtId="2" fontId="4" fillId="7" borderId="2" xfId="0" applyNumberFormat="1" applyFont="1" applyFill="1" applyBorder="1" applyAlignment="1" applyProtection="1">
      <alignment horizontal="center"/>
    </xf>
    <xf numFmtId="0" fontId="5" fillId="0" borderId="0" xfId="0" applyFont="1" applyAlignment="1" applyProtection="1">
      <alignment horizontal="right"/>
    </xf>
    <xf numFmtId="2" fontId="0" fillId="0" borderId="0" xfId="0" applyNumberFormat="1" applyProtection="1"/>
    <xf numFmtId="166" fontId="122" fillId="45" borderId="2" xfId="0" applyNumberFormat="1" applyFont="1" applyFill="1" applyBorder="1" applyAlignment="1" applyProtection="1">
      <alignment horizontal="left"/>
    </xf>
    <xf numFmtId="164" fontId="4" fillId="7" borderId="2" xfId="0" applyNumberFormat="1" applyFont="1" applyFill="1" applyBorder="1" applyAlignment="1" applyProtection="1">
      <alignment horizontal="left"/>
    </xf>
    <xf numFmtId="0" fontId="122" fillId="44" borderId="2" xfId="0" applyFont="1" applyFill="1" applyBorder="1" applyProtection="1">
      <protection locked="0"/>
    </xf>
    <xf numFmtId="0" fontId="122" fillId="44" borderId="2" xfId="0" applyFont="1" applyFill="1" applyBorder="1" applyAlignment="1" applyProtection="1">
      <alignment horizontal="center"/>
      <protection locked="0"/>
    </xf>
    <xf numFmtId="0" fontId="126" fillId="44" borderId="2" xfId="0" applyFont="1" applyFill="1" applyBorder="1" applyAlignment="1" applyProtection="1">
      <alignment horizontal="center" vertical="center"/>
      <protection locked="0"/>
    </xf>
    <xf numFmtId="0" fontId="0" fillId="0" borderId="0" xfId="0" applyFont="1" applyAlignment="1" applyProtection="1">
      <alignment horizontal="center"/>
    </xf>
    <xf numFmtId="166" fontId="0" fillId="0" borderId="0" xfId="0" applyNumberFormat="1" applyProtection="1"/>
    <xf numFmtId="0" fontId="5" fillId="0" borderId="2" xfId="0" applyFont="1" applyBorder="1" applyProtection="1"/>
    <xf numFmtId="0" fontId="5" fillId="0" borderId="0" xfId="0" quotePrefix="1" applyFont="1" applyProtection="1"/>
    <xf numFmtId="0" fontId="5" fillId="0" borderId="2" xfId="0" applyFont="1" applyBorder="1" applyAlignment="1" applyProtection="1">
      <alignment horizontal="center"/>
    </xf>
    <xf numFmtId="0" fontId="10" fillId="0" borderId="0" xfId="0" applyFont="1" applyFill="1" applyAlignment="1" applyProtection="1">
      <alignment horizontal="left"/>
    </xf>
    <xf numFmtId="0" fontId="4" fillId="7" borderId="2" xfId="0" applyFont="1" applyFill="1" applyBorder="1" applyAlignment="1" applyProtection="1">
      <alignment horizontal="center"/>
    </xf>
    <xf numFmtId="0" fontId="4" fillId="7" borderId="5" xfId="0" applyFont="1" applyFill="1" applyBorder="1" applyAlignment="1" applyProtection="1">
      <alignment horizontal="center"/>
    </xf>
    <xf numFmtId="2" fontId="0" fillId="45" borderId="2" xfId="0" applyNumberFormat="1" applyFill="1" applyBorder="1" applyAlignment="1" applyProtection="1">
      <alignment horizontal="center"/>
    </xf>
    <xf numFmtId="168" fontId="0" fillId="45" borderId="2" xfId="0" applyNumberFormat="1" applyFill="1" applyBorder="1" applyAlignment="1" applyProtection="1">
      <alignment horizontal="center"/>
    </xf>
    <xf numFmtId="49" fontId="103" fillId="44" borderId="2" xfId="0" applyNumberFormat="1" applyFont="1" applyFill="1" applyBorder="1" applyProtection="1">
      <protection locked="0"/>
    </xf>
    <xf numFmtId="49" fontId="103" fillId="44" borderId="2" xfId="0" applyNumberFormat="1" applyFont="1" applyFill="1" applyBorder="1" applyAlignment="1" applyProtection="1">
      <alignment horizontal="left"/>
      <protection locked="0"/>
    </xf>
    <xf numFmtId="0" fontId="103" fillId="44" borderId="2" xfId="0" applyNumberFormat="1" applyFont="1" applyFill="1" applyBorder="1" applyAlignment="1" applyProtection="1">
      <alignment horizontal="left"/>
      <protection locked="0"/>
    </xf>
    <xf numFmtId="0" fontId="0" fillId="44" borderId="2" xfId="0" applyNumberFormat="1" applyFill="1" applyBorder="1" applyProtection="1">
      <protection locked="0"/>
    </xf>
    <xf numFmtId="0" fontId="5" fillId="44" borderId="2" xfId="0" applyNumberFormat="1" applyFont="1" applyFill="1" applyBorder="1" applyProtection="1">
      <protection locked="0"/>
    </xf>
    <xf numFmtId="0" fontId="5" fillId="44" borderId="5" xfId="0" applyNumberFormat="1" applyFont="1" applyFill="1" applyBorder="1" applyProtection="1">
      <protection locked="0"/>
    </xf>
    <xf numFmtId="0" fontId="0" fillId="44" borderId="11" xfId="0" applyNumberFormat="1" applyFill="1" applyBorder="1" applyProtection="1">
      <protection locked="0"/>
    </xf>
    <xf numFmtId="0" fontId="0" fillId="44" borderId="14" xfId="0" applyNumberFormat="1" applyFill="1" applyBorder="1" applyProtection="1">
      <protection locked="0"/>
    </xf>
    <xf numFmtId="0" fontId="0" fillId="44" borderId="0" xfId="0" applyNumberFormat="1" applyFill="1" applyBorder="1" applyProtection="1">
      <protection locked="0"/>
    </xf>
    <xf numFmtId="0" fontId="0" fillId="44" borderId="8" xfId="0" applyNumberFormat="1" applyFill="1" applyBorder="1" applyProtection="1">
      <protection locked="0"/>
    </xf>
    <xf numFmtId="0" fontId="0" fillId="44" borderId="10" xfId="0" applyNumberFormat="1" applyFill="1" applyBorder="1" applyProtection="1">
      <protection locked="0"/>
    </xf>
    <xf numFmtId="0" fontId="5" fillId="44" borderId="13" xfId="0" applyNumberFormat="1" applyFont="1" applyFill="1" applyBorder="1" applyProtection="1">
      <protection locked="0"/>
    </xf>
    <xf numFmtId="0" fontId="0" fillId="44" borderId="12" xfId="0" applyNumberFormat="1" applyFill="1" applyBorder="1" applyProtection="1">
      <protection locked="0"/>
    </xf>
    <xf numFmtId="0" fontId="0" fillId="44" borderId="7" xfId="0" applyNumberFormat="1" applyFill="1" applyBorder="1" applyProtection="1">
      <protection locked="0"/>
    </xf>
    <xf numFmtId="0" fontId="0" fillId="44" borderId="13" xfId="0" applyNumberFormat="1" applyFill="1" applyBorder="1" applyProtection="1">
      <protection locked="0"/>
    </xf>
    <xf numFmtId="2" fontId="5" fillId="46" borderId="14" xfId="0" applyNumberFormat="1" applyFont="1" applyFill="1" applyBorder="1" applyAlignment="1">
      <alignment horizontal="center"/>
    </xf>
    <xf numFmtId="2" fontId="5" fillId="46" borderId="8" xfId="0" applyNumberFormat="1" applyFont="1" applyFill="1" applyBorder="1" applyAlignment="1">
      <alignment horizontal="center"/>
    </xf>
    <xf numFmtId="168" fontId="3" fillId="45" borderId="2" xfId="0" applyNumberFormat="1" applyFont="1" applyFill="1" applyBorder="1" applyAlignment="1" applyProtection="1">
      <alignment horizontal="center"/>
    </xf>
    <xf numFmtId="165" fontId="0" fillId="0" borderId="0" xfId="0" applyNumberFormat="1" applyProtection="1"/>
    <xf numFmtId="165" fontId="5" fillId="50" borderId="2" xfId="0" applyNumberFormat="1" applyFont="1" applyFill="1" applyBorder="1" applyAlignment="1" applyProtection="1">
      <alignment horizontal="center"/>
    </xf>
    <xf numFmtId="0" fontId="5" fillId="7" borderId="1" xfId="0" applyFont="1" applyFill="1" applyBorder="1" applyAlignment="1" applyProtection="1">
      <alignment horizontal="centerContinuous"/>
    </xf>
    <xf numFmtId="49" fontId="0" fillId="7" borderId="14" xfId="0" applyNumberFormat="1" applyFill="1" applyBorder="1" applyAlignment="1" applyProtection="1">
      <alignment horizontal="center"/>
    </xf>
    <xf numFmtId="49" fontId="5" fillId="7" borderId="14" xfId="0" applyNumberFormat="1" applyFont="1" applyFill="1" applyBorder="1" applyAlignment="1" applyProtection="1">
      <alignment horizontal="center"/>
    </xf>
    <xf numFmtId="0" fontId="5" fillId="7" borderId="14" xfId="0" applyNumberFormat="1" applyFont="1" applyFill="1" applyBorder="1" applyAlignment="1" applyProtection="1">
      <alignment horizontal="center"/>
    </xf>
    <xf numFmtId="49" fontId="5" fillId="45" borderId="8" xfId="0" applyNumberFormat="1" applyFont="1" applyFill="1" applyBorder="1" applyAlignment="1" applyProtection="1">
      <alignment horizontal="center"/>
    </xf>
    <xf numFmtId="49" fontId="0" fillId="7" borderId="8" xfId="0" applyNumberFormat="1" applyFill="1" applyBorder="1" applyAlignment="1" applyProtection="1">
      <alignment horizontal="center"/>
    </xf>
    <xf numFmtId="0" fontId="4" fillId="0" borderId="6" xfId="0" applyFont="1" applyFill="1" applyBorder="1" applyAlignment="1" applyProtection="1"/>
    <xf numFmtId="0" fontId="0" fillId="46" borderId="4" xfId="0" applyFill="1" applyBorder="1" applyAlignment="1" applyProtection="1"/>
    <xf numFmtId="0" fontId="3" fillId="8" borderId="5" xfId="0" applyFont="1" applyFill="1" applyBorder="1" applyAlignment="1" applyProtection="1"/>
    <xf numFmtId="0" fontId="3" fillId="8" borderId="16" xfId="0" applyFont="1" applyFill="1" applyBorder="1" applyAlignment="1" applyProtection="1"/>
    <xf numFmtId="0" fontId="3" fillId="8" borderId="14" xfId="0" applyFont="1" applyFill="1" applyBorder="1" applyAlignment="1" applyProtection="1"/>
    <xf numFmtId="0" fontId="3" fillId="8" borderId="8" xfId="0" applyFont="1" applyFill="1" applyBorder="1" applyAlignment="1" applyProtection="1"/>
    <xf numFmtId="0" fontId="3" fillId="8" borderId="2" xfId="0" applyFont="1" applyFill="1" applyBorder="1" applyAlignment="1" applyProtection="1"/>
    <xf numFmtId="0" fontId="3" fillId="4" borderId="2" xfId="0" applyNumberFormat="1" applyFont="1" applyFill="1" applyBorder="1" applyAlignment="1" applyProtection="1"/>
    <xf numFmtId="14" fontId="3" fillId="4" borderId="2" xfId="0" applyNumberFormat="1" applyFont="1" applyFill="1" applyBorder="1" applyAlignment="1" applyProtection="1"/>
    <xf numFmtId="0" fontId="5" fillId="46" borderId="1" xfId="0" applyFont="1" applyFill="1" applyBorder="1" applyAlignment="1" applyProtection="1"/>
    <xf numFmtId="0" fontId="3" fillId="8" borderId="13" xfId="0" applyFont="1" applyFill="1" applyBorder="1" applyAlignment="1" applyProtection="1"/>
    <xf numFmtId="0" fontId="3" fillId="8" borderId="9" xfId="0" applyFont="1" applyFill="1" applyBorder="1" applyAlignment="1" applyProtection="1"/>
    <xf numFmtId="0" fontId="3" fillId="8" borderId="7" xfId="0" applyFont="1" applyFill="1" applyBorder="1" applyAlignment="1" applyProtection="1"/>
    <xf numFmtId="0" fontId="3" fillId="4" borderId="16" xfId="0" applyNumberFormat="1" applyFont="1" applyFill="1" applyBorder="1" applyAlignment="1" applyProtection="1"/>
    <xf numFmtId="14" fontId="3" fillId="4" borderId="13" xfId="0" applyNumberFormat="1" applyFont="1" applyFill="1" applyBorder="1" applyAlignment="1" applyProtection="1"/>
    <xf numFmtId="0" fontId="3" fillId="4" borderId="6" xfId="0" applyNumberFormat="1" applyFont="1" applyFill="1" applyBorder="1" applyAlignment="1" applyProtection="1"/>
    <xf numFmtId="14" fontId="3" fillId="4" borderId="12" xfId="0" applyNumberFormat="1" applyFont="1" applyFill="1" applyBorder="1" applyAlignment="1" applyProtection="1"/>
    <xf numFmtId="0" fontId="3" fillId="4" borderId="12" xfId="0" applyFont="1" applyFill="1" applyBorder="1" applyAlignment="1" applyProtection="1"/>
    <xf numFmtId="0" fontId="3" fillId="4" borderId="9" xfId="0" applyNumberFormat="1" applyFont="1" applyFill="1" applyBorder="1" applyAlignment="1" applyProtection="1"/>
    <xf numFmtId="0" fontId="3" fillId="4" borderId="7" xfId="0" applyFont="1" applyFill="1" applyBorder="1" applyAlignment="1" applyProtection="1"/>
    <xf numFmtId="0" fontId="3" fillId="8" borderId="9" xfId="0" applyFont="1" applyFill="1" applyBorder="1" applyAlignment="1" applyProtection="1">
      <alignment horizontal="center"/>
    </xf>
    <xf numFmtId="166" fontId="3" fillId="4" borderId="1" xfId="0" applyNumberFormat="1" applyFont="1" applyFill="1" applyBorder="1" applyAlignment="1" applyProtection="1">
      <alignment horizontal="center"/>
    </xf>
    <xf numFmtId="166" fontId="3" fillId="4" borderId="6" xfId="0" applyNumberFormat="1" applyFont="1" applyFill="1" applyBorder="1" applyAlignment="1" applyProtection="1">
      <alignment horizontal="center"/>
    </xf>
    <xf numFmtId="0" fontId="3" fillId="8" borderId="6" xfId="0" applyFont="1" applyFill="1" applyBorder="1" applyAlignment="1" applyProtection="1"/>
    <xf numFmtId="0" fontId="3" fillId="8" borderId="12" xfId="0" applyFont="1" applyFill="1" applyBorder="1" applyAlignment="1" applyProtection="1"/>
    <xf numFmtId="0" fontId="4" fillId="8" borderId="16" xfId="0" applyFont="1" applyFill="1" applyBorder="1" applyAlignment="1" applyProtection="1"/>
    <xf numFmtId="0" fontId="3" fillId="8" borderId="6" xfId="0" applyFont="1" applyFill="1" applyBorder="1" applyAlignment="1" applyProtection="1">
      <alignment horizontal="center"/>
    </xf>
    <xf numFmtId="2" fontId="5" fillId="50" borderId="2" xfId="0" applyNumberFormat="1" applyFont="1" applyFill="1" applyBorder="1" applyAlignment="1" applyProtection="1">
      <alignment horizontal="center"/>
    </xf>
    <xf numFmtId="0" fontId="5" fillId="0" borderId="0" xfId="0" applyFont="1" applyAlignment="1">
      <alignment horizontal="left"/>
    </xf>
    <xf numFmtId="2" fontId="5" fillId="45" borderId="2" xfId="0" applyNumberFormat="1" applyFont="1" applyFill="1" applyBorder="1" applyAlignment="1" applyProtection="1">
      <alignment horizontal="center"/>
    </xf>
    <xf numFmtId="0" fontId="105" fillId="0" borderId="0" xfId="0" applyFont="1" applyAlignment="1">
      <alignment horizontal="left" vertical="top" wrapText="1"/>
    </xf>
    <xf numFmtId="0" fontId="105" fillId="0" borderId="0" xfId="0" applyFont="1" applyAlignment="1">
      <alignment horizontal="left" vertical="center" wrapText="1"/>
    </xf>
    <xf numFmtId="49" fontId="103" fillId="44" borderId="2" xfId="37" applyNumberFormat="1" applyFont="1" applyFill="1" applyBorder="1" applyProtection="1">
      <protection locked="0"/>
    </xf>
    <xf numFmtId="49" fontId="103" fillId="44" borderId="5" xfId="37" applyNumberFormat="1" applyFont="1" applyFill="1" applyBorder="1" applyProtection="1">
      <protection locked="0"/>
    </xf>
    <xf numFmtId="49" fontId="103" fillId="44" borderId="8" xfId="37" applyNumberFormat="1" applyFont="1" applyFill="1" applyBorder="1" applyProtection="1">
      <protection locked="0"/>
    </xf>
    <xf numFmtId="49" fontId="103" fillId="44" borderId="2" xfId="37" applyNumberFormat="1" applyFont="1" applyFill="1" applyBorder="1" applyProtection="1">
      <protection locked="0"/>
    </xf>
    <xf numFmtId="49" fontId="103" fillId="44" borderId="2" xfId="37" applyNumberFormat="1" applyFont="1" applyFill="1" applyBorder="1" applyAlignment="1" applyProtection="1">
      <alignment horizontal="left"/>
      <protection locked="0"/>
    </xf>
    <xf numFmtId="0" fontId="32" fillId="0" borderId="0" xfId="37" applyFont="1"/>
    <xf numFmtId="0" fontId="5" fillId="44" borderId="2" xfId="37" applyFill="1" applyBorder="1" applyAlignment="1" applyProtection="1">
      <alignment horizontal="center" vertical="center"/>
      <protection locked="0"/>
    </xf>
    <xf numFmtId="0" fontId="104" fillId="0" borderId="0" xfId="37" applyNumberFormat="1" applyFont="1" applyAlignment="1">
      <alignment horizontal="left"/>
    </xf>
    <xf numFmtId="0" fontId="5" fillId="0" borderId="0" xfId="37"/>
    <xf numFmtId="0" fontId="111" fillId="0" borderId="0" xfId="37" applyFont="1" applyBorder="1"/>
    <xf numFmtId="0" fontId="117" fillId="0" borderId="0" xfId="37" applyFont="1" applyBorder="1"/>
    <xf numFmtId="49" fontId="111" fillId="0" borderId="0" xfId="37" applyNumberFormat="1" applyFont="1" applyBorder="1"/>
    <xf numFmtId="0" fontId="111" fillId="0" borderId="0" xfId="37" applyFont="1" applyBorder="1" applyAlignment="1">
      <alignment horizontal="right"/>
    </xf>
    <xf numFmtId="0" fontId="32" fillId="0" borderId="0" xfId="37" applyFont="1" applyAlignment="1">
      <alignment horizontal="right"/>
    </xf>
    <xf numFmtId="0" fontId="32" fillId="0" borderId="0" xfId="37" applyNumberFormat="1" applyFont="1"/>
    <xf numFmtId="0" fontId="33" fillId="0" borderId="0" xfId="37" applyNumberFormat="1" applyFont="1"/>
    <xf numFmtId="0" fontId="33" fillId="0" borderId="0" xfId="37" applyFont="1"/>
    <xf numFmtId="0" fontId="32" fillId="0" borderId="0" xfId="37" applyNumberFormat="1" applyFont="1" applyAlignment="1">
      <alignment vertical="top"/>
    </xf>
    <xf numFmtId="0" fontId="29" fillId="0" borderId="0" xfId="37" applyNumberFormat="1" applyFont="1" applyAlignment="1">
      <alignment horizontal="left" vertical="top"/>
    </xf>
    <xf numFmtId="0" fontId="32" fillId="0" borderId="0" xfId="37" applyFont="1" applyAlignment="1">
      <alignment horizontal="justify" vertical="top"/>
    </xf>
    <xf numFmtId="0" fontId="29" fillId="0" borderId="0" xfId="37" applyNumberFormat="1" applyFont="1" applyAlignment="1">
      <alignment vertical="top"/>
    </xf>
    <xf numFmtId="0" fontId="29" fillId="0" borderId="0" xfId="37" applyFont="1" applyAlignment="1">
      <alignment vertical="top"/>
    </xf>
    <xf numFmtId="0" fontId="105" fillId="0" borderId="0" xfId="37" applyFont="1" applyBorder="1" applyAlignment="1">
      <alignment horizontal="right"/>
    </xf>
    <xf numFmtId="0" fontId="32" fillId="0" borderId="0" xfId="37" applyFont="1" applyAlignment="1">
      <alignment vertical="center"/>
    </xf>
    <xf numFmtId="0" fontId="32" fillId="0" borderId="0" xfId="37" applyNumberFormat="1" applyFont="1" applyAlignment="1">
      <alignment vertical="center"/>
    </xf>
    <xf numFmtId="168" fontId="5" fillId="42" borderId="15" xfId="0" applyNumberFormat="1" applyFont="1" applyFill="1" applyBorder="1" applyAlignment="1" applyProtection="1">
      <alignment horizontal="center" vertical="center"/>
    </xf>
    <xf numFmtId="165" fontId="5" fillId="42" borderId="15" xfId="0" applyNumberFormat="1" applyFont="1" applyFill="1" applyBorder="1" applyAlignment="1" applyProtection="1">
      <alignment horizontal="center" vertical="center"/>
    </xf>
    <xf numFmtId="0" fontId="5" fillId="44" borderId="2" xfId="0" applyFont="1" applyFill="1" applyBorder="1" applyAlignment="1" applyProtection="1">
      <alignment horizontal="center"/>
      <protection locked="0"/>
    </xf>
    <xf numFmtId="49" fontId="5" fillId="0" borderId="0" xfId="0" applyNumberFormat="1" applyFont="1" applyFill="1" applyBorder="1" applyAlignment="1" applyProtection="1">
      <alignment horizontal="center"/>
    </xf>
    <xf numFmtId="0" fontId="0" fillId="0" borderId="0" xfId="0" applyNumberFormat="1" applyFill="1" applyBorder="1" applyAlignment="1" applyProtection="1"/>
    <xf numFmtId="165" fontId="5" fillId="0" borderId="5" xfId="0" applyNumberFormat="1" applyFont="1" applyFill="1" applyBorder="1" applyAlignment="1" applyProtection="1">
      <alignment horizontal="center"/>
    </xf>
    <xf numFmtId="0" fontId="5" fillId="45" borderId="1" xfId="0" applyFont="1" applyFill="1" applyBorder="1" applyAlignment="1" applyProtection="1">
      <alignment horizontal="center"/>
    </xf>
    <xf numFmtId="165" fontId="5" fillId="45" borderId="3" xfId="0" applyNumberFormat="1" applyFont="1" applyFill="1" applyBorder="1" applyAlignment="1" applyProtection="1">
      <alignment horizontal="center"/>
    </xf>
    <xf numFmtId="0" fontId="82" fillId="45" borderId="2" xfId="0" applyFont="1" applyFill="1" applyBorder="1" applyAlignment="1" applyProtection="1">
      <alignment horizontal="center" vertical="center"/>
    </xf>
    <xf numFmtId="2" fontId="3" fillId="45" borderId="4" xfId="0" applyNumberFormat="1" applyFont="1" applyFill="1" applyBorder="1" applyAlignment="1" applyProtection="1">
      <alignment horizontal="center"/>
    </xf>
    <xf numFmtId="2" fontId="3" fillId="45" borderId="2" xfId="0" applyNumberFormat="1" applyFont="1" applyFill="1" applyBorder="1" applyAlignment="1" applyProtection="1">
      <alignment horizontal="center"/>
    </xf>
    <xf numFmtId="172" fontId="5" fillId="44" borderId="2" xfId="0" applyNumberFormat="1" applyFont="1" applyFill="1" applyBorder="1" applyAlignment="1" applyProtection="1">
      <alignment horizontal="center"/>
      <protection locked="0"/>
    </xf>
    <xf numFmtId="2" fontId="5" fillId="44" borderId="2" xfId="37" applyNumberFormat="1" applyFill="1" applyBorder="1" applyAlignment="1" applyProtection="1">
      <alignment horizontal="center"/>
      <protection locked="0"/>
    </xf>
    <xf numFmtId="2" fontId="0" fillId="44" borderId="2" xfId="0" applyNumberFormat="1" applyFill="1" applyBorder="1" applyAlignment="1" applyProtection="1">
      <alignment horizontal="center"/>
      <protection locked="0"/>
    </xf>
    <xf numFmtId="0" fontId="5" fillId="45" borderId="2" xfId="37" applyFont="1" applyFill="1" applyBorder="1" applyAlignment="1" applyProtection="1">
      <alignment horizontal="center"/>
    </xf>
    <xf numFmtId="2" fontId="5" fillId="44" borderId="2" xfId="37" applyNumberFormat="1" applyFill="1" applyBorder="1" applyAlignment="1" applyProtection="1">
      <alignment horizontal="center" vertical="center"/>
      <protection locked="0"/>
    </xf>
    <xf numFmtId="2" fontId="0" fillId="44" borderId="2" xfId="0" applyNumberFormat="1" applyFill="1" applyBorder="1" applyAlignment="1" applyProtection="1">
      <alignment horizontal="center" vertical="center"/>
      <protection locked="0"/>
    </xf>
    <xf numFmtId="2" fontId="5" fillId="44" borderId="2" xfId="0" applyNumberFormat="1" applyFont="1" applyFill="1" applyBorder="1" applyAlignment="1" applyProtection="1">
      <alignment horizontal="center" vertical="center"/>
      <protection locked="0"/>
    </xf>
    <xf numFmtId="2" fontId="3" fillId="46" borderId="5" xfId="0" applyNumberFormat="1" applyFont="1" applyFill="1" applyBorder="1" applyAlignment="1" applyProtection="1">
      <alignment horizontal="center"/>
    </xf>
    <xf numFmtId="2" fontId="3" fillId="46" borderId="14" xfId="0" applyNumberFormat="1" applyFont="1" applyFill="1" applyBorder="1" applyAlignment="1" applyProtection="1">
      <alignment horizontal="center"/>
    </xf>
    <xf numFmtId="2" fontId="3" fillId="46" borderId="8" xfId="0" applyNumberFormat="1" applyFont="1" applyFill="1" applyBorder="1" applyAlignment="1" applyProtection="1">
      <alignment horizontal="center"/>
    </xf>
    <xf numFmtId="0" fontId="0" fillId="0" borderId="11" xfId="0" applyNumberFormat="1" applyFill="1" applyBorder="1" applyProtection="1">
      <protection locked="0"/>
    </xf>
    <xf numFmtId="0" fontId="0" fillId="0" borderId="14" xfId="0" applyNumberFormat="1" applyFill="1" applyBorder="1" applyProtection="1">
      <protection locked="0"/>
    </xf>
    <xf numFmtId="0" fontId="0" fillId="0" borderId="0" xfId="0" applyNumberFormat="1" applyFill="1" applyBorder="1" applyProtection="1">
      <protection locked="0"/>
    </xf>
    <xf numFmtId="0" fontId="0" fillId="0" borderId="8" xfId="0" applyNumberFormat="1" applyFill="1" applyBorder="1" applyProtection="1">
      <protection locked="0"/>
    </xf>
    <xf numFmtId="0" fontId="0" fillId="0" borderId="10" xfId="0" applyNumberFormat="1" applyFill="1" applyBorder="1" applyProtection="1">
      <protection locked="0"/>
    </xf>
    <xf numFmtId="0" fontId="5" fillId="0" borderId="5" xfId="0" applyNumberFormat="1" applyFont="1" applyFill="1" applyBorder="1" applyProtection="1">
      <protection locked="0"/>
    </xf>
    <xf numFmtId="0" fontId="5" fillId="0" borderId="13" xfId="0" applyNumberFormat="1" applyFont="1" applyFill="1" applyBorder="1" applyProtection="1">
      <protection locked="0"/>
    </xf>
    <xf numFmtId="0" fontId="5" fillId="0" borderId="13" xfId="0" applyNumberFormat="1" applyFont="1" applyFill="1" applyBorder="1"/>
    <xf numFmtId="49" fontId="103" fillId="0" borderId="0" xfId="0" applyNumberFormat="1" applyFont="1" applyBorder="1"/>
    <xf numFmtId="49" fontId="103" fillId="0" borderId="0" xfId="0" applyNumberFormat="1" applyFont="1" applyBorder="1" applyAlignment="1">
      <alignment vertical="top"/>
    </xf>
    <xf numFmtId="0" fontId="32" fillId="0" borderId="0" xfId="0" applyNumberFormat="1" applyFont="1" applyBorder="1" applyAlignment="1">
      <alignment horizontal="left" vertical="top" wrapText="1"/>
    </xf>
    <xf numFmtId="49" fontId="103" fillId="0" borderId="5" xfId="0" applyNumberFormat="1" applyFont="1" applyFill="1" applyBorder="1" applyAlignment="1">
      <alignment vertical="top"/>
    </xf>
    <xf numFmtId="49" fontId="103" fillId="0" borderId="14" xfId="0" applyNumberFormat="1" applyFont="1" applyFill="1" applyBorder="1" applyAlignment="1">
      <alignment vertical="top"/>
    </xf>
    <xf numFmtId="49" fontId="103" fillId="0" borderId="8" xfId="0" applyNumberFormat="1" applyFont="1" applyFill="1" applyBorder="1" applyAlignment="1">
      <alignment vertical="top"/>
    </xf>
    <xf numFmtId="0" fontId="0" fillId="0" borderId="0" xfId="0" applyNumberFormat="1" applyFill="1"/>
    <xf numFmtId="0" fontId="32" fillId="0" borderId="0" xfId="0" applyNumberFormat="1" applyFont="1" applyFill="1" applyBorder="1" applyAlignment="1">
      <alignment vertical="top" wrapText="1"/>
    </xf>
    <xf numFmtId="49" fontId="103" fillId="0" borderId="0" xfId="0" applyNumberFormat="1" applyFont="1" applyFill="1"/>
    <xf numFmtId="0" fontId="0" fillId="0" borderId="2" xfId="0" applyBorder="1" applyAlignment="1" applyProtection="1">
      <alignment horizontal="center"/>
      <protection locked="0"/>
    </xf>
    <xf numFmtId="0" fontId="3" fillId="4" borderId="5" xfId="0" applyNumberFormat="1" applyFont="1" applyFill="1" applyBorder="1" applyAlignment="1" applyProtection="1"/>
    <xf numFmtId="0" fontId="3" fillId="4" borderId="14" xfId="0" applyNumberFormat="1" applyFont="1" applyFill="1" applyBorder="1" applyAlignment="1" applyProtection="1"/>
    <xf numFmtId="0" fontId="3" fillId="4" borderId="8" xfId="0" applyNumberFormat="1" applyFont="1" applyFill="1" applyBorder="1" applyAlignment="1" applyProtection="1"/>
    <xf numFmtId="0" fontId="5" fillId="0" borderId="2" xfId="0" applyFont="1" applyFill="1" applyBorder="1"/>
    <xf numFmtId="0" fontId="5" fillId="44" borderId="2" xfId="0" applyNumberFormat="1" applyFont="1" applyFill="1" applyBorder="1" applyAlignment="1" applyProtection="1">
      <alignment horizontal="left"/>
      <protection locked="0"/>
    </xf>
    <xf numFmtId="165" fontId="3" fillId="46" borderId="14" xfId="0" applyNumberFormat="1" applyFont="1" applyFill="1" applyBorder="1" applyAlignment="1" applyProtection="1">
      <alignment horizontal="center"/>
    </xf>
    <xf numFmtId="173" fontId="3" fillId="4" borderId="6" xfId="0" applyNumberFormat="1" applyFont="1" applyFill="1" applyBorder="1" applyAlignment="1" applyProtection="1">
      <alignment horizontal="center"/>
    </xf>
    <xf numFmtId="0" fontId="5" fillId="7" borderId="2" xfId="37" quotePrefix="1" applyFill="1" applyBorder="1" applyAlignment="1" applyProtection="1">
      <alignment horizontal="center"/>
    </xf>
    <xf numFmtId="49" fontId="5" fillId="7" borderId="2" xfId="37" quotePrefix="1" applyNumberFormat="1" applyFill="1" applyBorder="1" applyAlignment="1" applyProtection="1">
      <alignment horizontal="center"/>
    </xf>
    <xf numFmtId="49" fontId="32" fillId="0" borderId="0" xfId="37" applyNumberFormat="1" applyFont="1" applyAlignment="1">
      <alignment horizontal="center"/>
    </xf>
    <xf numFmtId="0" fontId="5" fillId="45" borderId="8" xfId="37" applyFill="1" applyBorder="1" applyAlignment="1" applyProtection="1">
      <alignment horizontal="center"/>
    </xf>
    <xf numFmtId="168" fontId="5" fillId="45" borderId="2" xfId="37" applyNumberFormat="1" applyFill="1" applyBorder="1" applyAlignment="1" applyProtection="1">
      <alignment horizontal="center"/>
    </xf>
    <xf numFmtId="0" fontId="3" fillId="0" borderId="0" xfId="0" applyFont="1" applyFill="1" applyBorder="1" applyAlignment="1" applyProtection="1">
      <alignment vertical="center"/>
      <protection locked="0"/>
    </xf>
    <xf numFmtId="0" fontId="5" fillId="0" borderId="10" xfId="0" applyNumberFormat="1" applyFont="1" applyBorder="1"/>
    <xf numFmtId="0" fontId="105" fillId="0" borderId="0" xfId="0" applyFont="1" applyAlignment="1">
      <alignment horizontal="left" vertical="center" wrapText="1"/>
    </xf>
    <xf numFmtId="0" fontId="105" fillId="0" borderId="0" xfId="0" applyFont="1" applyAlignment="1">
      <alignment horizontal="left" vertical="top" wrapText="1"/>
    </xf>
    <xf numFmtId="0" fontId="104" fillId="0" borderId="0" xfId="0" applyNumberFormat="1" applyFont="1" applyAlignment="1">
      <alignment horizontal="left" vertical="top" wrapText="1"/>
    </xf>
    <xf numFmtId="0" fontId="121" fillId="0" borderId="0" xfId="0" applyFont="1" applyAlignment="1">
      <alignment horizontal="center"/>
    </xf>
    <xf numFmtId="0" fontId="0" fillId="0" borderId="13" xfId="0" applyNumberFormat="1" applyFill="1" applyBorder="1" applyProtection="1">
      <protection locked="0"/>
    </xf>
    <xf numFmtId="0" fontId="0" fillId="0" borderId="12" xfId="0" applyNumberFormat="1" applyFill="1" applyBorder="1" applyProtection="1">
      <protection locked="0"/>
    </xf>
    <xf numFmtId="0" fontId="0" fillId="0" borderId="7" xfId="0" applyNumberFormat="1" applyFill="1" applyBorder="1" applyProtection="1">
      <protection locked="0"/>
    </xf>
    <xf numFmtId="165" fontId="126" fillId="44" borderId="2" xfId="0" applyNumberFormat="1" applyFont="1" applyFill="1" applyBorder="1" applyAlignment="1" applyProtection="1">
      <alignment horizontal="center"/>
      <protection locked="0"/>
    </xf>
    <xf numFmtId="0" fontId="127" fillId="0" borderId="0" xfId="0" applyFont="1" applyProtection="1"/>
    <xf numFmtId="0" fontId="0" fillId="51" borderId="1" xfId="0" applyNumberFormat="1" applyFill="1" applyBorder="1" applyAlignment="1">
      <alignment horizontal="left"/>
    </xf>
    <xf numFmtId="0" fontId="0" fillId="51" borderId="4" xfId="0" applyNumberFormat="1" applyFill="1" applyBorder="1"/>
    <xf numFmtId="0" fontId="0" fillId="51" borderId="3" xfId="0" applyNumberFormat="1" applyFill="1" applyBorder="1"/>
    <xf numFmtId="0" fontId="0" fillId="51" borderId="6" xfId="0" applyNumberFormat="1" applyFill="1" applyBorder="1" applyAlignment="1">
      <alignment horizontal="left"/>
    </xf>
    <xf numFmtId="0" fontId="0" fillId="51" borderId="0" xfId="0" applyNumberFormat="1" applyFill="1" applyBorder="1"/>
    <xf numFmtId="0" fontId="0" fillId="51" borderId="9" xfId="0" applyNumberFormat="1" applyFill="1" applyBorder="1" applyAlignment="1">
      <alignment horizontal="left"/>
    </xf>
    <xf numFmtId="0" fontId="0" fillId="51" borderId="10" xfId="0" applyNumberFormat="1" applyFill="1" applyBorder="1"/>
    <xf numFmtId="0" fontId="5" fillId="51" borderId="0" xfId="0" applyNumberFormat="1" applyFont="1" applyFill="1"/>
    <xf numFmtId="0" fontId="0" fillId="51" borderId="0" xfId="0" applyNumberFormat="1" applyFill="1"/>
    <xf numFmtId="49" fontId="0" fillId="51" borderId="0" xfId="0" applyNumberFormat="1" applyFill="1"/>
    <xf numFmtId="0" fontId="5" fillId="51" borderId="0" xfId="0" applyNumberFormat="1" applyFont="1" applyFill="1" applyAlignment="1">
      <alignment horizontal="left"/>
    </xf>
    <xf numFmtId="0" fontId="5" fillId="51" borderId="0" xfId="0" applyNumberFormat="1" applyFont="1" applyFill="1" applyBorder="1"/>
    <xf numFmtId="0" fontId="0" fillId="51" borderId="16" xfId="0" applyNumberFormat="1" applyFill="1" applyBorder="1"/>
    <xf numFmtId="0" fontId="0" fillId="51" borderId="11" xfId="0" applyNumberFormat="1" applyFill="1" applyBorder="1"/>
    <xf numFmtId="0" fontId="0" fillId="51" borderId="13" xfId="0" applyNumberFormat="1" applyFill="1" applyBorder="1"/>
    <xf numFmtId="0" fontId="0" fillId="51" borderId="6" xfId="0" applyNumberFormat="1" applyFill="1" applyBorder="1"/>
    <xf numFmtId="0" fontId="0" fillId="51" borderId="12" xfId="0" applyNumberFormat="1" applyFill="1" applyBorder="1"/>
    <xf numFmtId="0" fontId="0" fillId="51" borderId="9" xfId="0" applyNumberFormat="1" applyFill="1" applyBorder="1"/>
    <xf numFmtId="0" fontId="0" fillId="51" borderId="7" xfId="0" applyNumberFormat="1" applyFill="1" applyBorder="1"/>
    <xf numFmtId="0" fontId="5" fillId="51" borderId="9" xfId="0" applyNumberFormat="1" applyFont="1" applyFill="1" applyBorder="1"/>
    <xf numFmtId="0" fontId="5" fillId="51" borderId="10" xfId="0" applyNumberFormat="1" applyFont="1" applyFill="1" applyBorder="1" applyAlignment="1">
      <alignment horizontal="right"/>
    </xf>
    <xf numFmtId="0" fontId="0" fillId="51" borderId="7" xfId="0" applyNumberFormat="1" applyFill="1" applyBorder="1" applyAlignment="1">
      <alignment horizontal="center"/>
    </xf>
    <xf numFmtId="0" fontId="0" fillId="51" borderId="0" xfId="0" applyNumberFormat="1" applyFill="1" applyAlignment="1">
      <alignment horizontal="left"/>
    </xf>
    <xf numFmtId="0" fontId="5" fillId="51" borderId="0" xfId="0" applyNumberFormat="1" applyFont="1" applyFill="1" applyAlignment="1">
      <alignment horizontal="center"/>
    </xf>
    <xf numFmtId="0" fontId="0" fillId="51" borderId="0" xfId="0" applyFill="1" applyBorder="1"/>
    <xf numFmtId="0" fontId="0" fillId="51" borderId="2" xfId="0" applyNumberFormat="1" applyFill="1" applyBorder="1" applyAlignment="1">
      <alignment horizontal="center"/>
    </xf>
    <xf numFmtId="0" fontId="5" fillId="51" borderId="0" xfId="0" applyNumberFormat="1" applyFont="1" applyFill="1" applyAlignment="1">
      <alignment horizontal="right"/>
    </xf>
    <xf numFmtId="0" fontId="5" fillId="51" borderId="2" xfId="0" applyNumberFormat="1" applyFont="1" applyFill="1" applyBorder="1" applyAlignment="1">
      <alignment horizontal="center"/>
    </xf>
    <xf numFmtId="0" fontId="0" fillId="51" borderId="0" xfId="0" applyNumberFormat="1" applyFill="1" applyBorder="1" applyAlignment="1">
      <alignment horizontal="left"/>
    </xf>
    <xf numFmtId="0" fontId="3" fillId="52" borderId="1" xfId="0" applyFont="1" applyFill="1" applyBorder="1" applyAlignment="1" applyProtection="1">
      <alignment horizontal="left"/>
    </xf>
    <xf numFmtId="0" fontId="0" fillId="52" borderId="4" xfId="0" applyFill="1" applyBorder="1" applyAlignment="1" applyProtection="1">
      <alignment horizontal="left"/>
    </xf>
    <xf numFmtId="0" fontId="0" fillId="52" borderId="4" xfId="0" applyFill="1" applyBorder="1" applyAlignment="1" applyProtection="1">
      <alignment horizontal="center"/>
    </xf>
    <xf numFmtId="0" fontId="0" fillId="52" borderId="3" xfId="0" applyFill="1" applyBorder="1" applyAlignment="1" applyProtection="1">
      <alignment horizontal="center"/>
    </xf>
    <xf numFmtId="0" fontId="3" fillId="53" borderId="1" xfId="0" applyFont="1" applyFill="1" applyBorder="1" applyAlignment="1" applyProtection="1">
      <alignment horizontal="left"/>
    </xf>
    <xf numFmtId="0" fontId="0" fillId="53" borderId="4" xfId="0" applyFill="1" applyBorder="1" applyAlignment="1" applyProtection="1">
      <alignment horizontal="left"/>
    </xf>
    <xf numFmtId="0" fontId="0" fillId="53" borderId="4" xfId="0" applyFill="1" applyBorder="1" applyAlignment="1" applyProtection="1">
      <alignment horizontal="center"/>
    </xf>
    <xf numFmtId="0" fontId="3" fillId="54" borderId="1" xfId="0" applyFont="1" applyFill="1" applyBorder="1" applyAlignment="1" applyProtection="1">
      <alignment horizontal="left"/>
    </xf>
    <xf numFmtId="0" fontId="0" fillId="54" borderId="4" xfId="0" applyFill="1" applyBorder="1" applyAlignment="1" applyProtection="1">
      <alignment horizontal="left"/>
    </xf>
    <xf numFmtId="0" fontId="0" fillId="54" borderId="4" xfId="0" applyFill="1" applyBorder="1" applyAlignment="1" applyProtection="1">
      <alignment horizontal="center"/>
    </xf>
    <xf numFmtId="0" fontId="0" fillId="54" borderId="3" xfId="0" applyFill="1" applyBorder="1" applyAlignment="1" applyProtection="1">
      <alignment horizontal="center"/>
    </xf>
    <xf numFmtId="0" fontId="100" fillId="0" borderId="0" xfId="0" applyFont="1" applyAlignment="1" applyProtection="1">
      <alignment horizontal="left"/>
    </xf>
    <xf numFmtId="0" fontId="105" fillId="0" borderId="0" xfId="0" applyFont="1" applyAlignment="1">
      <alignment horizontal="left" vertical="center" wrapText="1"/>
    </xf>
    <xf numFmtId="14" fontId="3" fillId="46" borderId="14" xfId="0" applyNumberFormat="1" applyFont="1" applyFill="1" applyBorder="1" applyAlignment="1" applyProtection="1">
      <alignment horizontal="center"/>
    </xf>
    <xf numFmtId="0" fontId="3" fillId="46" borderId="14" xfId="0" applyNumberFormat="1" applyFont="1" applyFill="1" applyBorder="1" applyAlignment="1" applyProtection="1">
      <alignment horizontal="center"/>
    </xf>
    <xf numFmtId="14" fontId="3" fillId="46" borderId="14" xfId="0" applyNumberFormat="1" applyFont="1" applyFill="1" applyBorder="1" applyAlignment="1" applyProtection="1">
      <alignment horizontal="center"/>
      <protection locked="0"/>
    </xf>
    <xf numFmtId="0" fontId="3" fillId="46" borderId="14" xfId="0" applyNumberFormat="1" applyFont="1" applyFill="1" applyBorder="1" applyAlignment="1" applyProtection="1">
      <alignment horizontal="center"/>
      <protection locked="0"/>
    </xf>
    <xf numFmtId="165" fontId="3" fillId="46" borderId="14" xfId="0" applyNumberFormat="1" applyFont="1" applyFill="1" applyBorder="1" applyAlignment="1" applyProtection="1">
      <alignment horizontal="center"/>
      <protection locked="0"/>
    </xf>
    <xf numFmtId="0" fontId="3" fillId="46" borderId="14" xfId="0" applyFont="1" applyFill="1" applyBorder="1" applyAlignment="1" applyProtection="1">
      <alignment horizontal="center"/>
      <protection locked="0"/>
    </xf>
    <xf numFmtId="0" fontId="98" fillId="4" borderId="14" xfId="0" applyFont="1" applyFill="1" applyBorder="1" applyAlignment="1" applyProtection="1">
      <alignment horizontal="center"/>
    </xf>
    <xf numFmtId="14" fontId="5" fillId="46" borderId="14" xfId="0" applyNumberFormat="1" applyFont="1" applyFill="1" applyBorder="1" applyAlignment="1" applyProtection="1">
      <alignment horizontal="center"/>
      <protection locked="0"/>
    </xf>
    <xf numFmtId="0" fontId="5" fillId="46" borderId="14" xfId="0" applyFont="1" applyFill="1" applyBorder="1" applyAlignment="1" applyProtection="1">
      <alignment horizontal="center"/>
      <protection locked="0"/>
    </xf>
    <xf numFmtId="0" fontId="98" fillId="4" borderId="14" xfId="0" applyNumberFormat="1" applyFont="1" applyFill="1" applyBorder="1" applyAlignment="1" applyProtection="1">
      <alignment horizontal="center"/>
    </xf>
    <xf numFmtId="166" fontId="98" fillId="4" borderId="14" xfId="0" applyNumberFormat="1" applyFont="1" applyFill="1" applyBorder="1" applyAlignment="1" applyProtection="1">
      <alignment horizontal="center"/>
    </xf>
    <xf numFmtId="165" fontId="98" fillId="4" borderId="14" xfId="0" applyNumberFormat="1" applyFont="1" applyFill="1" applyBorder="1" applyAlignment="1" applyProtection="1">
      <alignment horizontal="center"/>
    </xf>
    <xf numFmtId="0" fontId="98" fillId="46" borderId="14" xfId="0" applyNumberFormat="1" applyFont="1" applyFill="1" applyBorder="1" applyAlignment="1" applyProtection="1">
      <alignment horizontal="center"/>
      <protection locked="0"/>
    </xf>
    <xf numFmtId="166" fontId="98" fillId="46" borderId="14" xfId="0" applyNumberFormat="1" applyFont="1" applyFill="1" applyBorder="1" applyAlignment="1" applyProtection="1">
      <alignment horizontal="center"/>
      <protection locked="0"/>
    </xf>
    <xf numFmtId="165" fontId="98" fillId="46" borderId="14" xfId="0" applyNumberFormat="1" applyFont="1" applyFill="1" applyBorder="1" applyAlignment="1" applyProtection="1">
      <alignment horizontal="center"/>
      <protection locked="0"/>
    </xf>
    <xf numFmtId="166" fontId="82" fillId="46" borderId="14" xfId="0" applyNumberFormat="1" applyFont="1" applyFill="1" applyBorder="1" applyAlignment="1" applyProtection="1">
      <alignment horizontal="center"/>
      <protection locked="0"/>
    </xf>
    <xf numFmtId="165" fontId="82" fillId="46" borderId="14" xfId="0" applyNumberFormat="1" applyFont="1" applyFill="1" applyBorder="1" applyAlignment="1" applyProtection="1">
      <alignment horizontal="center"/>
      <protection locked="0"/>
    </xf>
    <xf numFmtId="0" fontId="82" fillId="46" borderId="14" xfId="0" applyNumberFormat="1" applyFont="1" applyFill="1" applyBorder="1" applyAlignment="1" applyProtection="1">
      <alignment horizontal="center"/>
      <protection locked="0"/>
    </xf>
    <xf numFmtId="0" fontId="105" fillId="0" borderId="0" xfId="0" applyFont="1" applyAlignment="1">
      <alignment horizontal="left" vertical="center" wrapText="1"/>
    </xf>
    <xf numFmtId="0" fontId="105" fillId="0" borderId="0" xfId="0" applyFont="1" applyAlignment="1">
      <alignment horizontal="left" vertical="top" wrapText="1"/>
    </xf>
    <xf numFmtId="49" fontId="104" fillId="0" borderId="0" xfId="0" applyNumberFormat="1" applyFont="1" applyBorder="1" applyAlignment="1">
      <alignment horizontal="left"/>
    </xf>
    <xf numFmtId="0" fontId="104" fillId="0" borderId="0" xfId="0" applyFont="1" applyBorder="1" applyAlignment="1">
      <alignment horizontal="left"/>
    </xf>
    <xf numFmtId="1" fontId="3" fillId="4" borderId="14" xfId="0" applyNumberFormat="1" applyFont="1" applyFill="1" applyBorder="1" applyAlignment="1" applyProtection="1">
      <alignment horizontal="center"/>
    </xf>
    <xf numFmtId="0" fontId="124" fillId="0" borderId="0" xfId="0" applyFont="1" applyBorder="1" applyAlignment="1">
      <alignment horizontal="left"/>
    </xf>
    <xf numFmtId="49" fontId="124" fillId="0" borderId="0" xfId="0" applyNumberFormat="1" applyFont="1" applyBorder="1" applyAlignment="1">
      <alignment horizontal="left"/>
    </xf>
    <xf numFmtId="0" fontId="3" fillId="55" borderId="2" xfId="0" applyFont="1" applyFill="1" applyBorder="1" applyAlignment="1" applyProtection="1">
      <alignment horizontal="left"/>
    </xf>
    <xf numFmtId="0" fontId="5" fillId="5" borderId="2" xfId="0" applyNumberFormat="1" applyFont="1" applyFill="1" applyBorder="1" applyAlignment="1" applyProtection="1">
      <alignment horizontal="center"/>
    </xf>
    <xf numFmtId="0" fontId="19" fillId="0" borderId="0" xfId="0" applyNumberFormat="1" applyFont="1"/>
    <xf numFmtId="0" fontId="6" fillId="0" borderId="14" xfId="0" applyFont="1" applyFill="1" applyBorder="1" applyAlignment="1" applyProtection="1">
      <alignment horizontal="center"/>
      <protection locked="0"/>
    </xf>
    <xf numFmtId="0" fontId="6" fillId="0" borderId="8" xfId="0" applyFont="1" applyBorder="1" applyAlignment="1" applyProtection="1">
      <alignment horizontal="center"/>
      <protection locked="0"/>
    </xf>
    <xf numFmtId="0" fontId="12" fillId="0" borderId="0" xfId="37" applyFont="1" applyAlignment="1" applyProtection="1">
      <alignment horizontal="center"/>
    </xf>
    <xf numFmtId="49" fontId="98" fillId="46" borderId="14" xfId="0" applyNumberFormat="1" applyFont="1" applyFill="1" applyBorder="1" applyAlignment="1" applyProtection="1">
      <alignment horizontal="center"/>
    </xf>
    <xf numFmtId="49" fontId="3" fillId="46" borderId="2" xfId="37" applyNumberFormat="1" applyFont="1" applyFill="1" applyBorder="1" applyAlignment="1" applyProtection="1">
      <alignment horizontal="center"/>
    </xf>
    <xf numFmtId="49" fontId="0" fillId="0" borderId="13" xfId="0" applyNumberFormat="1" applyBorder="1" applyAlignment="1">
      <alignment horizontal="right"/>
    </xf>
    <xf numFmtId="49" fontId="0" fillId="0" borderId="12" xfId="0" applyNumberFormat="1" applyBorder="1" applyAlignment="1">
      <alignment horizontal="right"/>
    </xf>
    <xf numFmtId="49" fontId="0" fillId="0" borderId="7" xfId="0" applyNumberFormat="1" applyBorder="1" applyAlignment="1">
      <alignment horizontal="right"/>
    </xf>
    <xf numFmtId="49" fontId="0" fillId="0" borderId="13" xfId="0" applyNumberFormat="1" applyFill="1" applyBorder="1" applyAlignment="1">
      <alignment horizontal="right"/>
    </xf>
    <xf numFmtId="49" fontId="0" fillId="0" borderId="12" xfId="0" applyNumberFormat="1" applyFill="1" applyBorder="1" applyAlignment="1">
      <alignment horizontal="right"/>
    </xf>
    <xf numFmtId="49" fontId="0" fillId="0" borderId="7" xfId="0" applyNumberFormat="1" applyFill="1" applyBorder="1" applyAlignment="1">
      <alignment horizontal="right"/>
    </xf>
    <xf numFmtId="49" fontId="5" fillId="0" borderId="12" xfId="0" applyNumberFormat="1" applyFont="1" applyBorder="1" applyAlignment="1">
      <alignment horizontal="right"/>
    </xf>
    <xf numFmtId="49" fontId="5" fillId="0" borderId="13" xfId="0" applyNumberFormat="1" applyFont="1" applyBorder="1" applyAlignment="1">
      <alignment horizontal="right"/>
    </xf>
    <xf numFmtId="49" fontId="5" fillId="0" borderId="13" xfId="0" applyNumberFormat="1" applyFont="1" applyFill="1" applyBorder="1" applyAlignment="1" applyProtection="1">
      <alignment horizontal="right"/>
      <protection locked="0"/>
    </xf>
    <xf numFmtId="49" fontId="0" fillId="0" borderId="12" xfId="0" applyNumberFormat="1" applyFill="1" applyBorder="1" applyAlignment="1" applyProtection="1">
      <alignment horizontal="right"/>
      <protection locked="0"/>
    </xf>
    <xf numFmtId="49" fontId="0" fillId="0" borderId="7" xfId="0" applyNumberFormat="1" applyFill="1" applyBorder="1" applyAlignment="1" applyProtection="1">
      <alignment horizontal="right"/>
      <protection locked="0"/>
    </xf>
    <xf numFmtId="49" fontId="5" fillId="0" borderId="7" xfId="0" applyNumberFormat="1" applyFont="1" applyBorder="1" applyAlignment="1">
      <alignment horizontal="right"/>
    </xf>
    <xf numFmtId="49" fontId="0" fillId="44" borderId="12" xfId="0" applyNumberFormat="1" applyFill="1" applyBorder="1" applyAlignment="1" applyProtection="1">
      <alignment horizontal="right"/>
      <protection locked="0"/>
    </xf>
    <xf numFmtId="49" fontId="0" fillId="44" borderId="7" xfId="0" applyNumberFormat="1" applyFill="1" applyBorder="1" applyAlignment="1" applyProtection="1">
      <alignment horizontal="right"/>
      <protection locked="0"/>
    </xf>
    <xf numFmtId="49" fontId="0" fillId="44" borderId="13" xfId="0" applyNumberFormat="1" applyFill="1" applyBorder="1" applyAlignment="1">
      <alignment horizontal="right"/>
    </xf>
    <xf numFmtId="49" fontId="0" fillId="44" borderId="12" xfId="0" applyNumberFormat="1" applyFill="1" applyBorder="1" applyAlignment="1">
      <alignment horizontal="right"/>
    </xf>
    <xf numFmtId="49" fontId="0" fillId="44" borderId="7" xfId="0" applyNumberFormat="1" applyFill="1" applyBorder="1" applyAlignment="1">
      <alignment horizontal="right"/>
    </xf>
    <xf numFmtId="49" fontId="3" fillId="4" borderId="14" xfId="0" applyNumberFormat="1" applyFont="1" applyFill="1" applyBorder="1" applyAlignment="1" applyProtection="1">
      <alignment horizontal="center"/>
    </xf>
    <xf numFmtId="49" fontId="3" fillId="4" borderId="8" xfId="0" applyNumberFormat="1" applyFont="1" applyFill="1" applyBorder="1" applyAlignment="1" applyProtection="1">
      <alignment horizontal="center"/>
    </xf>
    <xf numFmtId="49" fontId="3" fillId="46" borderId="14" xfId="0" applyNumberFormat="1" applyFont="1" applyFill="1" applyBorder="1" applyAlignment="1" applyProtection="1">
      <alignment horizontal="center"/>
    </xf>
    <xf numFmtId="49" fontId="3" fillId="46" borderId="14" xfId="0" applyNumberFormat="1" applyFont="1" applyFill="1" applyBorder="1" applyAlignment="1" applyProtection="1">
      <alignment horizontal="center"/>
      <protection locked="0"/>
    </xf>
    <xf numFmtId="49" fontId="3" fillId="46" borderId="8" xfId="0" applyNumberFormat="1" applyFont="1" applyFill="1" applyBorder="1" applyAlignment="1" applyProtection="1">
      <alignment horizontal="center"/>
    </xf>
    <xf numFmtId="0" fontId="3" fillId="0" borderId="0" xfId="0" applyFont="1" applyFill="1" applyBorder="1" applyAlignment="1" applyProtection="1">
      <alignment horizontal="left"/>
    </xf>
    <xf numFmtId="0" fontId="6" fillId="0" borderId="0" xfId="0" applyFont="1" applyFill="1" applyBorder="1" applyAlignment="1" applyProtection="1">
      <alignment horizontal="center"/>
    </xf>
    <xf numFmtId="0" fontId="5" fillId="0" borderId="12" xfId="37" applyFill="1" applyBorder="1" applyAlignment="1" applyProtection="1">
      <alignment horizontal="center"/>
    </xf>
    <xf numFmtId="2" fontId="0" fillId="44" borderId="3" xfId="0" applyNumberFormat="1" applyFill="1" applyBorder="1" applyAlignment="1" applyProtection="1">
      <alignment horizontal="center"/>
      <protection locked="0"/>
    </xf>
    <xf numFmtId="0" fontId="5" fillId="7" borderId="3" xfId="0" applyFont="1" applyFill="1" applyBorder="1" applyAlignment="1" applyProtection="1">
      <alignment horizontal="right"/>
    </xf>
    <xf numFmtId="2" fontId="5" fillId="3" borderId="2" xfId="37" applyNumberFormat="1" applyFont="1" applyFill="1" applyBorder="1" applyAlignment="1" applyProtection="1">
      <alignment horizontal="center"/>
      <protection locked="0"/>
    </xf>
    <xf numFmtId="2" fontId="5" fillId="3" borderId="5" xfId="37" applyNumberFormat="1" applyFill="1" applyBorder="1" applyAlignment="1" applyProtection="1">
      <alignment horizontal="center"/>
      <protection locked="0"/>
    </xf>
    <xf numFmtId="0" fontId="22" fillId="0" borderId="0" xfId="0" applyNumberFormat="1" applyFont="1" applyAlignment="1"/>
    <xf numFmtId="0" fontId="32" fillId="0" borderId="0" xfId="0" applyNumberFormat="1" applyFont="1" applyAlignment="1">
      <alignment horizontal="left" vertical="top" wrapText="1"/>
    </xf>
    <xf numFmtId="0" fontId="33" fillId="0" borderId="0" xfId="0" applyFont="1" applyAlignment="1">
      <alignment horizontal="left" vertical="top"/>
    </xf>
    <xf numFmtId="0" fontId="1" fillId="0" borderId="10" xfId="0" applyNumberFormat="1" applyFont="1" applyFill="1" applyBorder="1"/>
    <xf numFmtId="0" fontId="0" fillId="43" borderId="1" xfId="0" applyFill="1" applyBorder="1"/>
    <xf numFmtId="0" fontId="1" fillId="44" borderId="1" xfId="0" applyFont="1" applyFill="1" applyBorder="1"/>
    <xf numFmtId="49" fontId="103" fillId="43" borderId="3" xfId="0" applyNumberFormat="1" applyFont="1" applyFill="1" applyBorder="1"/>
    <xf numFmtId="49" fontId="103" fillId="44" borderId="3" xfId="0" applyNumberFormat="1" applyFont="1" applyFill="1" applyBorder="1"/>
    <xf numFmtId="0" fontId="105" fillId="0" borderId="0" xfId="0" applyFont="1" applyAlignment="1">
      <alignment horizontal="left" vertical="top" wrapText="1"/>
    </xf>
    <xf numFmtId="0" fontId="32" fillId="0" borderId="0" xfId="0" applyFont="1" applyAlignment="1">
      <alignment horizontal="left" vertical="top" wrapText="1"/>
    </xf>
    <xf numFmtId="0" fontId="123" fillId="0" borderId="0" xfId="0" applyFont="1" applyProtection="1"/>
    <xf numFmtId="0" fontId="32" fillId="0" borderId="0" xfId="0" applyNumberFormat="1" applyFont="1" applyAlignment="1">
      <alignment horizontal="left" vertical="top"/>
    </xf>
    <xf numFmtId="0" fontId="1" fillId="0" borderId="0" xfId="0" applyFont="1" applyProtection="1"/>
    <xf numFmtId="0" fontId="1" fillId="0" borderId="0" xfId="0" applyFont="1" applyBorder="1"/>
    <xf numFmtId="14" fontId="0" fillId="0" borderId="0" xfId="0" applyNumberFormat="1" applyBorder="1"/>
    <xf numFmtId="14" fontId="103" fillId="44" borderId="2" xfId="37" applyNumberFormat="1" applyFont="1" applyFill="1" applyBorder="1" applyAlignment="1" applyProtection="1">
      <alignment horizontal="left"/>
      <protection locked="0"/>
    </xf>
    <xf numFmtId="0" fontId="135" fillId="44" borderId="2" xfId="37" applyFont="1" applyFill="1" applyBorder="1" applyProtection="1">
      <protection locked="0"/>
    </xf>
    <xf numFmtId="0" fontId="1" fillId="0" borderId="0" xfId="0" applyNumberFormat="1" applyFont="1"/>
    <xf numFmtId="0" fontId="1" fillId="0" borderId="0" xfId="0" applyNumberFormat="1" applyFont="1" applyBorder="1"/>
    <xf numFmtId="0" fontId="1" fillId="0" borderId="0" xfId="0" applyNumberFormat="1" applyFont="1" applyFill="1" applyBorder="1"/>
    <xf numFmtId="0" fontId="3" fillId="8" borderId="16" xfId="0" applyFont="1" applyFill="1" applyBorder="1" applyAlignment="1" applyProtection="1">
      <alignment horizontal="center"/>
    </xf>
    <xf numFmtId="0" fontId="3" fillId="8" borderId="6" xfId="0" applyFont="1" applyFill="1" applyBorder="1" applyAlignment="1" applyProtection="1">
      <alignment horizontal="center"/>
    </xf>
    <xf numFmtId="0" fontId="0" fillId="45" borderId="5" xfId="0" applyFill="1" applyBorder="1" applyAlignment="1" applyProtection="1"/>
    <xf numFmtId="0" fontId="0" fillId="45" borderId="8" xfId="0" applyFill="1" applyBorder="1" applyAlignment="1" applyProtection="1"/>
    <xf numFmtId="0" fontId="1" fillId="45" borderId="2" xfId="0" applyFont="1" applyFill="1" applyBorder="1" applyAlignment="1" applyProtection="1">
      <alignment horizontal="center" vertical="center"/>
    </xf>
    <xf numFmtId="2" fontId="1" fillId="44" borderId="2" xfId="37" applyNumberFormat="1" applyFont="1" applyFill="1" applyBorder="1" applyAlignment="1" applyProtection="1">
      <alignment horizontal="center" vertical="center"/>
      <protection locked="0"/>
    </xf>
    <xf numFmtId="173" fontId="3" fillId="4" borderId="9" xfId="0" applyNumberFormat="1" applyFont="1" applyFill="1" applyBorder="1" applyAlignment="1" applyProtection="1">
      <alignment horizontal="center"/>
    </xf>
    <xf numFmtId="2" fontId="3" fillId="4" borderId="14" xfId="0" applyNumberFormat="1" applyFont="1" applyFill="1" applyBorder="1" applyAlignment="1" applyProtection="1">
      <alignment horizontal="center"/>
    </xf>
    <xf numFmtId="2" fontId="3" fillId="4" borderId="8" xfId="0" applyNumberFormat="1" applyFont="1" applyFill="1" applyBorder="1" applyAlignment="1" applyProtection="1">
      <alignment horizontal="center"/>
    </xf>
    <xf numFmtId="0" fontId="1" fillId="5" borderId="2" xfId="40" applyFont="1" applyFill="1" applyBorder="1" applyAlignment="1" applyProtection="1">
      <alignment horizontal="center"/>
    </xf>
    <xf numFmtId="0" fontId="1" fillId="45" borderId="12" xfId="0" applyFont="1" applyFill="1" applyBorder="1" applyAlignment="1" applyProtection="1">
      <alignment horizontal="right"/>
    </xf>
    <xf numFmtId="0" fontId="1" fillId="3" borderId="2" xfId="0" applyFont="1" applyFill="1" applyBorder="1" applyAlignment="1" applyProtection="1">
      <alignment horizontal="center"/>
      <protection locked="0"/>
    </xf>
    <xf numFmtId="0" fontId="1" fillId="0" borderId="0" xfId="0" applyFont="1" applyFill="1" applyBorder="1" applyProtection="1"/>
    <xf numFmtId="0" fontId="5" fillId="57" borderId="2" xfId="0" applyNumberFormat="1" applyFont="1" applyFill="1" applyBorder="1" applyAlignment="1" applyProtection="1">
      <alignment horizontal="center"/>
    </xf>
    <xf numFmtId="0" fontId="1" fillId="0" borderId="0" xfId="0" applyFont="1" applyAlignment="1" applyProtection="1">
      <alignment horizontal="right"/>
    </xf>
    <xf numFmtId="0" fontId="1" fillId="44" borderId="2" xfId="37" applyFont="1" applyFill="1" applyBorder="1" applyAlignment="1" applyProtection="1">
      <alignment horizontal="center"/>
      <protection locked="0"/>
    </xf>
    <xf numFmtId="172" fontId="1" fillId="44" borderId="2" xfId="37" applyNumberFormat="1" applyFont="1" applyFill="1" applyBorder="1" applyAlignment="1" applyProtection="1">
      <alignment horizontal="center"/>
      <protection locked="0"/>
    </xf>
    <xf numFmtId="168" fontId="1" fillId="44" borderId="2" xfId="0" applyNumberFormat="1" applyFont="1" applyFill="1" applyBorder="1" applyAlignment="1" applyProtection="1">
      <alignment horizontal="center"/>
      <protection locked="0"/>
    </xf>
    <xf numFmtId="0" fontId="1" fillId="44" borderId="5" xfId="0" applyNumberFormat="1" applyFont="1" applyFill="1" applyBorder="1" applyProtection="1">
      <protection locked="0"/>
    </xf>
    <xf numFmtId="0" fontId="1" fillId="44" borderId="11" xfId="0" applyNumberFormat="1" applyFont="1" applyFill="1" applyBorder="1" applyProtection="1">
      <protection locked="0"/>
    </xf>
    <xf numFmtId="49" fontId="1" fillId="44" borderId="13" xfId="0" applyNumberFormat="1" applyFont="1" applyFill="1" applyBorder="1" applyAlignment="1" applyProtection="1">
      <alignment horizontal="right"/>
      <protection locked="0"/>
    </xf>
    <xf numFmtId="0" fontId="1" fillId="44" borderId="0" xfId="0" applyNumberFormat="1" applyFont="1" applyFill="1" applyBorder="1" applyProtection="1">
      <protection locked="0"/>
    </xf>
    <xf numFmtId="22" fontId="1" fillId="0" borderId="0" xfId="0" applyNumberFormat="1" applyFont="1" applyBorder="1" applyAlignment="1" applyProtection="1">
      <alignment horizontal="left"/>
    </xf>
    <xf numFmtId="0" fontId="1" fillId="0" borderId="0" xfId="0" applyFont="1" applyBorder="1" applyAlignment="1" applyProtection="1">
      <alignment horizontal="left"/>
    </xf>
    <xf numFmtId="22" fontId="1" fillId="0" borderId="0" xfId="0" applyNumberFormat="1" applyFont="1" applyAlignment="1" applyProtection="1">
      <alignment horizontal="left"/>
    </xf>
    <xf numFmtId="0" fontId="1" fillId="0" borderId="0" xfId="0" applyFont="1" applyAlignment="1" applyProtection="1">
      <alignment horizontal="left"/>
    </xf>
    <xf numFmtId="0" fontId="0" fillId="7" borderId="2" xfId="0" applyNumberFormat="1" applyFill="1" applyBorder="1" applyAlignment="1" applyProtection="1">
      <alignment horizontal="center"/>
    </xf>
    <xf numFmtId="0" fontId="1" fillId="0" borderId="21" xfId="0" applyFont="1" applyBorder="1" applyAlignment="1" applyProtection="1">
      <alignment horizontal="left"/>
    </xf>
    <xf numFmtId="0" fontId="1" fillId="0" borderId="0" xfId="0" applyFont="1" applyBorder="1" applyAlignment="1">
      <alignment horizontal="right"/>
    </xf>
    <xf numFmtId="0" fontId="113" fillId="0" borderId="31" xfId="0" applyFont="1" applyBorder="1" applyAlignment="1" applyProtection="1">
      <alignment horizontal="right"/>
      <protection locked="0"/>
    </xf>
    <xf numFmtId="49" fontId="126" fillId="44" borderId="2" xfId="0" quotePrefix="1" applyNumberFormat="1" applyFont="1" applyFill="1" applyBorder="1" applyAlignment="1" applyProtection="1">
      <alignment horizontal="center" vertical="center"/>
      <protection locked="0"/>
    </xf>
    <xf numFmtId="171" fontId="1" fillId="44" borderId="8" xfId="37" applyNumberFormat="1" applyFont="1" applyFill="1" applyBorder="1" applyAlignment="1" applyProtection="1">
      <alignment horizontal="center"/>
      <protection locked="0"/>
    </xf>
    <xf numFmtId="0" fontId="1" fillId="44" borderId="2" xfId="0" applyFont="1" applyFill="1" applyBorder="1" applyAlignment="1" applyProtection="1">
      <alignment horizontal="center"/>
      <protection locked="0"/>
    </xf>
    <xf numFmtId="0" fontId="1" fillId="44" borderId="2" xfId="37" applyFont="1" applyFill="1" applyBorder="1" applyAlignment="1" applyProtection="1">
      <alignment horizontal="center" vertical="center"/>
      <protection locked="0"/>
    </xf>
    <xf numFmtId="0" fontId="1" fillId="45" borderId="5" xfId="0" applyFont="1" applyFill="1" applyBorder="1" applyAlignment="1" applyProtection="1">
      <alignment horizontal="center"/>
    </xf>
    <xf numFmtId="165" fontId="1" fillId="0" borderId="0" xfId="0" applyNumberFormat="1" applyFont="1" applyProtection="1"/>
    <xf numFmtId="165" fontId="3" fillId="0" borderId="0" xfId="0" applyNumberFormat="1" applyFont="1" applyProtection="1"/>
    <xf numFmtId="0" fontId="3" fillId="55" borderId="2" xfId="37" applyFont="1" applyFill="1" applyBorder="1" applyAlignment="1" applyProtection="1">
      <alignment horizontal="center"/>
    </xf>
    <xf numFmtId="0" fontId="103" fillId="44" borderId="2" xfId="37" applyFont="1" applyFill="1" applyBorder="1" applyAlignment="1" applyProtection="1">
      <alignment horizontal="left"/>
      <protection locked="0"/>
    </xf>
    <xf numFmtId="0" fontId="3" fillId="50" borderId="15" xfId="0" applyFont="1" applyFill="1" applyBorder="1" applyAlignment="1" applyProtection="1">
      <alignment horizontal="center" vertical="center"/>
    </xf>
    <xf numFmtId="0" fontId="113" fillId="0" borderId="0" xfId="0" applyFont="1" applyBorder="1" applyAlignment="1" applyProtection="1">
      <alignment horizontal="right"/>
      <protection locked="0"/>
    </xf>
    <xf numFmtId="0" fontId="0" fillId="0" borderId="42" xfId="0" applyBorder="1"/>
    <xf numFmtId="168" fontId="1" fillId="3" borderId="2" xfId="37" applyNumberFormat="1" applyFont="1" applyFill="1" applyBorder="1" applyAlignment="1" applyProtection="1">
      <alignment horizontal="center"/>
      <protection locked="0"/>
    </xf>
    <xf numFmtId="2" fontId="1" fillId="5" borderId="2" xfId="40" applyNumberFormat="1" applyFont="1" applyFill="1" applyBorder="1" applyAlignment="1" applyProtection="1">
      <alignment horizontal="center"/>
    </xf>
    <xf numFmtId="168" fontId="3" fillId="3" borderId="2" xfId="37" applyNumberFormat="1" applyFont="1" applyFill="1" applyBorder="1" applyAlignment="1" applyProtection="1">
      <alignment horizontal="center"/>
      <protection locked="0"/>
    </xf>
    <xf numFmtId="0" fontId="1" fillId="7" borderId="8" xfId="37" applyFont="1" applyFill="1" applyBorder="1" applyAlignment="1" applyProtection="1">
      <alignment horizontal="center"/>
    </xf>
    <xf numFmtId="166" fontId="5" fillId="7" borderId="2" xfId="37" applyNumberFormat="1" applyFill="1" applyBorder="1" applyAlignment="1" applyProtection="1">
      <alignment horizontal="center"/>
    </xf>
    <xf numFmtId="2" fontId="5" fillId="45" borderId="2" xfId="37" applyNumberFormat="1" applyFill="1" applyBorder="1" applyAlignment="1" applyProtection="1">
      <alignment horizontal="center"/>
    </xf>
    <xf numFmtId="0" fontId="1" fillId="5" borderId="5" xfId="40" applyFont="1" applyFill="1" applyBorder="1" applyAlignment="1" applyProtection="1">
      <alignment horizontal="center"/>
    </xf>
    <xf numFmtId="174" fontId="5" fillId="7" borderId="2" xfId="40" applyNumberFormat="1" applyFill="1" applyBorder="1" applyAlignment="1" applyProtection="1">
      <alignment horizontal="center"/>
    </xf>
    <xf numFmtId="0" fontId="1" fillId="7" borderId="2" xfId="37" applyFont="1" applyFill="1" applyBorder="1" applyAlignment="1" applyProtection="1">
      <alignment horizontal="center"/>
    </xf>
    <xf numFmtId="165" fontId="1" fillId="7" borderId="2" xfId="0" applyNumberFormat="1" applyFont="1" applyFill="1" applyBorder="1" applyAlignment="1" applyProtection="1">
      <alignment horizontal="center" vertical="center"/>
    </xf>
    <xf numFmtId="0" fontId="3" fillId="0" borderId="0" xfId="37" applyFont="1" applyAlignment="1" applyProtection="1">
      <alignment horizontal="center"/>
    </xf>
    <xf numFmtId="0" fontId="3" fillId="0" borderId="0" xfId="37" applyFont="1" applyAlignment="1" applyProtection="1">
      <alignment horizontal="center" vertical="center"/>
    </xf>
    <xf numFmtId="168" fontId="3" fillId="3" borderId="2" xfId="37" applyNumberFormat="1" applyFont="1" applyFill="1" applyBorder="1" applyAlignment="1" applyProtection="1">
      <alignment horizontal="center" vertical="center"/>
      <protection locked="0"/>
    </xf>
    <xf numFmtId="2" fontId="1" fillId="5" borderId="5" xfId="40" applyNumberFormat="1" applyFont="1" applyFill="1" applyBorder="1" applyAlignment="1" applyProtection="1">
      <alignment horizontal="center"/>
    </xf>
    <xf numFmtId="2" fontId="1" fillId="5" borderId="8" xfId="40" applyNumberFormat="1" applyFont="1" applyFill="1" applyBorder="1" applyAlignment="1" applyProtection="1">
      <alignment horizontal="center"/>
    </xf>
    <xf numFmtId="0" fontId="0" fillId="45" borderId="14" xfId="0" applyNumberFormat="1" applyFill="1" applyBorder="1" applyAlignment="1" applyProtection="1">
      <alignment horizontal="center"/>
    </xf>
    <xf numFmtId="0" fontId="1" fillId="0" borderId="6" xfId="0" applyFont="1" applyBorder="1"/>
    <xf numFmtId="0" fontId="1" fillId="0" borderId="2" xfId="0" applyFont="1" applyBorder="1" applyAlignment="1">
      <alignment horizontal="center"/>
    </xf>
    <xf numFmtId="169" fontId="5" fillId="45" borderId="2" xfId="37" applyNumberFormat="1" applyFill="1" applyBorder="1" applyAlignment="1" applyProtection="1">
      <alignment horizontal="center"/>
    </xf>
    <xf numFmtId="0" fontId="1" fillId="0" borderId="0" xfId="37" applyFont="1" applyProtection="1"/>
    <xf numFmtId="14" fontId="103" fillId="58" borderId="2" xfId="37" applyNumberFormat="1" applyFont="1" applyFill="1" applyBorder="1" applyAlignment="1" applyProtection="1">
      <alignment horizontal="left"/>
    </xf>
    <xf numFmtId="169" fontId="0" fillId="7" borderId="2" xfId="0" applyNumberFormat="1" applyFill="1" applyBorder="1" applyAlignment="1" applyProtection="1">
      <alignment horizontal="center"/>
    </xf>
    <xf numFmtId="175" fontId="122" fillId="44" borderId="2" xfId="0" applyNumberFormat="1" applyFont="1" applyFill="1" applyBorder="1" applyAlignment="1" applyProtection="1">
      <alignment horizontal="center"/>
      <protection locked="0"/>
    </xf>
    <xf numFmtId="175" fontId="122" fillId="44" borderId="3" xfId="0" applyNumberFormat="1" applyFont="1" applyFill="1" applyBorder="1" applyAlignment="1" applyProtection="1">
      <alignment horizontal="center"/>
      <protection locked="0"/>
    </xf>
    <xf numFmtId="176" fontId="0" fillId="7" borderId="2" xfId="0" applyNumberFormat="1" applyFill="1" applyBorder="1" applyAlignment="1" applyProtection="1">
      <alignment horizontal="center"/>
    </xf>
    <xf numFmtId="177" fontId="0" fillId="3" borderId="2" xfId="0" applyNumberFormat="1" applyFill="1" applyBorder="1" applyAlignment="1" applyProtection="1">
      <alignment horizontal="center"/>
      <protection locked="0"/>
    </xf>
    <xf numFmtId="177" fontId="0" fillId="0" borderId="0" xfId="0" applyNumberFormat="1" applyProtection="1"/>
    <xf numFmtId="0" fontId="1" fillId="59" borderId="2" xfId="0" applyFont="1" applyFill="1" applyBorder="1" applyAlignment="1" applyProtection="1">
      <alignment horizontal="center"/>
    </xf>
    <xf numFmtId="0" fontId="1" fillId="0" borderId="0" xfId="0" applyFont="1" applyAlignment="1" applyProtection="1"/>
    <xf numFmtId="0" fontId="1" fillId="0" borderId="0" xfId="0" applyFont="1" applyFill="1" applyBorder="1" applyAlignment="1" applyProtection="1"/>
    <xf numFmtId="0" fontId="104" fillId="0" borderId="0" xfId="0" applyNumberFormat="1" applyFont="1" applyBorder="1" applyAlignment="1">
      <alignment horizontal="left"/>
    </xf>
    <xf numFmtId="0" fontId="5" fillId="45" borderId="1" xfId="37" applyFont="1" applyFill="1" applyBorder="1" applyAlignment="1" applyProtection="1">
      <alignment horizontal="left"/>
    </xf>
    <xf numFmtId="0" fontId="5" fillId="45" borderId="3" xfId="37" applyFont="1" applyFill="1" applyBorder="1" applyAlignment="1" applyProtection="1">
      <alignment horizontal="left"/>
    </xf>
    <xf numFmtId="176" fontId="1" fillId="44" borderId="8" xfId="37" applyNumberFormat="1" applyFont="1" applyFill="1" applyBorder="1" applyAlignment="1" applyProtection="1">
      <alignment horizontal="center"/>
      <protection locked="0"/>
    </xf>
    <xf numFmtId="175" fontId="0" fillId="7" borderId="2" xfId="0" applyNumberFormat="1" applyFill="1" applyBorder="1" applyAlignment="1" applyProtection="1">
      <alignment horizontal="center"/>
    </xf>
    <xf numFmtId="177" fontId="0" fillId="60" borderId="2" xfId="0" applyNumberFormat="1" applyFill="1" applyBorder="1" applyAlignment="1">
      <alignment horizontal="center"/>
    </xf>
    <xf numFmtId="0" fontId="1" fillId="0" borderId="0" xfId="37" applyFont="1" applyFill="1" applyBorder="1" applyAlignment="1" applyProtection="1">
      <alignment horizontal="center"/>
    </xf>
    <xf numFmtId="0" fontId="5" fillId="45" borderId="2" xfId="0" applyNumberFormat="1" applyFont="1" applyFill="1" applyBorder="1" applyAlignment="1" applyProtection="1">
      <alignment horizontal="center"/>
    </xf>
    <xf numFmtId="0" fontId="1" fillId="0" borderId="0" xfId="0" applyFont="1" applyAlignment="1">
      <alignment vertical="center"/>
    </xf>
    <xf numFmtId="0" fontId="139" fillId="0" borderId="0" xfId="0" applyFont="1"/>
    <xf numFmtId="0" fontId="3" fillId="0" borderId="2" xfId="0" applyFont="1" applyBorder="1" applyAlignment="1" applyProtection="1">
      <alignment horizontal="center" vertical="center"/>
    </xf>
    <xf numFmtId="0" fontId="1" fillId="0" borderId="8" xfId="0" applyFont="1" applyBorder="1" applyAlignment="1">
      <alignment vertical="center"/>
    </xf>
    <xf numFmtId="0" fontId="0" fillId="0" borderId="8" xfId="0" applyBorder="1"/>
    <xf numFmtId="0" fontId="0" fillId="57" borderId="2" xfId="0" applyFill="1" applyBorder="1" applyAlignment="1" applyProtection="1">
      <alignment horizontal="center" vertical="center"/>
    </xf>
    <xf numFmtId="0" fontId="0" fillId="62" borderId="2" xfId="0" applyFill="1" applyBorder="1" applyAlignment="1" applyProtection="1">
      <alignment horizontal="center" vertical="center"/>
    </xf>
    <xf numFmtId="177" fontId="1" fillId="3" borderId="2" xfId="0" applyNumberFormat="1" applyFont="1" applyFill="1" applyBorder="1" applyAlignment="1" applyProtection="1">
      <alignment horizontal="center"/>
      <protection locked="0"/>
    </xf>
    <xf numFmtId="0" fontId="3" fillId="0" borderId="1" xfId="0" applyFont="1" applyBorder="1" applyAlignment="1" applyProtection="1">
      <alignment horizontal="center" vertical="center" wrapText="1"/>
    </xf>
    <xf numFmtId="0" fontId="3" fillId="0" borderId="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7"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7" xfId="0" applyFont="1" applyBorder="1" applyAlignment="1" applyProtection="1">
      <alignment horizontal="center" vertical="center" wrapText="1"/>
    </xf>
    <xf numFmtId="0" fontId="0" fillId="0" borderId="1" xfId="0" applyFill="1" applyBorder="1" applyAlignment="1" applyProtection="1">
      <alignment horizontal="center" vertical="center"/>
    </xf>
    <xf numFmtId="0" fontId="0" fillId="0" borderId="9" xfId="0" applyFill="1" applyBorder="1" applyAlignment="1" applyProtection="1">
      <alignment horizontal="center" vertical="center"/>
    </xf>
    <xf numFmtId="0" fontId="1" fillId="0" borderId="0" xfId="0" applyFont="1" applyAlignment="1">
      <alignment horizontal="center"/>
    </xf>
    <xf numFmtId="0" fontId="32" fillId="0" borderId="11" xfId="0" applyNumberFormat="1" applyFont="1" applyFill="1" applyBorder="1" applyAlignment="1">
      <alignment horizontal="center" vertical="top" wrapText="1"/>
    </xf>
    <xf numFmtId="0" fontId="32" fillId="0" borderId="13" xfId="0" applyNumberFormat="1" applyFont="1" applyFill="1" applyBorder="1" applyAlignment="1">
      <alignment horizontal="center" vertical="top" wrapText="1"/>
    </xf>
    <xf numFmtId="0" fontId="32" fillId="0" borderId="0" xfId="0" applyNumberFormat="1" applyFont="1" applyFill="1" applyBorder="1" applyAlignment="1">
      <alignment horizontal="center" vertical="top" wrapText="1"/>
    </xf>
    <xf numFmtId="0" fontId="32" fillId="0" borderId="12" xfId="0" applyNumberFormat="1" applyFont="1" applyFill="1" applyBorder="1" applyAlignment="1">
      <alignment horizontal="center" vertical="top" wrapText="1"/>
    </xf>
    <xf numFmtId="0" fontId="32" fillId="0" borderId="10" xfId="0" applyNumberFormat="1" applyFont="1" applyFill="1" applyBorder="1" applyAlignment="1">
      <alignment horizontal="center" vertical="top" wrapText="1"/>
    </xf>
    <xf numFmtId="0" fontId="32" fillId="0" borderId="7" xfId="0" applyNumberFormat="1" applyFont="1" applyFill="1" applyBorder="1" applyAlignment="1">
      <alignment horizontal="center" vertical="top" wrapText="1"/>
    </xf>
    <xf numFmtId="0" fontId="32" fillId="0" borderId="0" xfId="0" applyNumberFormat="1" applyFont="1" applyBorder="1" applyAlignment="1">
      <alignment horizontal="center" vertical="top" wrapText="1"/>
    </xf>
    <xf numFmtId="0" fontId="5" fillId="0" borderId="16" xfId="0" applyNumberFormat="1" applyFont="1" applyFill="1" applyBorder="1" applyAlignment="1">
      <alignment horizontal="left" vertical="top" wrapText="1"/>
    </xf>
    <xf numFmtId="0" fontId="5" fillId="0" borderId="11" xfId="0" applyNumberFormat="1" applyFont="1" applyFill="1" applyBorder="1" applyAlignment="1">
      <alignment horizontal="left" vertical="top" wrapText="1"/>
    </xf>
    <xf numFmtId="0" fontId="5" fillId="0" borderId="13" xfId="0" applyNumberFormat="1" applyFont="1" applyFill="1" applyBorder="1" applyAlignment="1">
      <alignment horizontal="left" vertical="top" wrapText="1"/>
    </xf>
    <xf numFmtId="0" fontId="5" fillId="0" borderId="6" xfId="0" applyNumberFormat="1" applyFont="1" applyFill="1" applyBorder="1" applyAlignment="1">
      <alignment horizontal="left" vertical="top" wrapText="1"/>
    </xf>
    <xf numFmtId="0" fontId="5" fillId="0" borderId="0" xfId="0" applyNumberFormat="1" applyFont="1" applyFill="1" applyBorder="1" applyAlignment="1">
      <alignment horizontal="left" vertical="top" wrapText="1"/>
    </xf>
    <xf numFmtId="0" fontId="5" fillId="0" borderId="12" xfId="0" applyNumberFormat="1" applyFont="1" applyFill="1" applyBorder="1" applyAlignment="1">
      <alignment horizontal="left" vertical="top" wrapText="1"/>
    </xf>
    <xf numFmtId="0" fontId="5" fillId="0" borderId="9" xfId="0" applyNumberFormat="1" applyFont="1" applyFill="1" applyBorder="1" applyAlignment="1">
      <alignment horizontal="left" vertical="top" wrapText="1"/>
    </xf>
    <xf numFmtId="0" fontId="5" fillId="0" borderId="10" xfId="0" applyNumberFormat="1" applyFont="1" applyFill="1" applyBorder="1" applyAlignment="1">
      <alignment horizontal="left" vertical="top" wrapText="1"/>
    </xf>
    <xf numFmtId="0" fontId="5" fillId="0" borderId="7" xfId="0" applyNumberFormat="1" applyFont="1" applyFill="1" applyBorder="1" applyAlignment="1">
      <alignment horizontal="left" vertical="top" wrapText="1"/>
    </xf>
    <xf numFmtId="0" fontId="5" fillId="0" borderId="1" xfId="0" applyNumberFormat="1" applyFont="1" applyFill="1" applyBorder="1" applyAlignment="1">
      <alignment horizontal="left" vertical="top" wrapText="1"/>
    </xf>
    <xf numFmtId="0" fontId="5" fillId="0" borderId="4" xfId="0" applyNumberFormat="1" applyFont="1" applyFill="1" applyBorder="1" applyAlignment="1">
      <alignment horizontal="left" vertical="top" wrapText="1"/>
    </xf>
    <xf numFmtId="0" fontId="5" fillId="0" borderId="3" xfId="0" applyNumberFormat="1" applyFont="1" applyFill="1" applyBorder="1" applyAlignment="1">
      <alignment horizontal="left" vertical="top" wrapText="1"/>
    </xf>
    <xf numFmtId="0" fontId="5" fillId="51" borderId="16" xfId="0" applyNumberFormat="1" applyFont="1" applyFill="1" applyBorder="1" applyAlignment="1">
      <alignment horizontal="left" vertical="top" wrapText="1"/>
    </xf>
    <xf numFmtId="0" fontId="5" fillId="51" borderId="11" xfId="0" applyNumberFormat="1" applyFont="1" applyFill="1" applyBorder="1" applyAlignment="1">
      <alignment horizontal="left" vertical="top" wrapText="1"/>
    </xf>
    <xf numFmtId="0" fontId="5" fillId="51" borderId="13" xfId="0" applyNumberFormat="1" applyFont="1" applyFill="1" applyBorder="1" applyAlignment="1">
      <alignment horizontal="left" vertical="top" wrapText="1"/>
    </xf>
    <xf numFmtId="0" fontId="5" fillId="51" borderId="6" xfId="0" applyNumberFormat="1" applyFont="1" applyFill="1" applyBorder="1" applyAlignment="1">
      <alignment horizontal="left" vertical="top" wrapText="1"/>
    </xf>
    <xf numFmtId="0" fontId="5" fillId="51" borderId="0" xfId="0" applyNumberFormat="1" applyFont="1" applyFill="1" applyBorder="1" applyAlignment="1">
      <alignment horizontal="left" vertical="top" wrapText="1"/>
    </xf>
    <xf numFmtId="0" fontId="5" fillId="51" borderId="12" xfId="0" applyNumberFormat="1" applyFont="1" applyFill="1" applyBorder="1" applyAlignment="1">
      <alignment horizontal="left" vertical="top" wrapText="1"/>
    </xf>
    <xf numFmtId="0" fontId="5" fillId="51" borderId="1" xfId="0" applyNumberFormat="1" applyFont="1" applyFill="1" applyBorder="1" applyAlignment="1">
      <alignment horizontal="left" vertical="top" wrapText="1"/>
    </xf>
    <xf numFmtId="0" fontId="5" fillId="51" borderId="4" xfId="0" applyNumberFormat="1" applyFont="1" applyFill="1" applyBorder="1" applyAlignment="1">
      <alignment horizontal="left" vertical="top" wrapText="1"/>
    </xf>
    <xf numFmtId="0" fontId="5" fillId="51" borderId="3" xfId="0" applyNumberFormat="1" applyFont="1" applyFill="1" applyBorder="1" applyAlignment="1">
      <alignment horizontal="left" vertical="top" wrapText="1"/>
    </xf>
    <xf numFmtId="0" fontId="5" fillId="0" borderId="16" xfId="0" applyNumberFormat="1" applyFont="1" applyFill="1" applyBorder="1" applyAlignment="1" applyProtection="1">
      <alignment horizontal="left" vertical="top" wrapText="1"/>
      <protection locked="0"/>
    </xf>
    <xf numFmtId="0" fontId="5" fillId="0" borderId="11" xfId="0" applyNumberFormat="1" applyFont="1" applyFill="1" applyBorder="1" applyAlignment="1" applyProtection="1">
      <alignment horizontal="left" vertical="top" wrapText="1"/>
      <protection locked="0"/>
    </xf>
    <xf numFmtId="0" fontId="5" fillId="0" borderId="13" xfId="0" applyNumberFormat="1" applyFont="1" applyFill="1" applyBorder="1" applyAlignment="1" applyProtection="1">
      <alignment horizontal="left" vertical="top" wrapText="1"/>
      <protection locked="0"/>
    </xf>
    <xf numFmtId="0" fontId="5" fillId="0" borderId="6" xfId="0" applyNumberFormat="1" applyFont="1" applyFill="1" applyBorder="1" applyAlignment="1" applyProtection="1">
      <alignment horizontal="left" vertical="top" wrapText="1"/>
      <protection locked="0"/>
    </xf>
    <xf numFmtId="0" fontId="5" fillId="0" borderId="0" xfId="0" applyNumberFormat="1" applyFont="1" applyFill="1" applyBorder="1" applyAlignment="1" applyProtection="1">
      <alignment horizontal="left" vertical="top" wrapText="1"/>
      <protection locked="0"/>
    </xf>
    <xf numFmtId="0" fontId="5" fillId="0" borderId="12" xfId="0" applyNumberFormat="1" applyFont="1" applyFill="1" applyBorder="1" applyAlignment="1" applyProtection="1">
      <alignment horizontal="left" vertical="top" wrapText="1"/>
      <protection locked="0"/>
    </xf>
    <xf numFmtId="0" fontId="5" fillId="0" borderId="1" xfId="0" applyNumberFormat="1" applyFont="1" applyFill="1" applyBorder="1" applyAlignment="1" applyProtection="1">
      <alignment horizontal="left" vertical="top" wrapText="1"/>
      <protection locked="0"/>
    </xf>
    <xf numFmtId="0" fontId="5" fillId="0" borderId="4" xfId="0" applyNumberFormat="1" applyFont="1" applyFill="1" applyBorder="1" applyAlignment="1" applyProtection="1">
      <alignment horizontal="left" vertical="top" wrapText="1"/>
      <protection locked="0"/>
    </xf>
    <xf numFmtId="0" fontId="5" fillId="0" borderId="3" xfId="0" applyNumberFormat="1" applyFont="1" applyFill="1" applyBorder="1" applyAlignment="1" applyProtection="1">
      <alignment horizontal="left" vertical="top" wrapText="1"/>
      <protection locked="0"/>
    </xf>
    <xf numFmtId="0" fontId="5" fillId="44" borderId="16" xfId="0" applyNumberFormat="1" applyFont="1" applyFill="1" applyBorder="1" applyAlignment="1" applyProtection="1">
      <alignment horizontal="left" vertical="top" wrapText="1"/>
      <protection locked="0"/>
    </xf>
    <xf numFmtId="0" fontId="5" fillId="44" borderId="11" xfId="0" applyNumberFormat="1" applyFont="1" applyFill="1" applyBorder="1" applyAlignment="1" applyProtection="1">
      <alignment horizontal="left" vertical="top" wrapText="1"/>
      <protection locked="0"/>
    </xf>
    <xf numFmtId="0" fontId="5" fillId="44" borderId="13" xfId="0" applyNumberFormat="1" applyFont="1" applyFill="1" applyBorder="1" applyAlignment="1" applyProtection="1">
      <alignment horizontal="left" vertical="top" wrapText="1"/>
      <protection locked="0"/>
    </xf>
    <xf numFmtId="0" fontId="5" fillId="44" borderId="6" xfId="0" applyNumberFormat="1" applyFont="1" applyFill="1" applyBorder="1" applyAlignment="1" applyProtection="1">
      <alignment horizontal="left" vertical="top" wrapText="1"/>
      <protection locked="0"/>
    </xf>
    <xf numFmtId="0" fontId="5" fillId="44" borderId="0" xfId="0" applyNumberFormat="1" applyFont="1" applyFill="1" applyBorder="1" applyAlignment="1" applyProtection="1">
      <alignment horizontal="left" vertical="top" wrapText="1"/>
      <protection locked="0"/>
    </xf>
    <xf numFmtId="0" fontId="5" fillId="44" borderId="12" xfId="0" applyNumberFormat="1" applyFont="1" applyFill="1" applyBorder="1" applyAlignment="1" applyProtection="1">
      <alignment horizontal="left" vertical="top" wrapText="1"/>
      <protection locked="0"/>
    </xf>
    <xf numFmtId="0" fontId="5" fillId="44" borderId="1" xfId="0" applyNumberFormat="1" applyFont="1" applyFill="1" applyBorder="1" applyAlignment="1" applyProtection="1">
      <alignment horizontal="left" vertical="top" wrapText="1"/>
      <protection locked="0"/>
    </xf>
    <xf numFmtId="0" fontId="5" fillId="44" borderId="4" xfId="0" applyNumberFormat="1" applyFont="1" applyFill="1" applyBorder="1" applyAlignment="1" applyProtection="1">
      <alignment horizontal="left" vertical="top" wrapText="1"/>
      <protection locked="0"/>
    </xf>
    <xf numFmtId="0" fontId="5" fillId="44" borderId="3" xfId="0" applyNumberFormat="1" applyFont="1" applyFill="1" applyBorder="1" applyAlignment="1" applyProtection="1">
      <alignment horizontal="left" vertical="top" wrapText="1"/>
      <protection locked="0"/>
    </xf>
    <xf numFmtId="0" fontId="104" fillId="0" borderId="1" xfId="0" applyNumberFormat="1" applyFont="1" applyBorder="1" applyAlignment="1" applyProtection="1">
      <alignment horizontal="center" vertical="center" wrapText="1"/>
    </xf>
    <xf numFmtId="0" fontId="104" fillId="0" borderId="4" xfId="0" applyNumberFormat="1" applyFont="1" applyBorder="1" applyAlignment="1" applyProtection="1">
      <alignment horizontal="center" vertical="center" wrapText="1"/>
    </xf>
    <xf numFmtId="0" fontId="104" fillId="0" borderId="3" xfId="0" applyNumberFormat="1" applyFont="1" applyBorder="1" applyAlignment="1" applyProtection="1">
      <alignment horizontal="center" vertical="center" wrapText="1"/>
    </xf>
    <xf numFmtId="0" fontId="104" fillId="0" borderId="1" xfId="0" applyFont="1" applyBorder="1" applyAlignment="1" applyProtection="1">
      <alignment horizontal="center" vertical="center" wrapText="1"/>
    </xf>
    <xf numFmtId="0" fontId="104" fillId="0" borderId="4" xfId="0" applyFont="1" applyBorder="1" applyAlignment="1" applyProtection="1">
      <alignment horizontal="center" vertical="center" wrapText="1"/>
    </xf>
    <xf numFmtId="0" fontId="104" fillId="0" borderId="3" xfId="0" applyFont="1" applyBorder="1" applyAlignment="1" applyProtection="1">
      <alignment horizontal="center" vertical="center" wrapText="1"/>
    </xf>
    <xf numFmtId="0" fontId="28" fillId="0" borderId="1" xfId="0" applyFont="1" applyBorder="1" applyAlignment="1" applyProtection="1">
      <alignment horizontal="center" vertical="center" wrapText="1"/>
    </xf>
    <xf numFmtId="0" fontId="28" fillId="0" borderId="4" xfId="0" applyFont="1" applyBorder="1" applyAlignment="1" applyProtection="1">
      <alignment horizontal="center" vertical="center" wrapText="1"/>
    </xf>
    <xf numFmtId="0" fontId="28" fillId="0" borderId="3" xfId="0" applyFont="1" applyBorder="1" applyAlignment="1" applyProtection="1">
      <alignment horizontal="center" vertical="center" wrapText="1"/>
    </xf>
    <xf numFmtId="165" fontId="126" fillId="45" borderId="1" xfId="0" applyNumberFormat="1" applyFont="1" applyFill="1" applyBorder="1" applyAlignment="1" applyProtection="1">
      <alignment horizontal="center" vertical="center" wrapText="1"/>
    </xf>
    <xf numFmtId="165" fontId="126" fillId="45" borderId="4" xfId="0" applyNumberFormat="1" applyFont="1" applyFill="1" applyBorder="1" applyAlignment="1" applyProtection="1">
      <alignment horizontal="center" vertical="center" wrapText="1"/>
    </xf>
    <xf numFmtId="165" fontId="126" fillId="45" borderId="3" xfId="0" applyNumberFormat="1" applyFont="1" applyFill="1" applyBorder="1" applyAlignment="1" applyProtection="1">
      <alignment horizontal="center" vertical="center" wrapText="1"/>
    </xf>
    <xf numFmtId="0" fontId="122" fillId="44" borderId="1" xfId="0" quotePrefix="1" applyFont="1" applyFill="1" applyBorder="1" applyAlignment="1" applyProtection="1">
      <alignment horizontal="left"/>
      <protection locked="0"/>
    </xf>
    <xf numFmtId="0" fontId="122" fillId="44" borderId="4" xfId="0" applyFont="1" applyFill="1" applyBorder="1" applyAlignment="1" applyProtection="1">
      <alignment horizontal="left"/>
      <protection locked="0"/>
    </xf>
    <xf numFmtId="0" fontId="122" fillId="44" borderId="3" xfId="0" applyFont="1" applyFill="1" applyBorder="1" applyAlignment="1" applyProtection="1">
      <alignment horizontal="left"/>
      <protection locked="0"/>
    </xf>
    <xf numFmtId="49" fontId="122" fillId="44" borderId="2" xfId="0" quotePrefix="1" applyNumberFormat="1" applyFont="1" applyFill="1" applyBorder="1" applyAlignment="1" applyProtection="1">
      <alignment horizontal="left"/>
      <protection locked="0"/>
    </xf>
    <xf numFmtId="49" fontId="122" fillId="44" borderId="2" xfId="0" applyNumberFormat="1" applyFont="1" applyFill="1" applyBorder="1" applyAlignment="1" applyProtection="1">
      <alignment horizontal="left"/>
      <protection locked="0"/>
    </xf>
    <xf numFmtId="0" fontId="122" fillId="3" borderId="1" xfId="0" applyFont="1" applyFill="1" applyBorder="1" applyAlignment="1" applyProtection="1">
      <alignment horizontal="left"/>
      <protection locked="0"/>
    </xf>
    <xf numFmtId="0" fontId="122" fillId="3" borderId="3" xfId="0" applyFont="1" applyFill="1" applyBorder="1" applyAlignment="1" applyProtection="1">
      <alignment horizontal="left"/>
      <protection locked="0"/>
    </xf>
    <xf numFmtId="166" fontId="0" fillId="46" borderId="1" xfId="0" applyNumberFormat="1" applyFill="1" applyBorder="1" applyAlignment="1" applyProtection="1">
      <alignment horizontal="left"/>
    </xf>
    <xf numFmtId="166" fontId="0" fillId="46" borderId="3" xfId="0" applyNumberFormat="1" applyFill="1" applyBorder="1" applyAlignment="1" applyProtection="1">
      <alignment horizontal="left"/>
    </xf>
    <xf numFmtId="0" fontId="0" fillId="5" borderId="1" xfId="0" applyFill="1" applyBorder="1" applyAlignment="1" applyProtection="1">
      <alignment horizontal="left"/>
    </xf>
    <xf numFmtId="0" fontId="0" fillId="5" borderId="4" xfId="0" applyFill="1" applyBorder="1" applyAlignment="1" applyProtection="1">
      <alignment horizontal="left"/>
    </xf>
    <xf numFmtId="0" fontId="0" fillId="5" borderId="3" xfId="0" applyFill="1" applyBorder="1" applyAlignment="1" applyProtection="1">
      <alignment horizontal="left"/>
    </xf>
    <xf numFmtId="49" fontId="5" fillId="46" borderId="2" xfId="0" applyNumberFormat="1" applyFont="1" applyFill="1" applyBorder="1" applyAlignment="1" applyProtection="1">
      <alignment horizontal="left"/>
    </xf>
    <xf numFmtId="0" fontId="0" fillId="45" borderId="2" xfId="0" applyFill="1" applyBorder="1" applyAlignment="1" applyProtection="1">
      <alignment horizontal="center"/>
    </xf>
    <xf numFmtId="165" fontId="28" fillId="0" borderId="1" xfId="0" applyNumberFormat="1" applyFont="1" applyBorder="1" applyAlignment="1">
      <alignment horizontal="center" vertical="center"/>
    </xf>
    <xf numFmtId="165" fontId="28" fillId="0" borderId="4" xfId="0" applyNumberFormat="1" applyFont="1" applyBorder="1" applyAlignment="1">
      <alignment horizontal="center" vertical="center"/>
    </xf>
    <xf numFmtId="165" fontId="28" fillId="0" borderId="3" xfId="0" applyNumberFormat="1" applyFont="1" applyBorder="1" applyAlignment="1">
      <alignment horizontal="center" vertical="center"/>
    </xf>
    <xf numFmtId="0" fontId="104" fillId="0" borderId="16" xfId="0" applyFont="1" applyBorder="1" applyAlignment="1">
      <alignment horizontal="center" vertical="center" wrapText="1"/>
    </xf>
    <xf numFmtId="0" fontId="104" fillId="0" borderId="11" xfId="0" applyFont="1" applyBorder="1" applyAlignment="1">
      <alignment horizontal="center" vertical="center" wrapText="1"/>
    </xf>
    <xf numFmtId="0" fontId="104" fillId="0" borderId="13" xfId="0" applyFont="1" applyBorder="1" applyAlignment="1">
      <alignment horizontal="center" vertical="center" wrapText="1"/>
    </xf>
    <xf numFmtId="165" fontId="28" fillId="0" borderId="2" xfId="0" applyNumberFormat="1" applyFont="1" applyBorder="1" applyAlignment="1">
      <alignment horizontal="center" vertical="center"/>
    </xf>
    <xf numFmtId="0" fontId="104" fillId="0" borderId="5" xfId="0" applyNumberFormat="1" applyFont="1" applyBorder="1" applyAlignment="1">
      <alignment horizontal="center" vertical="center" wrapText="1"/>
    </xf>
    <xf numFmtId="0" fontId="28" fillId="0" borderId="2" xfId="0" applyFont="1" applyBorder="1" applyAlignment="1">
      <alignment horizontal="center" vertical="center"/>
    </xf>
    <xf numFmtId="0" fontId="28" fillId="0" borderId="1" xfId="0" applyFont="1" applyBorder="1" applyAlignment="1">
      <alignment horizontal="center" vertical="center"/>
    </xf>
    <xf numFmtId="0" fontId="28" fillId="0" borderId="4" xfId="0" applyFont="1" applyBorder="1" applyAlignment="1">
      <alignment horizontal="center" vertical="center"/>
    </xf>
    <xf numFmtId="0" fontId="28" fillId="0" borderId="3" xfId="0" applyFont="1" applyBorder="1" applyAlignment="1">
      <alignment horizontal="center" vertical="center"/>
    </xf>
    <xf numFmtId="0" fontId="104" fillId="0" borderId="5" xfId="0" applyFont="1" applyBorder="1" applyAlignment="1">
      <alignment horizontal="center" vertical="center" wrapText="1"/>
    </xf>
    <xf numFmtId="0" fontId="104" fillId="56" borderId="34" xfId="0" applyFont="1" applyFill="1" applyBorder="1" applyAlignment="1">
      <alignment horizontal="center" vertical="center" wrapText="1"/>
    </xf>
    <xf numFmtId="0" fontId="104" fillId="56" borderId="35" xfId="0" applyFont="1" applyFill="1" applyBorder="1" applyAlignment="1">
      <alignment horizontal="center" vertical="center" wrapText="1"/>
    </xf>
    <xf numFmtId="0" fontId="104" fillId="56" borderId="36" xfId="0" applyFont="1" applyFill="1" applyBorder="1" applyAlignment="1">
      <alignment horizontal="center" vertical="center" wrapText="1"/>
    </xf>
    <xf numFmtId="0" fontId="124" fillId="56" borderId="34" xfId="0" applyFont="1" applyFill="1" applyBorder="1" applyAlignment="1">
      <alignment horizontal="center" vertical="center" wrapText="1"/>
    </xf>
    <xf numFmtId="0" fontId="124" fillId="56" borderId="35" xfId="0" applyFont="1" applyFill="1" applyBorder="1" applyAlignment="1">
      <alignment horizontal="center" vertical="center" wrapText="1"/>
    </xf>
    <xf numFmtId="0" fontId="124" fillId="56" borderId="36" xfId="0" applyFont="1" applyFill="1" applyBorder="1" applyAlignment="1">
      <alignment horizontal="center" vertical="center" wrapText="1"/>
    </xf>
    <xf numFmtId="0" fontId="104" fillId="56" borderId="34" xfId="0" applyNumberFormat="1" applyFont="1" applyFill="1" applyBorder="1" applyAlignment="1">
      <alignment horizontal="center" vertical="center" wrapText="1"/>
    </xf>
    <xf numFmtId="0" fontId="104" fillId="56" borderId="35" xfId="0" applyNumberFormat="1" applyFont="1" applyFill="1" applyBorder="1" applyAlignment="1">
      <alignment horizontal="center" vertical="center" wrapText="1"/>
    </xf>
    <xf numFmtId="0" fontId="104" fillId="56" borderId="36" xfId="0" applyNumberFormat="1" applyFont="1" applyFill="1" applyBorder="1" applyAlignment="1">
      <alignment horizontal="center" vertical="center" wrapText="1"/>
    </xf>
    <xf numFmtId="0" fontId="22" fillId="56" borderId="34" xfId="0" applyNumberFormat="1" applyFont="1" applyFill="1" applyBorder="1" applyAlignment="1">
      <alignment horizontal="center" vertical="center" wrapText="1"/>
    </xf>
    <xf numFmtId="0" fontId="22" fillId="56" borderId="35" xfId="0" applyNumberFormat="1" applyFont="1" applyFill="1" applyBorder="1" applyAlignment="1">
      <alignment horizontal="center" vertical="center" wrapText="1"/>
    </xf>
    <xf numFmtId="0" fontId="22" fillId="56" borderId="36" xfId="0" applyNumberFormat="1" applyFont="1" applyFill="1" applyBorder="1" applyAlignment="1">
      <alignment horizontal="center" vertical="center" wrapText="1"/>
    </xf>
    <xf numFmtId="0" fontId="106" fillId="0" borderId="0" xfId="0" applyFont="1" applyAlignment="1">
      <alignment horizontal="center" vertical="center"/>
    </xf>
    <xf numFmtId="0" fontId="112" fillId="0" borderId="0" xfId="0" applyFont="1" applyAlignment="1">
      <alignment horizontal="center" vertical="center"/>
    </xf>
    <xf numFmtId="0" fontId="130" fillId="0" borderId="0" xfId="0" applyFont="1" applyAlignment="1">
      <alignment horizontal="center" vertical="center"/>
    </xf>
    <xf numFmtId="0" fontId="20" fillId="0" borderId="10" xfId="0" applyFont="1" applyBorder="1" applyAlignment="1">
      <alignment horizontal="center" vertical="top"/>
    </xf>
    <xf numFmtId="0" fontId="112" fillId="0" borderId="10" xfId="0" applyFont="1" applyBorder="1" applyAlignment="1">
      <alignment horizontal="center" vertical="top"/>
    </xf>
    <xf numFmtId="0" fontId="121" fillId="0" borderId="0" xfId="0" applyNumberFormat="1" applyFont="1" applyAlignment="1">
      <alignment horizontal="center"/>
    </xf>
    <xf numFmtId="165" fontId="28" fillId="0" borderId="1" xfId="0" applyNumberFormat="1" applyFont="1" applyBorder="1" applyAlignment="1">
      <alignment horizontal="center" vertical="center" wrapText="1"/>
    </xf>
    <xf numFmtId="165" fontId="28" fillId="0" borderId="4" xfId="0" applyNumberFormat="1" applyFont="1" applyBorder="1" applyAlignment="1">
      <alignment horizontal="center" vertical="center" wrapText="1"/>
    </xf>
    <xf numFmtId="165" fontId="28" fillId="0" borderId="3" xfId="0" applyNumberFormat="1" applyFont="1" applyBorder="1" applyAlignment="1">
      <alignment horizontal="center" vertical="center" wrapText="1"/>
    </xf>
    <xf numFmtId="2" fontId="104" fillId="0" borderId="1" xfId="0" applyNumberFormat="1" applyFont="1" applyBorder="1" applyAlignment="1">
      <alignment horizontal="center" vertical="center" wrapText="1"/>
    </xf>
    <xf numFmtId="2" fontId="104" fillId="0" borderId="4" xfId="0" applyNumberFormat="1" applyFont="1" applyBorder="1" applyAlignment="1">
      <alignment horizontal="center" vertical="center" wrapText="1"/>
    </xf>
    <xf numFmtId="2" fontId="104" fillId="0" borderId="3" xfId="0" applyNumberFormat="1" applyFont="1" applyBorder="1" applyAlignment="1">
      <alignment horizontal="center" vertical="center" wrapText="1"/>
    </xf>
    <xf numFmtId="0" fontId="104" fillId="0" borderId="1" xfId="0" applyFont="1" applyBorder="1" applyAlignment="1">
      <alignment horizontal="center" vertical="center" wrapText="1"/>
    </xf>
    <xf numFmtId="0" fontId="104" fillId="0" borderId="4" xfId="0" applyFont="1" applyBorder="1" applyAlignment="1">
      <alignment horizontal="center" vertical="center" wrapText="1"/>
    </xf>
    <xf numFmtId="0" fontId="104" fillId="0" borderId="1" xfId="0" applyNumberFormat="1" applyFont="1" applyBorder="1" applyAlignment="1">
      <alignment horizontal="center" vertical="center" wrapText="1"/>
    </xf>
    <xf numFmtId="0" fontId="104" fillId="0" borderId="4" xfId="0" applyNumberFormat="1" applyFont="1" applyBorder="1" applyAlignment="1">
      <alignment horizontal="center" vertical="center" wrapText="1"/>
    </xf>
    <xf numFmtId="0" fontId="104" fillId="0" borderId="3" xfId="0" applyNumberFormat="1" applyFont="1" applyBorder="1" applyAlignment="1">
      <alignment horizontal="center" vertical="center" wrapText="1"/>
    </xf>
    <xf numFmtId="0" fontId="104" fillId="0" borderId="3" xfId="0" applyFont="1" applyBorder="1" applyAlignment="1">
      <alignment horizontal="center" vertical="center" wrapText="1"/>
    </xf>
    <xf numFmtId="0" fontId="28" fillId="0" borderId="1" xfId="0" applyFont="1" applyBorder="1" applyAlignment="1">
      <alignment horizontal="center" vertical="center" wrapText="1"/>
    </xf>
    <xf numFmtId="0" fontId="28" fillId="0" borderId="4" xfId="0" applyFont="1" applyBorder="1" applyAlignment="1">
      <alignment horizontal="center" vertical="center" wrapText="1"/>
    </xf>
    <xf numFmtId="0" fontId="22" fillId="0" borderId="1" xfId="0" applyNumberFormat="1" applyFont="1" applyBorder="1" applyAlignment="1">
      <alignment horizontal="center" vertical="center" wrapText="1"/>
    </xf>
    <xf numFmtId="0" fontId="22" fillId="0" borderId="4" xfId="0" applyNumberFormat="1" applyFont="1" applyBorder="1" applyAlignment="1">
      <alignment horizontal="center" vertical="center" wrapText="1"/>
    </xf>
    <xf numFmtId="0" fontId="22" fillId="0" borderId="3" xfId="0" applyNumberFormat="1" applyFont="1" applyBorder="1" applyAlignment="1">
      <alignment horizontal="center" vertical="center" wrapText="1"/>
    </xf>
    <xf numFmtId="0" fontId="28" fillId="0" borderId="3" xfId="0" applyFont="1" applyBorder="1" applyAlignment="1">
      <alignment horizontal="center" vertical="center" wrapText="1"/>
    </xf>
    <xf numFmtId="0" fontId="104" fillId="0" borderId="0" xfId="0" applyNumberFormat="1" applyFont="1" applyAlignment="1">
      <alignment horizontal="left" vertical="top" wrapText="1"/>
    </xf>
    <xf numFmtId="0" fontId="105" fillId="0" borderId="0" xfId="0" applyFont="1" applyBorder="1" applyAlignment="1">
      <alignment horizontal="left" vertical="top" wrapText="1"/>
    </xf>
    <xf numFmtId="0" fontId="23" fillId="0" borderId="0" xfId="0" applyFont="1" applyAlignment="1">
      <alignment horizontal="left" vertical="top" wrapText="1"/>
    </xf>
    <xf numFmtId="0" fontId="105" fillId="0" borderId="0" xfId="0" applyFont="1" applyAlignment="1">
      <alignment horizontal="left" vertical="top" wrapText="1"/>
    </xf>
    <xf numFmtId="165" fontId="104" fillId="0" borderId="1" xfId="0" applyNumberFormat="1" applyFont="1" applyBorder="1" applyAlignment="1">
      <alignment horizontal="center" vertical="center"/>
    </xf>
    <xf numFmtId="165" fontId="104" fillId="0" borderId="4" xfId="0" applyNumberFormat="1" applyFont="1" applyBorder="1" applyAlignment="1">
      <alignment horizontal="center" vertical="center"/>
    </xf>
    <xf numFmtId="165" fontId="104" fillId="0" borderId="3" xfId="0" applyNumberFormat="1" applyFont="1" applyBorder="1" applyAlignment="1">
      <alignment horizontal="center" vertical="center"/>
    </xf>
    <xf numFmtId="0" fontId="32" fillId="0" borderId="0" xfId="0" applyFont="1" applyAlignment="1">
      <alignment horizontal="left" vertical="top" wrapText="1"/>
    </xf>
    <xf numFmtId="0" fontId="105" fillId="0" borderId="0" xfId="0" applyFont="1" applyAlignment="1">
      <alignment horizontal="left" vertical="center" wrapText="1"/>
    </xf>
    <xf numFmtId="0" fontId="106" fillId="0" borderId="0" xfId="0" applyNumberFormat="1" applyFont="1" applyAlignment="1">
      <alignment horizontal="center"/>
    </xf>
    <xf numFmtId="0" fontId="115" fillId="0" borderId="0" xfId="0" applyNumberFormat="1" applyFont="1" applyAlignment="1">
      <alignment horizontal="center"/>
    </xf>
    <xf numFmtId="0" fontId="129" fillId="0" borderId="0" xfId="0" applyFont="1" applyBorder="1" applyAlignment="1">
      <alignment horizontal="center"/>
    </xf>
    <xf numFmtId="49" fontId="105" fillId="0" borderId="0" xfId="0" applyNumberFormat="1" applyFont="1" applyAlignment="1">
      <alignment vertical="top" wrapText="1"/>
    </xf>
    <xf numFmtId="49" fontId="105" fillId="0" borderId="0" xfId="0" applyNumberFormat="1" applyFont="1" applyBorder="1" applyAlignment="1">
      <alignment horizontal="left"/>
    </xf>
    <xf numFmtId="0" fontId="128" fillId="0" borderId="0" xfId="0" applyNumberFormat="1" applyFont="1" applyAlignment="1">
      <alignment horizontal="center" vertical="center" textRotation="90"/>
    </xf>
    <xf numFmtId="0" fontId="121" fillId="0" borderId="0" xfId="0" applyFont="1" applyAlignment="1">
      <alignment horizontal="center"/>
    </xf>
    <xf numFmtId="165" fontId="104" fillId="0" borderId="2" xfId="0" applyNumberFormat="1" applyFont="1" applyBorder="1" applyAlignment="1">
      <alignment horizontal="center" vertical="center"/>
    </xf>
    <xf numFmtId="0" fontId="104" fillId="0" borderId="16" xfId="0" applyNumberFormat="1" applyFont="1" applyBorder="1" applyAlignment="1">
      <alignment horizontal="center" vertical="center" wrapText="1"/>
    </xf>
    <xf numFmtId="0" fontId="104" fillId="0" borderId="11" xfId="0" applyNumberFormat="1" applyFont="1" applyBorder="1" applyAlignment="1">
      <alignment horizontal="center" vertical="center" wrapText="1"/>
    </xf>
    <xf numFmtId="0" fontId="104" fillId="0" borderId="13" xfId="0" applyNumberFormat="1" applyFont="1" applyBorder="1" applyAlignment="1">
      <alignment horizontal="center" vertical="center" wrapText="1"/>
    </xf>
    <xf numFmtId="0" fontId="22" fillId="0" borderId="16" xfId="0" applyNumberFormat="1" applyFont="1" applyBorder="1" applyAlignment="1">
      <alignment horizontal="center" vertical="center" wrapText="1"/>
    </xf>
    <xf numFmtId="0" fontId="22" fillId="0" borderId="11" xfId="0" applyNumberFormat="1" applyFont="1" applyBorder="1" applyAlignment="1">
      <alignment horizontal="center" vertical="center" wrapText="1"/>
    </xf>
    <xf numFmtId="0" fontId="22" fillId="0" borderId="13" xfId="0" applyNumberFormat="1" applyFont="1" applyBorder="1" applyAlignment="1">
      <alignment horizontal="center" vertical="center" wrapText="1"/>
    </xf>
    <xf numFmtId="0" fontId="28" fillId="0" borderId="5" xfId="0" applyFont="1" applyBorder="1" applyAlignment="1">
      <alignment horizontal="center" vertical="center" wrapText="1"/>
    </xf>
    <xf numFmtId="0" fontId="104" fillId="0" borderId="2" xfId="0" applyNumberFormat="1" applyFont="1" applyBorder="1" applyAlignment="1">
      <alignment horizontal="center" vertical="center" wrapText="1"/>
    </xf>
    <xf numFmtId="0" fontId="28" fillId="0" borderId="8" xfId="0" applyFont="1" applyBorder="1" applyAlignment="1">
      <alignment horizontal="center" vertical="center" wrapText="1"/>
    </xf>
    <xf numFmtId="2" fontId="104" fillId="0" borderId="5" xfId="0" applyNumberFormat="1" applyFont="1" applyBorder="1" applyAlignment="1">
      <alignment horizontal="center" vertical="center" wrapText="1"/>
    </xf>
    <xf numFmtId="2" fontId="104" fillId="0" borderId="8" xfId="0" applyNumberFormat="1" applyFont="1" applyBorder="1" applyAlignment="1">
      <alignment horizontal="center" vertical="center" wrapText="1"/>
    </xf>
    <xf numFmtId="0" fontId="28" fillId="0" borderId="16" xfId="0" applyFont="1" applyBorder="1" applyAlignment="1">
      <alignment horizontal="center" vertical="center" wrapText="1"/>
    </xf>
    <xf numFmtId="0" fontId="28" fillId="0" borderId="13" xfId="0" applyFont="1" applyBorder="1" applyAlignment="1">
      <alignment horizontal="center" vertical="center" wrapText="1"/>
    </xf>
    <xf numFmtId="0" fontId="28" fillId="0" borderId="9" xfId="0" applyFont="1" applyBorder="1" applyAlignment="1">
      <alignment horizontal="center" vertical="center" wrapText="1"/>
    </xf>
    <xf numFmtId="0" fontId="28" fillId="0" borderId="7" xfId="0" applyFont="1" applyBorder="1" applyAlignment="1">
      <alignment horizontal="center" vertical="center" wrapText="1"/>
    </xf>
    <xf numFmtId="0" fontId="22" fillId="0" borderId="2" xfId="0" applyNumberFormat="1" applyFont="1" applyBorder="1" applyAlignment="1">
      <alignment horizontal="center" vertical="center" wrapText="1"/>
    </xf>
    <xf numFmtId="0" fontId="104" fillId="0" borderId="2" xfId="0" applyFont="1" applyBorder="1" applyAlignment="1">
      <alignment horizontal="center" vertical="center" wrapText="1"/>
    </xf>
    <xf numFmtId="165" fontId="28" fillId="0" borderId="5" xfId="0" applyNumberFormat="1" applyFont="1" applyBorder="1" applyAlignment="1">
      <alignment horizontal="center" vertical="center" wrapText="1"/>
    </xf>
    <xf numFmtId="165" fontId="28" fillId="0" borderId="8" xfId="0" applyNumberFormat="1" applyFont="1" applyBorder="1" applyAlignment="1">
      <alignment horizontal="center" vertical="center" wrapText="1"/>
    </xf>
    <xf numFmtId="49" fontId="0" fillId="5" borderId="9" xfId="0" applyNumberFormat="1" applyFill="1" applyBorder="1" applyAlignment="1" applyProtection="1">
      <alignment horizontal="left"/>
    </xf>
    <xf numFmtId="0" fontId="0" fillId="5" borderId="7" xfId="0" applyFill="1" applyBorder="1" applyAlignment="1" applyProtection="1">
      <alignment horizontal="left"/>
    </xf>
    <xf numFmtId="49" fontId="0" fillId="5" borderId="1" xfId="0" applyNumberFormat="1" applyFill="1" applyBorder="1" applyAlignment="1" applyProtection="1">
      <alignment horizontal="left"/>
    </xf>
    <xf numFmtId="0" fontId="32" fillId="0" borderId="0" xfId="0" applyNumberFormat="1" applyFont="1" applyAlignment="1">
      <alignment horizontal="left" vertical="top" wrapText="1"/>
    </xf>
    <xf numFmtId="0" fontId="32" fillId="0" borderId="0" xfId="0" applyNumberFormat="1" applyFont="1" applyAlignment="1">
      <alignment horizontal="left" vertical="top"/>
    </xf>
    <xf numFmtId="0" fontId="32" fillId="0" borderId="0" xfId="0" applyFont="1" applyAlignment="1">
      <alignment horizontal="left" vertical="center"/>
    </xf>
    <xf numFmtId="0" fontId="33" fillId="0" borderId="0" xfId="0" applyNumberFormat="1" applyFont="1" applyAlignment="1">
      <alignment horizontal="center"/>
    </xf>
    <xf numFmtId="0" fontId="32" fillId="0" borderId="0" xfId="0" applyFont="1" applyAlignment="1">
      <alignment horizontal="left" vertical="center" wrapText="1"/>
    </xf>
    <xf numFmtId="0" fontId="104" fillId="0" borderId="1" xfId="0" applyFont="1" applyBorder="1" applyAlignment="1">
      <alignment horizontal="center" vertical="center"/>
    </xf>
    <xf numFmtId="0" fontId="104" fillId="0" borderId="4" xfId="0" applyFont="1" applyBorder="1" applyAlignment="1">
      <alignment horizontal="center" vertical="center"/>
    </xf>
    <xf numFmtId="0" fontId="104" fillId="0" borderId="3" xfId="0" applyFont="1" applyBorder="1" applyAlignment="1">
      <alignment horizontal="center" vertical="center"/>
    </xf>
    <xf numFmtId="2" fontId="104" fillId="0" borderId="2" xfId="0" applyNumberFormat="1" applyFont="1" applyBorder="1" applyAlignment="1">
      <alignment horizontal="center" vertical="center"/>
    </xf>
    <xf numFmtId="165" fontId="104" fillId="0" borderId="2" xfId="0" applyNumberFormat="1" applyFont="1" applyBorder="1" applyAlignment="1">
      <alignment horizontal="center" vertical="center" wrapText="1"/>
    </xf>
    <xf numFmtId="2" fontId="104" fillId="0" borderId="2" xfId="0" applyNumberFormat="1" applyFont="1" applyBorder="1" applyAlignment="1">
      <alignment horizontal="center" vertical="center" wrapText="1"/>
    </xf>
    <xf numFmtId="0" fontId="32" fillId="0" borderId="1" xfId="0" applyFont="1" applyBorder="1" applyAlignment="1">
      <alignment horizontal="center" vertical="center" wrapText="1"/>
    </xf>
    <xf numFmtId="0" fontId="32" fillId="0" borderId="4" xfId="0" applyFont="1" applyBorder="1" applyAlignment="1">
      <alignment horizontal="center" vertical="center" wrapText="1"/>
    </xf>
    <xf numFmtId="0" fontId="32" fillId="0" borderId="3" xfId="0" applyFont="1" applyBorder="1" applyAlignment="1">
      <alignment horizontal="center" vertical="center" wrapText="1"/>
    </xf>
    <xf numFmtId="0" fontId="32" fillId="0" borderId="16" xfId="0" applyFont="1" applyBorder="1" applyAlignment="1">
      <alignment horizontal="center" vertical="center" wrapText="1"/>
    </xf>
    <xf numFmtId="0" fontId="32" fillId="0" borderId="11" xfId="0" applyFont="1" applyBorder="1" applyAlignment="1">
      <alignment horizontal="center" vertical="center" wrapText="1"/>
    </xf>
    <xf numFmtId="0" fontId="32" fillId="0" borderId="13" xfId="0" applyFont="1" applyBorder="1" applyAlignment="1">
      <alignment horizontal="center" vertical="center" wrapText="1"/>
    </xf>
    <xf numFmtId="0" fontId="32" fillId="0" borderId="1" xfId="0" applyNumberFormat="1" applyFont="1" applyBorder="1" applyAlignment="1">
      <alignment horizontal="center" vertical="center" wrapText="1"/>
    </xf>
    <xf numFmtId="0" fontId="32" fillId="0" borderId="4" xfId="0" applyNumberFormat="1" applyFont="1" applyBorder="1" applyAlignment="1">
      <alignment horizontal="center" vertical="center" wrapText="1"/>
    </xf>
    <xf numFmtId="0" fontId="32" fillId="0" borderId="3" xfId="0" applyNumberFormat="1" applyFont="1" applyBorder="1" applyAlignment="1">
      <alignment horizontal="center" vertical="center" wrapText="1"/>
    </xf>
    <xf numFmtId="2" fontId="32" fillId="0" borderId="4" xfId="0" applyNumberFormat="1" applyFont="1" applyBorder="1" applyAlignment="1">
      <alignment horizontal="left" vertical="center" wrapText="1"/>
    </xf>
    <xf numFmtId="0" fontId="32" fillId="0" borderId="3" xfId="0" applyNumberFormat="1" applyFont="1" applyBorder="1" applyAlignment="1">
      <alignment horizontal="left" vertical="center" wrapText="1"/>
    </xf>
    <xf numFmtId="0" fontId="32" fillId="0" borderId="1" xfId="0" applyFont="1" applyBorder="1" applyAlignment="1">
      <alignment horizontal="right" vertical="center" wrapText="1"/>
    </xf>
    <xf numFmtId="0" fontId="32" fillId="0" borderId="4" xfId="0" applyFont="1" applyBorder="1" applyAlignment="1">
      <alignment horizontal="right" vertical="center" wrapText="1"/>
    </xf>
    <xf numFmtId="0" fontId="32" fillId="0" borderId="3" xfId="0" applyFont="1" applyBorder="1" applyAlignment="1">
      <alignment horizontal="right" vertical="center" wrapText="1"/>
    </xf>
    <xf numFmtId="0" fontId="32" fillId="0" borderId="16" xfId="0" applyNumberFormat="1" applyFont="1" applyBorder="1" applyAlignment="1">
      <alignment horizontal="right" vertical="center" wrapText="1"/>
    </xf>
    <xf numFmtId="0" fontId="32" fillId="0" borderId="11" xfId="0" applyNumberFormat="1" applyFont="1" applyBorder="1" applyAlignment="1">
      <alignment horizontal="right" vertical="center" wrapText="1"/>
    </xf>
    <xf numFmtId="2" fontId="32" fillId="0" borderId="11" xfId="0" applyNumberFormat="1" applyFont="1" applyBorder="1" applyAlignment="1">
      <alignment horizontal="left" vertical="center" wrapText="1"/>
    </xf>
    <xf numFmtId="2" fontId="32" fillId="0" borderId="13" xfId="0" applyNumberFormat="1" applyFont="1" applyBorder="1" applyAlignment="1">
      <alignment horizontal="left" vertical="center" wrapText="1"/>
    </xf>
    <xf numFmtId="0" fontId="32" fillId="0" borderId="13" xfId="0" applyNumberFormat="1" applyFont="1" applyBorder="1" applyAlignment="1">
      <alignment horizontal="left" vertical="center" wrapText="1"/>
    </xf>
    <xf numFmtId="0" fontId="32" fillId="0" borderId="1" xfId="0" applyNumberFormat="1" applyFont="1" applyBorder="1" applyAlignment="1">
      <alignment horizontal="right" vertical="center" wrapText="1"/>
    </xf>
    <xf numFmtId="0" fontId="32" fillId="0" borderId="4" xfId="0" applyNumberFormat="1" applyFont="1" applyBorder="1" applyAlignment="1">
      <alignment horizontal="right" vertical="center" wrapText="1"/>
    </xf>
    <xf numFmtId="0" fontId="32" fillId="0" borderId="0" xfId="0" applyFont="1" applyAlignment="1">
      <alignment horizontal="left" wrapText="1"/>
    </xf>
    <xf numFmtId="2" fontId="32" fillId="0" borderId="3" xfId="0" applyNumberFormat="1" applyFont="1" applyBorder="1" applyAlignment="1">
      <alignment horizontal="left" vertical="center" wrapText="1"/>
    </xf>
    <xf numFmtId="168" fontId="32" fillId="0" borderId="9" xfId="0" applyNumberFormat="1" applyFont="1" applyBorder="1" applyAlignment="1">
      <alignment horizontal="center" vertical="center" wrapText="1"/>
    </xf>
    <xf numFmtId="168" fontId="32" fillId="0" borderId="10" xfId="0" applyNumberFormat="1" applyFont="1" applyBorder="1" applyAlignment="1">
      <alignment horizontal="center" vertical="center" wrapText="1"/>
    </xf>
    <xf numFmtId="168" fontId="32" fillId="0" borderId="7" xfId="0" applyNumberFormat="1" applyFont="1" applyBorder="1" applyAlignment="1">
      <alignment horizontal="center" vertical="center" wrapText="1"/>
    </xf>
    <xf numFmtId="0" fontId="28" fillId="56" borderId="34" xfId="0" applyFont="1" applyFill="1" applyBorder="1" applyAlignment="1">
      <alignment horizontal="center" vertical="center"/>
    </xf>
    <xf numFmtId="0" fontId="28" fillId="56" borderId="35" xfId="0" applyFont="1" applyFill="1" applyBorder="1" applyAlignment="1">
      <alignment horizontal="center" vertical="center"/>
    </xf>
    <xf numFmtId="0" fontId="28" fillId="56" borderId="36" xfId="0" applyFont="1" applyFill="1" applyBorder="1" applyAlignment="1">
      <alignment horizontal="center" vertical="center"/>
    </xf>
    <xf numFmtId="0" fontId="33" fillId="0" borderId="0" xfId="0" applyFont="1" applyAlignment="1">
      <alignment vertical="center"/>
    </xf>
    <xf numFmtId="0" fontId="32" fillId="0" borderId="0" xfId="0" applyFont="1" applyAlignment="1">
      <alignment vertical="center"/>
    </xf>
    <xf numFmtId="49" fontId="104" fillId="0" borderId="0" xfId="0" applyNumberFormat="1" applyFont="1" applyBorder="1" applyAlignment="1">
      <alignment horizontal="left"/>
    </xf>
    <xf numFmtId="0" fontId="104" fillId="0" borderId="0" xfId="0" applyFont="1" applyBorder="1" applyAlignment="1">
      <alignment horizontal="left"/>
    </xf>
    <xf numFmtId="0" fontId="104" fillId="0" borderId="16" xfId="0" applyFont="1" applyBorder="1" applyAlignment="1">
      <alignment horizontal="center" vertical="center"/>
    </xf>
    <xf numFmtId="0" fontId="104" fillId="0" borderId="11" xfId="0" applyFont="1" applyBorder="1" applyAlignment="1">
      <alignment horizontal="center" vertical="center"/>
    </xf>
    <xf numFmtId="49" fontId="0" fillId="5" borderId="3" xfId="0" applyNumberFormat="1" applyFill="1" applyBorder="1" applyAlignment="1" applyProtection="1">
      <alignment horizontal="left"/>
    </xf>
    <xf numFmtId="0" fontId="5" fillId="45" borderId="2" xfId="0" applyFont="1" applyFill="1" applyBorder="1" applyAlignment="1" applyProtection="1">
      <alignment horizontal="center"/>
    </xf>
    <xf numFmtId="49" fontId="0" fillId="5" borderId="2" xfId="0" applyNumberFormat="1" applyFill="1" applyBorder="1" applyAlignment="1" applyProtection="1">
      <alignment horizontal="center"/>
    </xf>
    <xf numFmtId="0" fontId="0" fillId="5" borderId="2" xfId="0" applyFill="1" applyBorder="1" applyAlignment="1" applyProtection="1">
      <alignment horizontal="center"/>
    </xf>
    <xf numFmtId="0" fontId="5" fillId="45" borderId="1" xfId="0" applyFont="1" applyFill="1" applyBorder="1" applyAlignment="1" applyProtection="1">
      <alignment horizontal="center"/>
    </xf>
    <xf numFmtId="0" fontId="0" fillId="7" borderId="3" xfId="0" applyFill="1" applyBorder="1" applyAlignment="1" applyProtection="1">
      <alignment horizontal="center"/>
    </xf>
    <xf numFmtId="0" fontId="5" fillId="3" borderId="1" xfId="0" applyFont="1" applyFill="1" applyBorder="1" applyAlignment="1" applyProtection="1">
      <alignment horizontal="center"/>
      <protection locked="0"/>
    </xf>
    <xf numFmtId="0" fontId="5" fillId="3" borderId="3" xfId="0" applyFont="1" applyFill="1" applyBorder="1" applyAlignment="1" applyProtection="1">
      <alignment horizontal="center"/>
      <protection locked="0"/>
    </xf>
    <xf numFmtId="0" fontId="1" fillId="3" borderId="1" xfId="0" applyFont="1" applyFill="1" applyBorder="1" applyAlignment="1" applyProtection="1">
      <alignment horizontal="center"/>
      <protection locked="0"/>
    </xf>
    <xf numFmtId="0" fontId="0" fillId="3" borderId="3" xfId="0" applyFill="1" applyBorder="1" applyAlignment="1" applyProtection="1">
      <alignment horizontal="center"/>
      <protection locked="0"/>
    </xf>
    <xf numFmtId="0" fontId="5" fillId="3" borderId="4" xfId="0" applyFont="1" applyFill="1" applyBorder="1" applyAlignment="1" applyProtection="1">
      <alignment horizontal="center"/>
      <protection locked="0"/>
    </xf>
    <xf numFmtId="0" fontId="1" fillId="3" borderId="1" xfId="0" applyFont="1" applyFill="1" applyBorder="1" applyAlignment="1" applyProtection="1">
      <alignment horizontal="left"/>
      <protection locked="0"/>
    </xf>
    <xf numFmtId="0" fontId="5" fillId="3" borderId="4" xfId="0" applyFont="1" applyFill="1" applyBorder="1" applyAlignment="1" applyProtection="1">
      <alignment horizontal="left"/>
      <protection locked="0"/>
    </xf>
    <xf numFmtId="0" fontId="5" fillId="3" borderId="3" xfId="0" applyFont="1" applyFill="1" applyBorder="1" applyAlignment="1" applyProtection="1">
      <alignment horizontal="left"/>
      <protection locked="0"/>
    </xf>
    <xf numFmtId="49" fontId="3" fillId="7" borderId="2" xfId="0" applyNumberFormat="1" applyFont="1" applyFill="1" applyBorder="1" applyAlignment="1" applyProtection="1"/>
    <xf numFmtId="0" fontId="1" fillId="45" borderId="9" xfId="0" applyFont="1" applyFill="1" applyBorder="1" applyAlignment="1" applyProtection="1">
      <alignment horizontal="center"/>
    </xf>
    <xf numFmtId="0" fontId="0" fillId="45" borderId="7" xfId="0" applyFill="1" applyBorder="1" applyAlignment="1" applyProtection="1">
      <alignment horizontal="center"/>
    </xf>
    <xf numFmtId="0" fontId="1" fillId="45" borderId="16" xfId="0" applyFont="1" applyFill="1" applyBorder="1" applyAlignment="1" applyProtection="1">
      <alignment horizontal="center"/>
    </xf>
    <xf numFmtId="0" fontId="1" fillId="45" borderId="11" xfId="0" applyFont="1" applyFill="1" applyBorder="1" applyAlignment="1" applyProtection="1">
      <alignment horizontal="center"/>
    </xf>
    <xf numFmtId="0" fontId="1" fillId="45" borderId="13" xfId="0" applyFont="1" applyFill="1" applyBorder="1" applyAlignment="1" applyProtection="1">
      <alignment horizontal="center"/>
    </xf>
    <xf numFmtId="0" fontId="5" fillId="45" borderId="10" xfId="0" applyFont="1" applyFill="1" applyBorder="1" applyAlignment="1" applyProtection="1">
      <alignment horizontal="center"/>
    </xf>
    <xf numFmtId="0" fontId="5" fillId="45" borderId="7" xfId="0" applyFont="1" applyFill="1" applyBorder="1" applyAlignment="1" applyProtection="1">
      <alignment horizontal="center"/>
    </xf>
    <xf numFmtId="0" fontId="1" fillId="7" borderId="16" xfId="0" applyFont="1" applyFill="1" applyBorder="1" applyAlignment="1" applyProtection="1">
      <alignment horizontal="center"/>
    </xf>
    <xf numFmtId="0" fontId="0" fillId="7" borderId="11" xfId="0" applyFill="1" applyBorder="1" applyAlignment="1" applyProtection="1">
      <alignment horizontal="center"/>
    </xf>
    <xf numFmtId="0" fontId="0" fillId="7" borderId="13" xfId="0" applyFill="1" applyBorder="1" applyAlignment="1" applyProtection="1">
      <alignment horizontal="center"/>
    </xf>
    <xf numFmtId="0" fontId="1" fillId="7" borderId="9" xfId="0" applyFont="1" applyFill="1" applyBorder="1" applyAlignment="1" applyProtection="1">
      <alignment horizontal="center"/>
    </xf>
    <xf numFmtId="0" fontId="0" fillId="7" borderId="10" xfId="0" applyFill="1" applyBorder="1" applyAlignment="1" applyProtection="1">
      <alignment horizontal="center"/>
    </xf>
    <xf numFmtId="0" fontId="0" fillId="7" borderId="7" xfId="0" applyFill="1" applyBorder="1" applyAlignment="1" applyProtection="1">
      <alignment horizontal="center"/>
    </xf>
    <xf numFmtId="49" fontId="0" fillId="5" borderId="8" xfId="0" applyNumberFormat="1" applyFill="1" applyBorder="1" applyAlignment="1" applyProtection="1"/>
    <xf numFmtId="49" fontId="0" fillId="5" borderId="2" xfId="0" applyNumberFormat="1" applyFill="1" applyBorder="1" applyAlignment="1" applyProtection="1"/>
    <xf numFmtId="0" fontId="0" fillId="45" borderId="16" xfId="0" applyFill="1" applyBorder="1" applyAlignment="1" applyProtection="1">
      <alignment horizontal="center"/>
    </xf>
    <xf numFmtId="0" fontId="0" fillId="45" borderId="13" xfId="0" applyFill="1" applyBorder="1" applyAlignment="1" applyProtection="1">
      <alignment horizontal="center"/>
    </xf>
    <xf numFmtId="0" fontId="28" fillId="56" borderId="33" xfId="0" applyFont="1" applyFill="1" applyBorder="1" applyAlignment="1">
      <alignment horizontal="center" vertical="center"/>
    </xf>
    <xf numFmtId="2" fontId="104" fillId="0" borderId="5" xfId="0" applyNumberFormat="1" applyFont="1" applyBorder="1" applyAlignment="1">
      <alignment horizontal="center" vertical="center"/>
    </xf>
    <xf numFmtId="165" fontId="104" fillId="0" borderId="5" xfId="0" applyNumberFormat="1" applyFont="1" applyBorder="1" applyAlignment="1">
      <alignment horizontal="center" vertical="center"/>
    </xf>
    <xf numFmtId="165" fontId="70" fillId="56" borderId="5" xfId="0" applyNumberFormat="1" applyFont="1" applyFill="1" applyBorder="1" applyAlignment="1">
      <alignment horizontal="center"/>
    </xf>
    <xf numFmtId="0" fontId="70" fillId="0" borderId="14" xfId="0" applyFont="1" applyBorder="1" applyAlignment="1">
      <alignment horizontal="center"/>
    </xf>
    <xf numFmtId="165" fontId="70" fillId="0" borderId="14" xfId="0" applyNumberFormat="1" applyFont="1" applyBorder="1" applyAlignment="1">
      <alignment horizontal="center"/>
    </xf>
    <xf numFmtId="2" fontId="70" fillId="0" borderId="14" xfId="0" applyNumberFormat="1" applyFont="1" applyBorder="1" applyAlignment="1">
      <alignment horizontal="center"/>
    </xf>
    <xf numFmtId="2" fontId="131" fillId="0" borderId="14" xfId="0" applyNumberFormat="1" applyFont="1" applyBorder="1" applyAlignment="1">
      <alignment horizontal="center"/>
    </xf>
    <xf numFmtId="1" fontId="131" fillId="0" borderId="14" xfId="0" applyNumberFormat="1" applyFont="1" applyBorder="1" applyAlignment="1">
      <alignment horizontal="center"/>
    </xf>
    <xf numFmtId="165" fontId="131" fillId="0" borderId="14" xfId="0" applyNumberFormat="1" applyFont="1" applyBorder="1" applyAlignment="1">
      <alignment horizontal="center"/>
    </xf>
    <xf numFmtId="0" fontId="70" fillId="56" borderId="8" xfId="0" applyFont="1" applyFill="1" applyBorder="1" applyAlignment="1">
      <alignment horizontal="center"/>
    </xf>
    <xf numFmtId="165" fontId="70" fillId="56" borderId="8" xfId="0" applyNumberFormat="1" applyFont="1" applyFill="1" applyBorder="1" applyAlignment="1">
      <alignment horizontal="center"/>
    </xf>
    <xf numFmtId="2" fontId="70" fillId="56" borderId="8" xfId="0" applyNumberFormat="1" applyFont="1" applyFill="1" applyBorder="1" applyAlignment="1">
      <alignment horizontal="center"/>
    </xf>
    <xf numFmtId="2" fontId="131" fillId="56" borderId="8" xfId="0" applyNumberFormat="1" applyFont="1" applyFill="1" applyBorder="1" applyAlignment="1">
      <alignment horizontal="center"/>
    </xf>
    <xf numFmtId="0" fontId="70" fillId="0" borderId="5" xfId="0" applyFont="1" applyBorder="1" applyAlignment="1">
      <alignment horizontal="center"/>
    </xf>
    <xf numFmtId="165" fontId="70" fillId="0" borderId="5" xfId="0" applyNumberFormat="1" applyFont="1" applyBorder="1" applyAlignment="1">
      <alignment horizontal="center"/>
    </xf>
    <xf numFmtId="2" fontId="70" fillId="0" borderId="5" xfId="0" applyNumberFormat="1" applyFont="1" applyBorder="1" applyAlignment="1">
      <alignment horizontal="center"/>
    </xf>
    <xf numFmtId="2" fontId="131" fillId="0" borderId="5" xfId="0" applyNumberFormat="1" applyFont="1" applyBorder="1" applyAlignment="1">
      <alignment horizontal="center"/>
    </xf>
    <xf numFmtId="1" fontId="131" fillId="56" borderId="5" xfId="0" applyNumberFormat="1" applyFont="1" applyFill="1" applyBorder="1" applyAlignment="1">
      <alignment horizontal="center"/>
    </xf>
    <xf numFmtId="165" fontId="131" fillId="56" borderId="5" xfId="0" applyNumberFormat="1" applyFont="1" applyFill="1" applyBorder="1" applyAlignment="1">
      <alignment horizontal="center"/>
    </xf>
    <xf numFmtId="2" fontId="131" fillId="56" borderId="14" xfId="0" applyNumberFormat="1" applyFont="1" applyFill="1" applyBorder="1" applyAlignment="1">
      <alignment horizontal="center"/>
    </xf>
    <xf numFmtId="165" fontId="70" fillId="56" borderId="14" xfId="0" applyNumberFormat="1" applyFont="1" applyFill="1" applyBorder="1" applyAlignment="1">
      <alignment horizontal="center"/>
    </xf>
    <xf numFmtId="0" fontId="70" fillId="56" borderId="14" xfId="0" applyFont="1" applyFill="1" applyBorder="1" applyAlignment="1">
      <alignment horizontal="center"/>
    </xf>
    <xf numFmtId="2" fontId="70" fillId="56" borderId="14" xfId="0" applyNumberFormat="1" applyFont="1" applyFill="1" applyBorder="1" applyAlignment="1">
      <alignment horizontal="center"/>
    </xf>
    <xf numFmtId="0" fontId="70" fillId="56" borderId="5" xfId="0" applyFont="1" applyFill="1" applyBorder="1" applyAlignment="1">
      <alignment horizontal="center"/>
    </xf>
    <xf numFmtId="0" fontId="70" fillId="0" borderId="8" xfId="0" applyFont="1" applyBorder="1" applyAlignment="1">
      <alignment horizontal="center"/>
    </xf>
    <xf numFmtId="165" fontId="70" fillId="0" borderId="8" xfId="0" applyNumberFormat="1" applyFont="1" applyBorder="1" applyAlignment="1">
      <alignment horizontal="center"/>
    </xf>
    <xf numFmtId="2" fontId="70" fillId="0" borderId="8" xfId="0" applyNumberFormat="1" applyFont="1" applyBorder="1" applyAlignment="1">
      <alignment horizontal="center"/>
    </xf>
    <xf numFmtId="2" fontId="131" fillId="0" borderId="8" xfId="0" applyNumberFormat="1" applyFont="1" applyBorder="1" applyAlignment="1">
      <alignment horizontal="center"/>
    </xf>
    <xf numFmtId="1" fontId="131" fillId="0" borderId="8" xfId="0" applyNumberFormat="1" applyFont="1" applyBorder="1" applyAlignment="1">
      <alignment horizontal="center"/>
    </xf>
    <xf numFmtId="1" fontId="131" fillId="56" borderId="14" xfId="0" applyNumberFormat="1" applyFont="1" applyFill="1" applyBorder="1" applyAlignment="1">
      <alignment horizontal="center"/>
    </xf>
    <xf numFmtId="165" fontId="131" fillId="56" borderId="14" xfId="0" applyNumberFormat="1" applyFont="1" applyFill="1" applyBorder="1" applyAlignment="1">
      <alignment horizontal="center"/>
    </xf>
    <xf numFmtId="1" fontId="131" fillId="0" borderId="5" xfId="0" applyNumberFormat="1" applyFont="1" applyBorder="1" applyAlignment="1">
      <alignment horizontal="center"/>
    </xf>
    <xf numFmtId="165" fontId="131" fillId="0" borderId="5" xfId="0" applyNumberFormat="1" applyFont="1" applyBorder="1" applyAlignment="1">
      <alignment horizontal="center"/>
    </xf>
    <xf numFmtId="1" fontId="131" fillId="56" borderId="8" xfId="0" applyNumberFormat="1" applyFont="1" applyFill="1" applyBorder="1" applyAlignment="1">
      <alignment horizontal="center"/>
    </xf>
    <xf numFmtId="165" fontId="131" fillId="56" borderId="8" xfId="0" applyNumberFormat="1" applyFont="1" applyFill="1" applyBorder="1" applyAlignment="1">
      <alignment horizontal="center"/>
    </xf>
    <xf numFmtId="165" fontId="131" fillId="0" borderId="8" xfId="0" applyNumberFormat="1" applyFont="1" applyBorder="1" applyAlignment="1">
      <alignment horizontal="center"/>
    </xf>
    <xf numFmtId="0" fontId="131" fillId="0" borderId="2" xfId="0" applyFont="1" applyBorder="1" applyAlignment="1">
      <alignment horizontal="center" vertical="center" wrapText="1"/>
    </xf>
    <xf numFmtId="0" fontId="131" fillId="0" borderId="2" xfId="0" applyNumberFormat="1" applyFont="1" applyBorder="1" applyAlignment="1">
      <alignment horizontal="center" vertical="center" wrapText="1"/>
    </xf>
    <xf numFmtId="2" fontId="131" fillId="56" borderId="5" xfId="0" applyNumberFormat="1" applyFont="1" applyFill="1" applyBorder="1" applyAlignment="1">
      <alignment horizontal="center"/>
    </xf>
    <xf numFmtId="2" fontId="70" fillId="56" borderId="5" xfId="0" applyNumberFormat="1" applyFont="1" applyFill="1" applyBorder="1" applyAlignment="1">
      <alignment horizontal="center"/>
    </xf>
    <xf numFmtId="0" fontId="104" fillId="0" borderId="0" xfId="0" applyNumberFormat="1" applyFont="1" applyAlignment="1">
      <alignment horizontal="center"/>
    </xf>
    <xf numFmtId="0" fontId="69" fillId="0" borderId="2" xfId="0" applyNumberFormat="1" applyFont="1" applyBorder="1" applyAlignment="1">
      <alignment horizontal="center" vertical="center" wrapText="1"/>
    </xf>
    <xf numFmtId="0" fontId="22" fillId="0" borderId="5" xfId="0" applyNumberFormat="1" applyFont="1" applyBorder="1" applyAlignment="1">
      <alignment horizontal="center" vertical="center" wrapText="1"/>
    </xf>
    <xf numFmtId="0" fontId="28" fillId="0" borderId="16" xfId="0" applyFont="1" applyBorder="1" applyAlignment="1">
      <alignment horizontal="center" vertical="center"/>
    </xf>
    <xf numFmtId="0" fontId="28" fillId="0" borderId="13" xfId="0" applyFont="1" applyBorder="1" applyAlignment="1">
      <alignment horizontal="center" vertical="center"/>
    </xf>
    <xf numFmtId="0" fontId="28" fillId="0" borderId="5" xfId="0" applyFont="1" applyBorder="1" applyAlignment="1">
      <alignment horizontal="center" vertical="center"/>
    </xf>
    <xf numFmtId="165" fontId="28" fillId="0" borderId="5" xfId="0" applyNumberFormat="1" applyFont="1" applyBorder="1" applyAlignment="1">
      <alignment horizontal="center" vertical="center"/>
    </xf>
    <xf numFmtId="2" fontId="28" fillId="0" borderId="5" xfId="0" applyNumberFormat="1" applyFont="1" applyBorder="1" applyAlignment="1">
      <alignment horizontal="center" vertical="center"/>
    </xf>
    <xf numFmtId="0" fontId="28" fillId="56" borderId="6" xfId="0" applyFont="1" applyFill="1" applyBorder="1" applyAlignment="1">
      <alignment horizontal="center" vertical="center"/>
    </xf>
    <xf numFmtId="0" fontId="28" fillId="56" borderId="12" xfId="0" applyFont="1" applyFill="1" applyBorder="1" applyAlignment="1">
      <alignment horizontal="center" vertical="center"/>
    </xf>
    <xf numFmtId="0" fontId="28" fillId="56" borderId="14" xfId="0" applyFont="1" applyFill="1" applyBorder="1" applyAlignment="1">
      <alignment horizontal="center" vertical="center"/>
    </xf>
    <xf numFmtId="165" fontId="28" fillId="56" borderId="14" xfId="0" applyNumberFormat="1" applyFont="1" applyFill="1" applyBorder="1" applyAlignment="1">
      <alignment horizontal="center" vertical="center"/>
    </xf>
    <xf numFmtId="2" fontId="28" fillId="56" borderId="14" xfId="0" applyNumberFormat="1" applyFont="1" applyFill="1" applyBorder="1" applyAlignment="1">
      <alignment horizontal="center" vertical="center"/>
    </xf>
    <xf numFmtId="2" fontId="104" fillId="56" borderId="14" xfId="0" applyNumberFormat="1" applyFont="1" applyFill="1" applyBorder="1" applyAlignment="1">
      <alignment horizontal="center" vertical="center"/>
    </xf>
    <xf numFmtId="165" fontId="104" fillId="56" borderId="14" xfId="0" applyNumberFormat="1" applyFont="1" applyFill="1" applyBorder="1" applyAlignment="1">
      <alignment horizontal="center" vertical="center"/>
    </xf>
    <xf numFmtId="165" fontId="28" fillId="0" borderId="14" xfId="0" applyNumberFormat="1" applyFont="1" applyBorder="1" applyAlignment="1">
      <alignment horizontal="center" vertical="center"/>
    </xf>
    <xf numFmtId="0" fontId="28" fillId="0" borderId="6" xfId="0" applyFont="1" applyBorder="1" applyAlignment="1">
      <alignment horizontal="center" vertical="center"/>
    </xf>
    <xf numFmtId="0" fontId="28" fillId="0" borderId="12" xfId="0" applyFont="1" applyBorder="1" applyAlignment="1">
      <alignment horizontal="center" vertical="center"/>
    </xf>
    <xf numFmtId="0" fontId="28" fillId="0" borderId="14" xfId="0" applyFont="1" applyBorder="1" applyAlignment="1">
      <alignment horizontal="center" vertical="center"/>
    </xf>
    <xf numFmtId="2" fontId="28" fillId="0" borderId="14" xfId="0" applyNumberFormat="1" applyFont="1" applyBorder="1" applyAlignment="1">
      <alignment horizontal="center" vertical="center"/>
    </xf>
    <xf numFmtId="2" fontId="104" fillId="0" borderId="14" xfId="0" applyNumberFormat="1" applyFont="1" applyBorder="1" applyAlignment="1">
      <alignment horizontal="center" vertical="center"/>
    </xf>
    <xf numFmtId="165" fontId="104" fillId="0" borderId="14" xfId="0" applyNumberFormat="1" applyFont="1" applyBorder="1" applyAlignment="1">
      <alignment horizontal="center" vertical="center"/>
    </xf>
    <xf numFmtId="0" fontId="28" fillId="56" borderId="9" xfId="0" applyFont="1" applyFill="1" applyBorder="1" applyAlignment="1">
      <alignment horizontal="center" vertical="center"/>
    </xf>
    <xf numFmtId="0" fontId="28" fillId="56" borderId="7" xfId="0" applyFont="1" applyFill="1" applyBorder="1" applyAlignment="1">
      <alignment horizontal="center" vertical="center"/>
    </xf>
    <xf numFmtId="0" fontId="131" fillId="0" borderId="5" xfId="0" applyNumberFormat="1" applyFont="1" applyBorder="1" applyAlignment="1">
      <alignment horizontal="center" vertical="center" wrapText="1"/>
    </xf>
    <xf numFmtId="0" fontId="131" fillId="0" borderId="5" xfId="0" applyFont="1" applyBorder="1" applyAlignment="1">
      <alignment horizontal="center" vertical="center" wrapText="1"/>
    </xf>
    <xf numFmtId="0" fontId="131" fillId="0" borderId="16" xfId="0" applyNumberFormat="1" applyFont="1" applyBorder="1" applyAlignment="1">
      <alignment horizontal="center" vertical="center" wrapText="1"/>
    </xf>
    <xf numFmtId="0" fontId="131" fillId="0" borderId="13" xfId="0" applyNumberFormat="1" applyFont="1" applyBorder="1" applyAlignment="1">
      <alignment horizontal="center" vertical="center" wrapText="1"/>
    </xf>
    <xf numFmtId="0" fontId="69" fillId="0" borderId="5" xfId="0" applyNumberFormat="1" applyFont="1" applyBorder="1" applyAlignment="1">
      <alignment horizontal="center" vertical="center" wrapText="1"/>
    </xf>
    <xf numFmtId="0" fontId="70" fillId="56" borderId="2" xfId="0" applyFont="1" applyFill="1" applyBorder="1" applyAlignment="1">
      <alignment horizontal="center"/>
    </xf>
    <xf numFmtId="165" fontId="70" fillId="56" borderId="2" xfId="0" applyNumberFormat="1" applyFont="1" applyFill="1" applyBorder="1" applyAlignment="1">
      <alignment horizontal="center"/>
    </xf>
    <xf numFmtId="2" fontId="70" fillId="56" borderId="2" xfId="0" applyNumberFormat="1" applyFont="1" applyFill="1" applyBorder="1" applyAlignment="1">
      <alignment horizontal="center"/>
    </xf>
    <xf numFmtId="2" fontId="131" fillId="56" borderId="2" xfId="0" applyNumberFormat="1" applyFont="1" applyFill="1" applyBorder="1" applyAlignment="1">
      <alignment horizontal="center"/>
    </xf>
    <xf numFmtId="1" fontId="131" fillId="56" borderId="2" xfId="0" applyNumberFormat="1" applyFont="1" applyFill="1" applyBorder="1" applyAlignment="1">
      <alignment horizontal="center"/>
    </xf>
    <xf numFmtId="165" fontId="131" fillId="56" borderId="2" xfId="0" applyNumberFormat="1" applyFont="1" applyFill="1" applyBorder="1" applyAlignment="1">
      <alignment horizontal="center"/>
    </xf>
    <xf numFmtId="49" fontId="105" fillId="0" borderId="0" xfId="0" applyNumberFormat="1" applyFont="1" applyBorder="1" applyAlignment="1" applyProtection="1">
      <alignment horizontal="left"/>
      <protection locked="0"/>
    </xf>
    <xf numFmtId="2" fontId="131" fillId="0" borderId="1" xfId="0" applyNumberFormat="1" applyFont="1" applyBorder="1" applyAlignment="1">
      <alignment horizontal="center"/>
    </xf>
    <xf numFmtId="2" fontId="131" fillId="0" borderId="3" xfId="0" applyNumberFormat="1" applyFont="1" applyBorder="1" applyAlignment="1">
      <alignment horizontal="center"/>
    </xf>
    <xf numFmtId="165" fontId="70" fillId="0" borderId="1" xfId="0" applyNumberFormat="1" applyFont="1" applyBorder="1" applyAlignment="1">
      <alignment horizontal="center"/>
    </xf>
    <xf numFmtId="165" fontId="70" fillId="0" borderId="3" xfId="0" applyNumberFormat="1" applyFont="1" applyBorder="1" applyAlignment="1">
      <alignment horizontal="center"/>
    </xf>
    <xf numFmtId="0" fontId="70" fillId="0" borderId="1" xfId="0" applyFont="1" applyBorder="1" applyAlignment="1">
      <alignment horizontal="center"/>
    </xf>
    <xf numFmtId="0" fontId="70" fillId="0" borderId="3" xfId="0" applyFont="1" applyBorder="1" applyAlignment="1">
      <alignment horizontal="center"/>
    </xf>
    <xf numFmtId="2" fontId="70" fillId="0" borderId="1" xfId="0" applyNumberFormat="1" applyFont="1" applyBorder="1" applyAlignment="1">
      <alignment horizontal="center"/>
    </xf>
    <xf numFmtId="2" fontId="70" fillId="0" borderId="3" xfId="0" applyNumberFormat="1" applyFont="1" applyBorder="1" applyAlignment="1">
      <alignment horizontal="center"/>
    </xf>
    <xf numFmtId="1" fontId="131" fillId="0" borderId="1" xfId="0" applyNumberFormat="1" applyFont="1" applyBorder="1" applyAlignment="1">
      <alignment horizontal="center"/>
    </xf>
    <xf numFmtId="1" fontId="131" fillId="0" borderId="3" xfId="0" applyNumberFormat="1" applyFont="1" applyBorder="1" applyAlignment="1">
      <alignment horizontal="center"/>
    </xf>
    <xf numFmtId="165" fontId="131" fillId="0" borderId="1" xfId="0" applyNumberFormat="1" applyFont="1" applyBorder="1" applyAlignment="1">
      <alignment horizontal="center"/>
    </xf>
    <xf numFmtId="165" fontId="131" fillId="0" borderId="3" xfId="0" applyNumberFormat="1" applyFont="1" applyBorder="1" applyAlignment="1">
      <alignment horizontal="center"/>
    </xf>
    <xf numFmtId="49" fontId="5" fillId="5" borderId="1" xfId="0" applyNumberFormat="1" applyFont="1" applyFill="1" applyBorder="1" applyAlignment="1" applyProtection="1">
      <alignment horizontal="left"/>
    </xf>
    <xf numFmtId="0" fontId="0" fillId="5" borderId="3" xfId="0" applyNumberFormat="1" applyFill="1" applyBorder="1" applyAlignment="1" applyProtection="1">
      <alignment horizontal="left"/>
    </xf>
    <xf numFmtId="0" fontId="5" fillId="5" borderId="9" xfId="0" applyNumberFormat="1" applyFont="1" applyFill="1" applyBorder="1" applyAlignment="1" applyProtection="1">
      <alignment horizontal="left"/>
    </xf>
    <xf numFmtId="0" fontId="0" fillId="5" borderId="7" xfId="0" applyNumberFormat="1" applyFill="1" applyBorder="1" applyAlignment="1" applyProtection="1">
      <alignment horizontal="left"/>
    </xf>
    <xf numFmtId="0" fontId="32" fillId="56" borderId="34" xfId="0" applyNumberFormat="1" applyFont="1" applyFill="1" applyBorder="1" applyAlignment="1">
      <alignment horizontal="center" vertical="center" wrapText="1"/>
    </xf>
    <xf numFmtId="0" fontId="32" fillId="56" borderId="36" xfId="0" applyNumberFormat="1" applyFont="1" applyFill="1" applyBorder="1" applyAlignment="1">
      <alignment horizontal="center" vertical="center" wrapText="1"/>
    </xf>
    <xf numFmtId="0" fontId="32" fillId="56" borderId="35" xfId="0" applyNumberFormat="1" applyFont="1" applyFill="1" applyBorder="1" applyAlignment="1">
      <alignment horizontal="center" vertical="center" wrapText="1"/>
    </xf>
    <xf numFmtId="0" fontId="105" fillId="56" borderId="34" xfId="0" applyFont="1" applyFill="1" applyBorder="1" applyAlignment="1">
      <alignment horizontal="center" vertical="center" wrapText="1"/>
    </xf>
    <xf numFmtId="0" fontId="105" fillId="56" borderId="36" xfId="0" applyFont="1" applyFill="1" applyBorder="1" applyAlignment="1">
      <alignment horizontal="center" vertical="center" wrapText="1"/>
    </xf>
    <xf numFmtId="0" fontId="32" fillId="56" borderId="34" xfId="0" applyFont="1" applyFill="1" applyBorder="1" applyAlignment="1">
      <alignment horizontal="center" vertical="center" wrapText="1"/>
    </xf>
    <xf numFmtId="0" fontId="32" fillId="56" borderId="36" xfId="0" applyFont="1" applyFill="1" applyBorder="1" applyAlignment="1">
      <alignment horizontal="center" vertical="center" wrapText="1"/>
    </xf>
    <xf numFmtId="0" fontId="105" fillId="0" borderId="5" xfId="0" applyFont="1" applyBorder="1" applyAlignment="1">
      <alignment horizontal="center" vertical="center" wrapText="1"/>
    </xf>
    <xf numFmtId="0" fontId="32" fillId="0" borderId="16" xfId="0" applyNumberFormat="1" applyFont="1" applyBorder="1" applyAlignment="1">
      <alignment horizontal="center" vertical="center" wrapText="1"/>
    </xf>
    <xf numFmtId="0" fontId="32" fillId="0" borderId="11" xfId="0" applyNumberFormat="1" applyFont="1" applyBorder="1" applyAlignment="1">
      <alignment horizontal="center" vertical="center" wrapText="1"/>
    </xf>
    <xf numFmtId="0" fontId="32" fillId="0" borderId="13" xfId="0" applyNumberFormat="1" applyFont="1" applyBorder="1" applyAlignment="1">
      <alignment horizontal="center" vertical="center" wrapText="1"/>
    </xf>
    <xf numFmtId="0" fontId="32" fillId="0" borderId="5" xfId="0" applyFont="1" applyBorder="1" applyAlignment="1">
      <alignment horizontal="center" vertical="center" wrapText="1"/>
    </xf>
    <xf numFmtId="0" fontId="32" fillId="0" borderId="5" xfId="0" applyNumberFormat="1" applyFont="1" applyBorder="1" applyAlignment="1">
      <alignment horizontal="center" vertical="center" wrapText="1"/>
    </xf>
    <xf numFmtId="0" fontId="32" fillId="56" borderId="14" xfId="0" applyNumberFormat="1" applyFont="1" applyFill="1" applyBorder="1" applyAlignment="1">
      <alignment horizontal="center" vertical="center" wrapText="1"/>
    </xf>
    <xf numFmtId="0" fontId="105" fillId="56" borderId="14" xfId="0" applyFont="1" applyFill="1" applyBorder="1" applyAlignment="1">
      <alignment horizontal="center" vertical="center" wrapText="1"/>
    </xf>
    <xf numFmtId="2" fontId="105" fillId="56" borderId="6" xfId="0" applyNumberFormat="1" applyFont="1" applyFill="1" applyBorder="1" applyAlignment="1">
      <alignment horizontal="center" vertical="center" wrapText="1"/>
    </xf>
    <xf numFmtId="2" fontId="105" fillId="56" borderId="12" xfId="0" applyNumberFormat="1" applyFont="1" applyFill="1" applyBorder="1" applyAlignment="1">
      <alignment horizontal="center" vertical="center" wrapText="1"/>
    </xf>
    <xf numFmtId="1" fontId="32" fillId="56" borderId="14" xfId="0" applyNumberFormat="1" applyFont="1" applyFill="1" applyBorder="1" applyAlignment="1">
      <alignment horizontal="center" vertical="center" wrapText="1"/>
    </xf>
    <xf numFmtId="1" fontId="32" fillId="56" borderId="6" xfId="0" applyNumberFormat="1" applyFont="1" applyFill="1" applyBorder="1" applyAlignment="1">
      <alignment horizontal="center" vertical="center" wrapText="1"/>
    </xf>
    <xf numFmtId="1" fontId="32" fillId="56" borderId="12" xfId="0" applyNumberFormat="1" applyFont="1" applyFill="1" applyBorder="1" applyAlignment="1">
      <alignment horizontal="center" vertical="center" wrapText="1"/>
    </xf>
    <xf numFmtId="2" fontId="32" fillId="56" borderId="6" xfId="0" applyNumberFormat="1" applyFont="1" applyFill="1" applyBorder="1" applyAlignment="1">
      <alignment horizontal="center" vertical="center" wrapText="1"/>
    </xf>
    <xf numFmtId="2" fontId="32" fillId="56" borderId="12" xfId="0" applyNumberFormat="1" applyFont="1" applyFill="1" applyBorder="1" applyAlignment="1">
      <alignment horizontal="center" vertical="center" wrapText="1"/>
    </xf>
    <xf numFmtId="165" fontId="32" fillId="56" borderId="6" xfId="0" applyNumberFormat="1" applyFont="1" applyFill="1" applyBorder="1" applyAlignment="1">
      <alignment horizontal="center" vertical="center" wrapText="1"/>
    </xf>
    <xf numFmtId="165" fontId="32" fillId="56" borderId="0" xfId="0" applyNumberFormat="1" applyFont="1" applyFill="1" applyBorder="1" applyAlignment="1">
      <alignment horizontal="center" vertical="center" wrapText="1"/>
    </xf>
    <xf numFmtId="165" fontId="32" fillId="56" borderId="12" xfId="0" applyNumberFormat="1" applyFont="1" applyFill="1" applyBorder="1" applyAlignment="1">
      <alignment horizontal="center" vertical="center" wrapText="1"/>
    </xf>
    <xf numFmtId="2" fontId="32" fillId="0" borderId="16" xfId="0" applyNumberFormat="1" applyFont="1" applyBorder="1" applyAlignment="1">
      <alignment horizontal="center" vertical="center" wrapText="1"/>
    </xf>
    <xf numFmtId="2" fontId="32" fillId="0" borderId="13" xfId="0" applyNumberFormat="1" applyFont="1" applyBorder="1" applyAlignment="1">
      <alignment horizontal="center" vertical="center" wrapText="1"/>
    </xf>
    <xf numFmtId="165" fontId="32" fillId="0" borderId="16" xfId="0" applyNumberFormat="1" applyFont="1" applyBorder="1" applyAlignment="1">
      <alignment horizontal="center" vertical="center" wrapText="1"/>
    </xf>
    <xf numFmtId="165" fontId="32" fillId="0" borderId="11" xfId="0" applyNumberFormat="1" applyFont="1" applyBorder="1" applyAlignment="1">
      <alignment horizontal="center" vertical="center" wrapText="1"/>
    </xf>
    <xf numFmtId="165" fontId="32" fillId="0" borderId="13" xfId="0" applyNumberFormat="1" applyFont="1" applyBorder="1" applyAlignment="1">
      <alignment horizontal="center" vertical="center" wrapText="1"/>
    </xf>
    <xf numFmtId="2" fontId="105" fillId="0" borderId="16" xfId="0" applyNumberFormat="1" applyFont="1" applyBorder="1" applyAlignment="1">
      <alignment horizontal="center" vertical="center" wrapText="1"/>
    </xf>
    <xf numFmtId="2" fontId="105" fillId="0" borderId="13" xfId="0" applyNumberFormat="1" applyFont="1" applyBorder="1" applyAlignment="1">
      <alignment horizontal="center" vertical="center" wrapText="1"/>
    </xf>
    <xf numFmtId="1" fontId="32" fillId="0" borderId="5" xfId="0" applyNumberFormat="1" applyFont="1" applyBorder="1" applyAlignment="1">
      <alignment horizontal="center" vertical="center" wrapText="1"/>
    </xf>
    <xf numFmtId="1" fontId="32" fillId="0" borderId="16" xfId="0" applyNumberFormat="1" applyFont="1" applyBorder="1" applyAlignment="1">
      <alignment horizontal="center" vertical="center" wrapText="1"/>
    </xf>
    <xf numFmtId="1" fontId="32" fillId="0" borderId="13" xfId="0" applyNumberFormat="1" applyFont="1" applyBorder="1" applyAlignment="1">
      <alignment horizontal="center" vertical="center" wrapText="1"/>
    </xf>
    <xf numFmtId="2" fontId="32" fillId="0" borderId="6" xfId="0" applyNumberFormat="1" applyFont="1" applyBorder="1" applyAlignment="1">
      <alignment horizontal="center" vertical="center" wrapText="1"/>
    </xf>
    <xf numFmtId="2" fontId="32" fillId="0" borderId="12" xfId="0" applyNumberFormat="1" applyFont="1" applyBorder="1" applyAlignment="1">
      <alignment horizontal="center" vertical="center" wrapText="1"/>
    </xf>
    <xf numFmtId="165" fontId="32" fillId="0" borderId="6" xfId="0" applyNumberFormat="1" applyFont="1" applyBorder="1" applyAlignment="1">
      <alignment horizontal="center" vertical="center" wrapText="1"/>
    </xf>
    <xf numFmtId="165" fontId="32" fillId="0" borderId="0" xfId="0" applyNumberFormat="1" applyFont="1" applyBorder="1" applyAlignment="1">
      <alignment horizontal="center" vertical="center" wrapText="1"/>
    </xf>
    <xf numFmtId="165" fontId="32" fillId="0" borderId="12" xfId="0" applyNumberFormat="1" applyFont="1" applyBorder="1" applyAlignment="1">
      <alignment horizontal="center" vertical="center" wrapText="1"/>
    </xf>
    <xf numFmtId="0" fontId="105" fillId="0" borderId="14" xfId="0" applyFont="1" applyBorder="1" applyAlignment="1">
      <alignment horizontal="center" vertical="center" wrapText="1"/>
    </xf>
    <xf numFmtId="0" fontId="32" fillId="0" borderId="14" xfId="0" applyNumberFormat="1" applyFont="1" applyBorder="1" applyAlignment="1">
      <alignment horizontal="center" vertical="center" wrapText="1"/>
    </xf>
    <xf numFmtId="2" fontId="105" fillId="0" borderId="6" xfId="0" applyNumberFormat="1" applyFont="1" applyBorder="1" applyAlignment="1">
      <alignment horizontal="center" vertical="center" wrapText="1"/>
    </xf>
    <xf numFmtId="2" fontId="105" fillId="0" borderId="12" xfId="0" applyNumberFormat="1" applyFont="1" applyBorder="1" applyAlignment="1">
      <alignment horizontal="center" vertical="center" wrapText="1"/>
    </xf>
    <xf numFmtId="1" fontId="32" fillId="0" borderId="14" xfId="0" applyNumberFormat="1" applyFont="1" applyBorder="1" applyAlignment="1">
      <alignment horizontal="center" vertical="center" wrapText="1"/>
    </xf>
    <xf numFmtId="1" fontId="32" fillId="0" borderId="6" xfId="0" applyNumberFormat="1" applyFont="1" applyBorder="1" applyAlignment="1">
      <alignment horizontal="center" vertical="center" wrapText="1"/>
    </xf>
    <xf numFmtId="1" fontId="32" fillId="0" borderId="12" xfId="0" applyNumberFormat="1" applyFont="1" applyBorder="1" applyAlignment="1">
      <alignment horizontal="center" vertical="center" wrapText="1"/>
    </xf>
    <xf numFmtId="1" fontId="32" fillId="56" borderId="8" xfId="0" applyNumberFormat="1" applyFont="1" applyFill="1" applyBorder="1" applyAlignment="1">
      <alignment horizontal="center" vertical="center" wrapText="1"/>
    </xf>
    <xf numFmtId="2" fontId="32" fillId="56" borderId="8" xfId="0" applyNumberFormat="1" applyFont="1" applyFill="1" applyBorder="1" applyAlignment="1">
      <alignment horizontal="center" vertical="center" wrapText="1"/>
    </xf>
    <xf numFmtId="0" fontId="105" fillId="56" borderId="8" xfId="0" applyFont="1" applyFill="1" applyBorder="1" applyAlignment="1">
      <alignment horizontal="center" vertical="center" wrapText="1"/>
    </xf>
    <xf numFmtId="165" fontId="32" fillId="56" borderId="8" xfId="0" applyNumberFormat="1" applyFont="1" applyFill="1" applyBorder="1" applyAlignment="1">
      <alignment horizontal="center" vertical="center" wrapText="1"/>
    </xf>
    <xf numFmtId="0" fontId="32" fillId="56" borderId="8" xfId="0" applyNumberFormat="1" applyFont="1" applyFill="1" applyBorder="1" applyAlignment="1">
      <alignment horizontal="center" vertical="center" wrapText="1"/>
    </xf>
    <xf numFmtId="2" fontId="105" fillId="56" borderId="8" xfId="0" applyNumberFormat="1" applyFont="1" applyFill="1" applyBorder="1" applyAlignment="1">
      <alignment horizontal="center" vertical="center" wrapText="1"/>
    </xf>
    <xf numFmtId="0" fontId="105" fillId="0" borderId="6" xfId="0" applyFont="1" applyBorder="1" applyAlignment="1">
      <alignment horizontal="center" vertical="center" wrapText="1"/>
    </xf>
    <xf numFmtId="0" fontId="105" fillId="0" borderId="12" xfId="0" applyFont="1" applyBorder="1" applyAlignment="1">
      <alignment horizontal="center" vertical="center" wrapText="1"/>
    </xf>
    <xf numFmtId="2" fontId="0" fillId="7" borderId="1" xfId="0" applyNumberFormat="1" applyFill="1" applyBorder="1" applyAlignment="1" applyProtection="1">
      <alignment horizontal="center"/>
    </xf>
    <xf numFmtId="2" fontId="0" fillId="7" borderId="3" xfId="0" applyNumberFormat="1" applyFill="1" applyBorder="1" applyAlignment="1" applyProtection="1">
      <alignment horizontal="center"/>
    </xf>
    <xf numFmtId="0" fontId="5" fillId="7" borderId="1" xfId="37" applyFont="1" applyFill="1" applyBorder="1" applyAlignment="1" applyProtection="1">
      <alignment horizontal="center"/>
    </xf>
    <xf numFmtId="0" fontId="5" fillId="7" borderId="3" xfId="37" applyFont="1" applyFill="1" applyBorder="1" applyAlignment="1" applyProtection="1">
      <alignment horizontal="center"/>
    </xf>
    <xf numFmtId="2" fontId="3" fillId="7" borderId="1" xfId="0" applyNumberFormat="1" applyFont="1" applyFill="1" applyBorder="1" applyAlignment="1" applyProtection="1">
      <alignment horizontal="center"/>
    </xf>
    <xf numFmtId="2" fontId="3" fillId="7" borderId="3" xfId="0" applyNumberFormat="1" applyFont="1" applyFill="1" applyBorder="1" applyAlignment="1" applyProtection="1">
      <alignment horizontal="center"/>
    </xf>
    <xf numFmtId="0" fontId="5" fillId="5" borderId="1" xfId="0" applyNumberFormat="1" applyFont="1" applyFill="1" applyBorder="1" applyAlignment="1" applyProtection="1">
      <alignment horizontal="left"/>
    </xf>
    <xf numFmtId="0" fontId="105" fillId="0" borderId="0" xfId="0" applyFont="1" applyBorder="1" applyAlignment="1">
      <alignment vertical="center" wrapText="1"/>
    </xf>
    <xf numFmtId="0" fontId="0" fillId="0" borderId="0" xfId="0" applyAlignment="1">
      <alignment horizontal="left" vertical="top" wrapText="1"/>
    </xf>
    <xf numFmtId="0" fontId="32" fillId="56" borderId="35" xfId="0" applyFont="1" applyFill="1" applyBorder="1" applyAlignment="1">
      <alignment horizontal="center" vertical="center" wrapText="1"/>
    </xf>
    <xf numFmtId="0" fontId="29" fillId="56" borderId="34" xfId="0" applyFont="1" applyFill="1" applyBorder="1" applyAlignment="1">
      <alignment horizontal="center" vertical="center" wrapText="1"/>
    </xf>
    <xf numFmtId="166" fontId="32" fillId="0" borderId="1" xfId="0" applyNumberFormat="1" applyFont="1" applyBorder="1" applyAlignment="1">
      <alignment horizontal="center" vertical="center" wrapText="1"/>
    </xf>
    <xf numFmtId="166" fontId="32" fillId="0" borderId="4" xfId="0" applyNumberFormat="1" applyFont="1" applyBorder="1" applyAlignment="1">
      <alignment horizontal="center" vertical="center" wrapText="1"/>
    </xf>
    <xf numFmtId="166" fontId="32" fillId="0" borderId="3" xfId="0" applyNumberFormat="1" applyFont="1" applyBorder="1" applyAlignment="1">
      <alignment horizontal="center" vertical="center" wrapText="1"/>
    </xf>
    <xf numFmtId="0" fontId="32" fillId="56" borderId="1" xfId="0" applyFont="1" applyFill="1" applyBorder="1" applyAlignment="1">
      <alignment horizontal="center" vertical="center" wrapText="1"/>
    </xf>
    <xf numFmtId="0" fontId="32" fillId="56" borderId="4" xfId="0" applyFont="1" applyFill="1" applyBorder="1" applyAlignment="1">
      <alignment horizontal="center" vertical="center" wrapText="1"/>
    </xf>
    <xf numFmtId="0" fontId="32" fillId="56" borderId="3" xfId="0" applyFont="1" applyFill="1" applyBorder="1" applyAlignment="1">
      <alignment horizontal="center" vertical="center" wrapText="1"/>
    </xf>
    <xf numFmtId="166" fontId="32" fillId="56" borderId="1" xfId="0" applyNumberFormat="1" applyFont="1" applyFill="1" applyBorder="1" applyAlignment="1">
      <alignment horizontal="center" vertical="center" wrapText="1"/>
    </xf>
    <xf numFmtId="166" fontId="32" fillId="56" borderId="4" xfId="0" applyNumberFormat="1" applyFont="1" applyFill="1" applyBorder="1" applyAlignment="1">
      <alignment horizontal="center" vertical="center" wrapText="1"/>
    </xf>
    <xf numFmtId="166" fontId="32" fillId="56" borderId="3" xfId="0" applyNumberFormat="1" applyFont="1" applyFill="1" applyBorder="1" applyAlignment="1">
      <alignment horizontal="center" vertical="center" wrapText="1"/>
    </xf>
    <xf numFmtId="2" fontId="32" fillId="0" borderId="1" xfId="0" applyNumberFormat="1" applyFont="1" applyBorder="1" applyAlignment="1">
      <alignment horizontal="center" vertical="center" wrapText="1"/>
    </xf>
    <xf numFmtId="2" fontId="32" fillId="0" borderId="4" xfId="0" applyNumberFormat="1" applyFont="1" applyBorder="1" applyAlignment="1">
      <alignment horizontal="center" vertical="center" wrapText="1"/>
    </xf>
    <xf numFmtId="2" fontId="32" fillId="0" borderId="3" xfId="0" applyNumberFormat="1" applyFont="1" applyBorder="1" applyAlignment="1">
      <alignment horizontal="center" vertical="center" wrapText="1"/>
    </xf>
    <xf numFmtId="0" fontId="104" fillId="0" borderId="37" xfId="0" applyFont="1" applyBorder="1" applyAlignment="1">
      <alignment horizontal="center" vertical="center"/>
    </xf>
    <xf numFmtId="0" fontId="104" fillId="0" borderId="38" xfId="0" applyFont="1" applyBorder="1" applyAlignment="1">
      <alignment horizontal="center" vertical="center"/>
    </xf>
    <xf numFmtId="0" fontId="104" fillId="0" borderId="37" xfId="0" applyFont="1" applyBorder="1" applyAlignment="1">
      <alignment horizontal="center" vertical="center" wrapText="1"/>
    </xf>
    <xf numFmtId="0" fontId="104" fillId="0" borderId="38" xfId="0" applyFont="1" applyBorder="1" applyAlignment="1">
      <alignment horizontal="center" vertical="center" wrapText="1"/>
    </xf>
    <xf numFmtId="0" fontId="104" fillId="0" borderId="39" xfId="0" applyFont="1" applyBorder="1" applyAlignment="1">
      <alignment horizontal="center" vertical="center" wrapText="1"/>
    </xf>
    <xf numFmtId="0" fontId="132" fillId="0" borderId="21" xfId="0" applyFont="1" applyBorder="1" applyAlignment="1">
      <alignment horizontal="center" vertical="center" wrapText="1"/>
    </xf>
    <xf numFmtId="0" fontId="104" fillId="56" borderId="34" xfId="0" applyFont="1" applyFill="1" applyBorder="1" applyAlignment="1">
      <alignment horizontal="center" vertical="center"/>
    </xf>
    <xf numFmtId="0" fontId="104" fillId="56" borderId="35" xfId="0" applyFont="1" applyFill="1" applyBorder="1" applyAlignment="1">
      <alignment horizontal="center" vertical="center"/>
    </xf>
    <xf numFmtId="0" fontId="104" fillId="56" borderId="36" xfId="0" applyFont="1" applyFill="1" applyBorder="1" applyAlignment="1">
      <alignment horizontal="center" vertical="center"/>
    </xf>
    <xf numFmtId="166" fontId="28" fillId="0" borderId="1" xfId="0" applyNumberFormat="1" applyFont="1" applyBorder="1" applyAlignment="1">
      <alignment horizontal="center" vertical="center"/>
    </xf>
    <xf numFmtId="166" fontId="28" fillId="0" borderId="4" xfId="0" applyNumberFormat="1" applyFont="1" applyBorder="1" applyAlignment="1">
      <alignment horizontal="center" vertical="center"/>
    </xf>
    <xf numFmtId="166" fontId="28" fillId="0" borderId="3" xfId="0" applyNumberFormat="1" applyFont="1" applyBorder="1" applyAlignment="1">
      <alignment horizontal="center" vertical="center"/>
    </xf>
    <xf numFmtId="0" fontId="53" fillId="0" borderId="2" xfId="0" applyFont="1" applyBorder="1" applyAlignment="1">
      <alignment horizontal="center" vertical="center"/>
    </xf>
    <xf numFmtId="168" fontId="53" fillId="0" borderId="2" xfId="0" applyNumberFormat="1" applyFont="1" applyBorder="1" applyAlignment="1">
      <alignment horizontal="center" vertical="center"/>
    </xf>
    <xf numFmtId="0" fontId="32" fillId="0" borderId="0" xfId="0" applyFont="1" applyAlignment="1">
      <alignment horizontal="right" vertical="center" wrapText="1"/>
    </xf>
    <xf numFmtId="0" fontId="32" fillId="0" borderId="0" xfId="0" applyFont="1" applyAlignment="1">
      <alignment horizontal="left" vertical="top"/>
    </xf>
    <xf numFmtId="166" fontId="28" fillId="0" borderId="2" xfId="0" applyNumberFormat="1" applyFont="1" applyBorder="1" applyAlignment="1">
      <alignment horizontal="center" vertical="center"/>
    </xf>
    <xf numFmtId="0" fontId="23" fillId="0" borderId="10" xfId="0" applyFont="1" applyBorder="1" applyAlignment="1">
      <alignment horizontal="left" wrapText="1"/>
    </xf>
    <xf numFmtId="0" fontId="105" fillId="0" borderId="10" xfId="0" applyFont="1" applyBorder="1" applyAlignment="1">
      <alignment horizontal="left" wrapText="1"/>
    </xf>
    <xf numFmtId="0" fontId="105" fillId="0" borderId="0" xfId="0" applyNumberFormat="1" applyFont="1" applyAlignment="1">
      <alignment horizontal="left" vertical="top" wrapText="1"/>
    </xf>
    <xf numFmtId="0" fontId="19" fillId="0" borderId="0" xfId="0" applyNumberFormat="1" applyFont="1" applyAlignment="1">
      <alignment horizontal="center"/>
    </xf>
    <xf numFmtId="172" fontId="1" fillId="44" borderId="2" xfId="0" applyNumberFormat="1" applyFont="1" applyFill="1" applyBorder="1" applyAlignment="1" applyProtection="1">
      <alignment horizontal="left"/>
      <protection locked="0"/>
    </xf>
    <xf numFmtId="172" fontId="5" fillId="44" borderId="2" xfId="0" applyNumberFormat="1" applyFont="1" applyFill="1" applyBorder="1" applyAlignment="1" applyProtection="1">
      <alignment horizontal="left"/>
      <protection locked="0"/>
    </xf>
    <xf numFmtId="0" fontId="105" fillId="0" borderId="0" xfId="37" applyFont="1" applyAlignment="1">
      <alignment horizontal="left" vertical="top" wrapText="1"/>
    </xf>
    <xf numFmtId="0" fontId="32" fillId="0" borderId="0" xfId="37" applyFont="1" applyAlignment="1">
      <alignment horizontal="left" vertical="top" wrapText="1"/>
    </xf>
    <xf numFmtId="0" fontId="28" fillId="0" borderId="1" xfId="0" applyNumberFormat="1" applyFont="1" applyBorder="1" applyAlignment="1">
      <alignment horizontal="center" vertical="center"/>
    </xf>
    <xf numFmtId="0" fontId="28" fillId="0" borderId="4" xfId="0" applyNumberFormat="1" applyFont="1" applyBorder="1" applyAlignment="1">
      <alignment horizontal="center" vertical="center"/>
    </xf>
    <xf numFmtId="0" fontId="28" fillId="0" borderId="3" xfId="0" applyNumberFormat="1" applyFont="1" applyBorder="1" applyAlignment="1">
      <alignment horizontal="center" vertical="center"/>
    </xf>
    <xf numFmtId="0" fontId="32" fillId="0" borderId="10" xfId="37" applyFont="1" applyBorder="1" applyAlignment="1">
      <alignment horizontal="left" wrapText="1"/>
    </xf>
    <xf numFmtId="0" fontId="53" fillId="0" borderId="1" xfId="0" applyFont="1" applyBorder="1" applyAlignment="1">
      <alignment horizontal="center" vertical="center"/>
    </xf>
    <xf numFmtId="0" fontId="53" fillId="0" borderId="4" xfId="0" applyFont="1" applyBorder="1" applyAlignment="1">
      <alignment horizontal="center" vertical="center"/>
    </xf>
    <xf numFmtId="0" fontId="53" fillId="0" borderId="3" xfId="0" applyFont="1" applyBorder="1" applyAlignment="1">
      <alignment horizontal="center" vertical="center"/>
    </xf>
    <xf numFmtId="168" fontId="53" fillId="0" borderId="1" xfId="0" applyNumberFormat="1" applyFont="1" applyBorder="1" applyAlignment="1">
      <alignment horizontal="center" vertical="center"/>
    </xf>
    <xf numFmtId="168" fontId="53" fillId="0" borderId="4" xfId="0" applyNumberFormat="1" applyFont="1" applyBorder="1" applyAlignment="1">
      <alignment horizontal="center" vertical="center"/>
    </xf>
    <xf numFmtId="168" fontId="53" fillId="0" borderId="3" xfId="0" applyNumberFormat="1" applyFont="1" applyBorder="1" applyAlignment="1">
      <alignment horizontal="center" vertical="center"/>
    </xf>
    <xf numFmtId="0" fontId="32" fillId="0" borderId="0" xfId="37" applyFont="1" applyAlignment="1">
      <alignment horizontal="left" vertical="center" wrapText="1"/>
    </xf>
    <xf numFmtId="0" fontId="32" fillId="0" borderId="0" xfId="37" applyNumberFormat="1" applyFont="1" applyAlignment="1">
      <alignment horizontal="left" vertical="top" wrapText="1"/>
    </xf>
    <xf numFmtId="0" fontId="33" fillId="0" borderId="0" xfId="37" applyNumberFormat="1" applyFont="1" applyAlignment="1">
      <alignment horizontal="center"/>
    </xf>
    <xf numFmtId="0" fontId="32" fillId="0" borderId="0" xfId="37" applyNumberFormat="1" applyFont="1" applyAlignment="1">
      <alignment horizontal="left" vertical="top"/>
    </xf>
    <xf numFmtId="0" fontId="22" fillId="0" borderId="0" xfId="37" applyNumberFormat="1" applyFont="1" applyAlignment="1">
      <alignment horizontal="left" wrapText="1"/>
    </xf>
    <xf numFmtId="0" fontId="104" fillId="0" borderId="0" xfId="37" applyNumberFormat="1" applyFont="1" applyAlignment="1">
      <alignment horizontal="left" wrapText="1"/>
    </xf>
    <xf numFmtId="0" fontId="32" fillId="0" borderId="16" xfId="37" applyFont="1" applyBorder="1" applyAlignment="1">
      <alignment horizontal="center" vertical="center" wrapText="1"/>
    </xf>
    <xf numFmtId="0" fontId="32" fillId="0" borderId="11" xfId="37" applyFont="1" applyBorder="1" applyAlignment="1">
      <alignment horizontal="center" vertical="center" wrapText="1"/>
    </xf>
    <xf numFmtId="0" fontId="32" fillId="0" borderId="13" xfId="37" applyFont="1" applyBorder="1" applyAlignment="1">
      <alignment horizontal="center" vertical="center" wrapText="1"/>
    </xf>
    <xf numFmtId="0" fontId="32" fillId="0" borderId="0" xfId="37" applyNumberFormat="1" applyFont="1" applyAlignment="1">
      <alignment horizontal="left" vertical="center"/>
    </xf>
    <xf numFmtId="0" fontId="32" fillId="0" borderId="0" xfId="37" applyFont="1" applyAlignment="1">
      <alignment horizontal="left" wrapText="1"/>
    </xf>
    <xf numFmtId="0" fontId="121" fillId="0" borderId="0" xfId="0" applyFont="1" applyAlignment="1">
      <alignment horizontal="center" vertical="center" wrapText="1"/>
    </xf>
    <xf numFmtId="0" fontId="22" fillId="0" borderId="10" xfId="37" applyNumberFormat="1" applyFont="1" applyBorder="1" applyAlignment="1">
      <alignment horizontal="center"/>
    </xf>
    <xf numFmtId="0" fontId="4" fillId="8" borderId="1" xfId="0" applyFont="1" applyFill="1" applyBorder="1" applyAlignment="1" applyProtection="1">
      <alignment horizontal="center"/>
    </xf>
    <xf numFmtId="0" fontId="4" fillId="8" borderId="3" xfId="0" applyFont="1" applyFill="1" applyBorder="1" applyAlignment="1" applyProtection="1">
      <alignment horizontal="center"/>
    </xf>
    <xf numFmtId="0" fontId="3" fillId="8" borderId="1" xfId="0" applyFont="1" applyFill="1" applyBorder="1" applyAlignment="1" applyProtection="1">
      <alignment horizontal="center"/>
    </xf>
    <xf numFmtId="0" fontId="3" fillId="8" borderId="3" xfId="0" applyFont="1" applyFill="1" applyBorder="1" applyAlignment="1" applyProtection="1">
      <alignment horizontal="center"/>
    </xf>
    <xf numFmtId="0" fontId="3" fillId="46" borderId="6" xfId="0" applyFont="1" applyFill="1" applyBorder="1" applyAlignment="1" applyProtection="1">
      <alignment horizontal="center"/>
    </xf>
    <xf numFmtId="0" fontId="3" fillId="46" borderId="12" xfId="0" applyFont="1" applyFill="1" applyBorder="1" applyAlignment="1" applyProtection="1">
      <alignment horizontal="center"/>
    </xf>
    <xf numFmtId="0" fontId="3" fillId="8" borderId="16" xfId="0" applyFont="1" applyFill="1" applyBorder="1" applyAlignment="1" applyProtection="1">
      <alignment horizontal="center"/>
    </xf>
    <xf numFmtId="0" fontId="3" fillId="8" borderId="13" xfId="0" applyFont="1" applyFill="1" applyBorder="1" applyAlignment="1" applyProtection="1">
      <alignment horizontal="center"/>
    </xf>
    <xf numFmtId="0" fontId="0" fillId="46" borderId="4" xfId="0" applyFill="1" applyBorder="1" applyAlignment="1" applyProtection="1">
      <alignment horizontal="center"/>
    </xf>
    <xf numFmtId="0" fontId="0" fillId="46" borderId="3" xfId="0" applyFill="1" applyBorder="1" applyAlignment="1" applyProtection="1">
      <alignment horizontal="center"/>
    </xf>
    <xf numFmtId="0" fontId="3" fillId="8" borderId="6" xfId="0" applyFont="1" applyFill="1" applyBorder="1" applyAlignment="1" applyProtection="1">
      <alignment horizontal="center"/>
    </xf>
    <xf numFmtId="0" fontId="3" fillId="8" borderId="12" xfId="0" applyFont="1" applyFill="1" applyBorder="1" applyAlignment="1" applyProtection="1">
      <alignment horizontal="center"/>
    </xf>
    <xf numFmtId="0" fontId="3" fillId="46" borderId="1" xfId="0" applyFont="1" applyFill="1" applyBorder="1" applyAlignment="1" applyProtection="1">
      <alignment horizontal="center"/>
    </xf>
    <xf numFmtId="0" fontId="3" fillId="46" borderId="3" xfId="0" applyFont="1" applyFill="1" applyBorder="1" applyAlignment="1" applyProtection="1">
      <alignment horizontal="center"/>
    </xf>
    <xf numFmtId="0" fontId="3" fillId="8" borderId="9" xfId="0" applyFont="1" applyFill="1" applyBorder="1" applyAlignment="1" applyProtection="1">
      <alignment horizontal="center"/>
    </xf>
    <xf numFmtId="0" fontId="3" fillId="8" borderId="7" xfId="0" applyFont="1" applyFill="1" applyBorder="1" applyAlignment="1" applyProtection="1">
      <alignment horizontal="center"/>
    </xf>
    <xf numFmtId="0" fontId="3" fillId="46" borderId="9" xfId="0" applyFont="1" applyFill="1" applyBorder="1" applyAlignment="1" applyProtection="1">
      <alignment horizontal="center"/>
    </xf>
    <xf numFmtId="0" fontId="3" fillId="46" borderId="7" xfId="0" applyFont="1" applyFill="1" applyBorder="1" applyAlignment="1" applyProtection="1">
      <alignment horizontal="center"/>
    </xf>
    <xf numFmtId="0" fontId="5" fillId="49" borderId="1" xfId="0" applyFont="1" applyFill="1" applyBorder="1" applyAlignment="1">
      <alignment horizontal="center"/>
    </xf>
    <xf numFmtId="0" fontId="5" fillId="49" borderId="4" xfId="0" applyFont="1" applyFill="1" applyBorder="1" applyAlignment="1">
      <alignment horizontal="center"/>
    </xf>
    <xf numFmtId="0" fontId="5" fillId="49" borderId="3" xfId="0" applyFont="1" applyFill="1" applyBorder="1" applyAlignment="1">
      <alignment horizontal="center"/>
    </xf>
    <xf numFmtId="0" fontId="0" fillId="0" borderId="2" xfId="0" applyBorder="1" applyAlignment="1">
      <alignment vertical="center"/>
    </xf>
    <xf numFmtId="0" fontId="3" fillId="0" borderId="5" xfId="0" applyFont="1" applyBorder="1" applyAlignment="1">
      <alignment horizontal="center" vertical="center"/>
    </xf>
    <xf numFmtId="0" fontId="3" fillId="0" borderId="8" xfId="0" applyFont="1" applyBorder="1" applyAlignment="1">
      <alignment horizontal="center" vertical="center"/>
    </xf>
    <xf numFmtId="0" fontId="0" fillId="61" borderId="1" xfId="0" applyFill="1" applyBorder="1" applyAlignment="1">
      <alignment horizontal="left" vertical="center" wrapText="1"/>
    </xf>
    <xf numFmtId="0" fontId="0" fillId="61" borderId="4" xfId="0" applyFill="1" applyBorder="1" applyAlignment="1">
      <alignment horizontal="left" vertical="center" wrapText="1"/>
    </xf>
    <xf numFmtId="0" fontId="0" fillId="61" borderId="3" xfId="0" applyFill="1" applyBorder="1" applyAlignment="1">
      <alignment horizontal="left" vertical="center" wrapText="1"/>
    </xf>
    <xf numFmtId="0" fontId="0" fillId="61" borderId="1" xfId="0" applyFill="1" applyBorder="1" applyAlignment="1">
      <alignment horizontal="left" vertical="center"/>
    </xf>
    <xf numFmtId="0" fontId="0" fillId="61" borderId="4" xfId="0" applyFill="1" applyBorder="1" applyAlignment="1">
      <alignment horizontal="left" vertical="center"/>
    </xf>
    <xf numFmtId="0" fontId="0" fillId="61" borderId="3" xfId="0" applyFill="1" applyBorder="1" applyAlignment="1">
      <alignment horizontal="left" vertical="center"/>
    </xf>
    <xf numFmtId="0" fontId="3" fillId="0" borderId="5"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5" xfId="0" applyFont="1" applyBorder="1" applyAlignment="1">
      <alignment horizontal="left" vertical="center"/>
    </xf>
    <xf numFmtId="0" fontId="1" fillId="0" borderId="2" xfId="0" applyFont="1" applyBorder="1" applyAlignment="1">
      <alignment vertical="center"/>
    </xf>
    <xf numFmtId="0" fontId="3" fillId="0" borderId="16"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9" xfId="0" applyFont="1" applyBorder="1" applyAlignment="1">
      <alignment horizontal="center" vertical="center" wrapText="1"/>
    </xf>
    <xf numFmtId="0" fontId="3" fillId="0" borderId="7" xfId="0" applyFont="1" applyBorder="1" applyAlignment="1">
      <alignment horizontal="center" vertical="center" wrapText="1"/>
    </xf>
    <xf numFmtId="0" fontId="3" fillId="0" borderId="16"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7" xfId="0" applyFont="1" applyBorder="1" applyAlignment="1" applyProtection="1">
      <alignment horizontal="center" vertical="center" wrapText="1"/>
    </xf>
    <xf numFmtId="0" fontId="3" fillId="0" borderId="5" xfId="0" applyFont="1" applyBorder="1" applyAlignment="1" applyProtection="1">
      <alignment horizontal="center" vertical="center"/>
    </xf>
    <xf numFmtId="0" fontId="3" fillId="0" borderId="8" xfId="0" applyFont="1" applyBorder="1" applyAlignment="1" applyProtection="1">
      <alignment horizontal="center" vertical="center"/>
    </xf>
    <xf numFmtId="0" fontId="1" fillId="0" borderId="10" xfId="0" applyFont="1" applyBorder="1" applyAlignment="1">
      <alignment horizontal="center"/>
    </xf>
    <xf numFmtId="22" fontId="1" fillId="50" borderId="40" xfId="0" applyNumberFormat="1" applyFont="1" applyFill="1" applyBorder="1" applyAlignment="1" applyProtection="1">
      <alignment horizontal="center" vertical="center"/>
    </xf>
    <xf numFmtId="0" fontId="1" fillId="50" borderId="41" xfId="0" applyFont="1" applyFill="1" applyBorder="1" applyAlignment="1" applyProtection="1">
      <alignment horizontal="center" vertical="center"/>
    </xf>
  </cellXfs>
  <cellStyles count="47">
    <cellStyle name="20% - Accent1 2" xfId="1" xr:uid="{00000000-0005-0000-0000-000000000000}"/>
    <cellStyle name="20% - Accent2 2" xfId="2" xr:uid="{00000000-0005-0000-0000-000001000000}"/>
    <cellStyle name="20% - Accent3 2" xfId="3" xr:uid="{00000000-0005-0000-0000-000002000000}"/>
    <cellStyle name="20% - Accent4 2" xfId="4" xr:uid="{00000000-0005-0000-0000-000003000000}"/>
    <cellStyle name="20% - Accent5 2" xfId="5" xr:uid="{00000000-0005-0000-0000-000004000000}"/>
    <cellStyle name="20% - Accent6 2" xfId="6" xr:uid="{00000000-0005-0000-0000-000005000000}"/>
    <cellStyle name="40% - Accent1 2" xfId="7" xr:uid="{00000000-0005-0000-0000-000006000000}"/>
    <cellStyle name="40% - Accent2 2" xfId="8" xr:uid="{00000000-0005-0000-0000-000007000000}"/>
    <cellStyle name="40% - Accent3 2" xfId="9" xr:uid="{00000000-0005-0000-0000-000008000000}"/>
    <cellStyle name="40% - Accent4 2" xfId="10" xr:uid="{00000000-0005-0000-0000-000009000000}"/>
    <cellStyle name="40% - Accent5 2" xfId="11" xr:uid="{00000000-0005-0000-0000-00000A000000}"/>
    <cellStyle name="40% - Accent6 2" xfId="12" xr:uid="{00000000-0005-0000-0000-00000B000000}"/>
    <cellStyle name="60% - Accent1 2" xfId="13" xr:uid="{00000000-0005-0000-0000-00000C000000}"/>
    <cellStyle name="60% - Accent2 2" xfId="14" xr:uid="{00000000-0005-0000-0000-00000D000000}"/>
    <cellStyle name="60% - Accent3 2" xfId="15" xr:uid="{00000000-0005-0000-0000-00000E000000}"/>
    <cellStyle name="60% - Accent4 2" xfId="16" xr:uid="{00000000-0005-0000-0000-00000F000000}"/>
    <cellStyle name="60% - Accent5 2" xfId="17" xr:uid="{00000000-0005-0000-0000-000010000000}"/>
    <cellStyle name="60% - Accent6 2" xfId="18" xr:uid="{00000000-0005-0000-0000-000011000000}"/>
    <cellStyle name="Accent1 2" xfId="19" xr:uid="{00000000-0005-0000-0000-000012000000}"/>
    <cellStyle name="Accent2 2" xfId="20" xr:uid="{00000000-0005-0000-0000-000013000000}"/>
    <cellStyle name="Accent3 2" xfId="21" xr:uid="{00000000-0005-0000-0000-000014000000}"/>
    <cellStyle name="Accent4 2" xfId="22" xr:uid="{00000000-0005-0000-0000-000015000000}"/>
    <cellStyle name="Accent5 2" xfId="23" xr:uid="{00000000-0005-0000-0000-000016000000}"/>
    <cellStyle name="Accent6 2" xfId="24" xr:uid="{00000000-0005-0000-0000-000017000000}"/>
    <cellStyle name="Bad 2" xfId="25" xr:uid="{00000000-0005-0000-0000-000018000000}"/>
    <cellStyle name="Calculation 2" xfId="26" xr:uid="{00000000-0005-0000-0000-000019000000}"/>
    <cellStyle name="Check Cell 2" xfId="27" xr:uid="{00000000-0005-0000-0000-00001A000000}"/>
    <cellStyle name="Explanatory Text 2" xfId="28" xr:uid="{00000000-0005-0000-0000-00001B000000}"/>
    <cellStyle name="Good 2" xfId="29" xr:uid="{00000000-0005-0000-0000-00001C000000}"/>
    <cellStyle name="Heading 1 2" xfId="30" xr:uid="{00000000-0005-0000-0000-00001D000000}"/>
    <cellStyle name="Heading 2 2" xfId="31" xr:uid="{00000000-0005-0000-0000-00001E000000}"/>
    <cellStyle name="Heading 3 2" xfId="32" xr:uid="{00000000-0005-0000-0000-00001F000000}"/>
    <cellStyle name="Heading 4 2" xfId="33" xr:uid="{00000000-0005-0000-0000-000020000000}"/>
    <cellStyle name="Input 2" xfId="34" xr:uid="{00000000-0005-0000-0000-000021000000}"/>
    <cellStyle name="Linked Cell 2" xfId="35" xr:uid="{00000000-0005-0000-0000-000022000000}"/>
    <cellStyle name="Neutral 2" xfId="36" xr:uid="{00000000-0005-0000-0000-000023000000}"/>
    <cellStyle name="Normal" xfId="0" builtinId="0"/>
    <cellStyle name="Normal 2" xfId="37" xr:uid="{00000000-0005-0000-0000-000025000000}"/>
    <cellStyle name="Normal 2 2" xfId="38" xr:uid="{00000000-0005-0000-0000-000026000000}"/>
    <cellStyle name="Normal 3" xfId="39" xr:uid="{00000000-0005-0000-0000-000027000000}"/>
    <cellStyle name="Normal 4" xfId="40" xr:uid="{00000000-0005-0000-0000-000028000000}"/>
    <cellStyle name="Normal 6" xfId="41" xr:uid="{00000000-0005-0000-0000-000029000000}"/>
    <cellStyle name="Note 2" xfId="42" xr:uid="{00000000-0005-0000-0000-00002A000000}"/>
    <cellStyle name="Output 2" xfId="43" xr:uid="{00000000-0005-0000-0000-00002B000000}"/>
    <cellStyle name="Title" xfId="44" builtinId="15" customBuiltin="1"/>
    <cellStyle name="Total 2" xfId="45" xr:uid="{00000000-0005-0000-0000-00002D000000}"/>
    <cellStyle name="Warning Text 2" xfId="46" xr:uid="{00000000-0005-0000-0000-00002E000000}"/>
  </cellStyles>
  <dxfs count="130">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FF0000"/>
        </patternFill>
      </fill>
    </dxf>
    <dxf>
      <font>
        <color auto="1"/>
      </font>
      <fill>
        <patternFill>
          <bgColor rgb="FF00FE73"/>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
      <font>
        <color auto="1"/>
      </font>
      <fill>
        <patternFill>
          <bgColor rgb="FF00FE73"/>
        </patternFill>
      </fill>
    </dxf>
    <dxf>
      <font>
        <b/>
        <i val="0"/>
        <color rgb="FFFF0000"/>
      </font>
    </dxf>
    <dxf>
      <font>
        <b/>
        <i val="0"/>
        <color rgb="FFFF0000"/>
      </font>
    </dxf>
    <dxf>
      <font>
        <b/>
        <i val="0"/>
        <strike val="0"/>
        <color rgb="FFFF0000"/>
      </font>
    </dxf>
    <dxf>
      <font>
        <b/>
        <i val="0"/>
        <strike val="0"/>
        <color rgb="FFFF0000"/>
      </font>
    </dxf>
    <dxf>
      <font>
        <b/>
        <i val="0"/>
        <strike val="0"/>
        <color rgb="FFFF0000"/>
      </font>
    </dxf>
    <dxf>
      <font>
        <b/>
        <i val="0"/>
        <strike val="0"/>
        <color rgb="FFFF0000"/>
      </font>
    </dxf>
    <dxf>
      <font>
        <b/>
        <i val="0"/>
        <strike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fill>
        <patternFill>
          <bgColor theme="0"/>
        </patternFill>
      </fill>
      <border>
        <left/>
        <right/>
        <top style="thin">
          <color auto="1"/>
        </top>
        <bottom/>
        <vertical/>
        <horizontal/>
      </border>
    </dxf>
    <dxf>
      <font>
        <color theme="0"/>
      </font>
    </dxf>
    <dxf>
      <fill>
        <patternFill>
          <bgColor rgb="FFFF0000"/>
        </patternFill>
      </fill>
    </dxf>
    <dxf>
      <font>
        <color auto="1"/>
      </font>
      <fill>
        <patternFill>
          <bgColor rgb="FF00FE73"/>
        </patternFill>
      </fill>
    </dxf>
    <dxf>
      <fill>
        <patternFill>
          <bgColor rgb="FFFF0000"/>
        </patternFill>
      </fill>
    </dxf>
    <dxf>
      <fill>
        <patternFill>
          <bgColor rgb="FFFF0000"/>
        </patternFill>
      </fill>
    </dxf>
    <dxf>
      <font>
        <color auto="1"/>
      </font>
      <fill>
        <patternFill>
          <bgColor rgb="FF00FE73"/>
        </patternFill>
      </fill>
    </dxf>
    <dxf>
      <font>
        <color rgb="FFFF0000"/>
      </font>
    </dxf>
    <dxf>
      <font>
        <color auto="1"/>
      </font>
      <fill>
        <patternFill>
          <bgColor rgb="FF00FE73"/>
        </patternFill>
      </fill>
    </dxf>
    <dxf>
      <font>
        <color auto="1"/>
      </font>
      <fill>
        <patternFill>
          <bgColor rgb="FF00FE73"/>
        </patternFill>
      </fill>
    </dxf>
    <dxf>
      <font>
        <color auto="1"/>
      </font>
      <fill>
        <patternFill>
          <bgColor rgb="FF00F66F"/>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color theme="0"/>
      </font>
      <border>
        <left/>
        <right/>
        <bottom/>
      </border>
    </dxf>
    <dxf>
      <font>
        <color auto="1"/>
      </font>
      <border>
        <left style="thin">
          <color indexed="64"/>
        </left>
        <right style="thin">
          <color indexed="64"/>
        </right>
        <bottom style="thin">
          <color indexed="64"/>
        </bottom>
      </border>
    </dxf>
    <dxf>
      <font>
        <color theme="0"/>
      </font>
      <border>
        <left/>
        <right/>
        <bottom/>
      </border>
    </dxf>
    <dxf>
      <font>
        <color auto="1"/>
      </font>
      <border>
        <left style="thin">
          <color indexed="64"/>
        </left>
        <right style="thin">
          <color indexed="64"/>
        </right>
        <bottom style="thin">
          <color indexed="64"/>
        </bottom>
      </border>
    </dxf>
    <dxf>
      <font>
        <color theme="0"/>
      </font>
      <border>
        <left/>
        <right/>
        <bottom/>
      </border>
    </dxf>
    <dxf>
      <font>
        <color auto="1"/>
      </font>
      <border>
        <left style="thin">
          <color indexed="64"/>
        </left>
        <right style="thin">
          <color indexed="64"/>
        </right>
        <bottom style="thin">
          <color indexed="64"/>
        </bottom>
      </border>
    </dxf>
    <dxf>
      <font>
        <color theme="0"/>
      </font>
      <border>
        <left/>
        <right/>
        <bottom/>
      </border>
    </dxf>
    <dxf>
      <font>
        <color auto="1"/>
      </font>
      <border>
        <left style="thin">
          <color indexed="64"/>
        </left>
        <right style="thin">
          <color indexed="64"/>
        </right>
        <bottom style="thin">
          <color indexed="64"/>
        </bottom>
      </border>
    </dxf>
    <dxf>
      <font>
        <color theme="0"/>
      </font>
      <border>
        <left/>
        <right/>
        <bottom/>
      </border>
    </dxf>
    <dxf>
      <font>
        <color auto="1"/>
      </font>
      <border>
        <left style="thin">
          <color indexed="64"/>
        </left>
        <right style="thin">
          <color indexed="64"/>
        </right>
        <bottom style="thin">
          <color indexed="64"/>
        </bottom>
      </border>
    </dxf>
    <dxf>
      <font>
        <color theme="0"/>
      </font>
      <border>
        <left/>
        <right/>
        <bottom/>
      </border>
    </dxf>
    <dxf>
      <font>
        <color auto="1"/>
      </font>
      <border>
        <left style="thin">
          <color indexed="64"/>
        </left>
        <right style="thin">
          <color indexed="64"/>
        </right>
        <bottom style="thin">
          <color indexed="64"/>
        </bottom>
      </border>
    </dxf>
    <dxf>
      <font>
        <color theme="0"/>
      </font>
      <border>
        <left/>
        <right/>
        <bottom/>
      </border>
    </dxf>
    <dxf>
      <font>
        <color auto="1"/>
      </font>
      <border>
        <left style="thin">
          <color indexed="64"/>
        </left>
        <right style="thin">
          <color indexed="64"/>
        </right>
        <bottom style="thin">
          <color indexed="64"/>
        </bottom>
      </border>
    </dxf>
    <dxf>
      <font>
        <color theme="0"/>
      </font>
      <border>
        <left/>
        <right/>
        <bottom/>
      </border>
    </dxf>
    <dxf>
      <font>
        <color auto="1"/>
      </font>
      <border>
        <left style="thin">
          <color indexed="64"/>
        </left>
        <right style="thin">
          <color indexed="64"/>
        </right>
        <bottom style="thin">
          <color indexed="64"/>
        </bottom>
      </border>
    </dxf>
    <dxf>
      <font>
        <color theme="0"/>
      </font>
      <border>
        <left/>
        <right/>
        <bottom/>
      </border>
    </dxf>
    <dxf>
      <font>
        <color auto="1"/>
      </font>
      <border>
        <left style="thin">
          <color indexed="64"/>
        </left>
        <right style="thin">
          <color indexed="64"/>
        </right>
        <bottom style="thin">
          <color indexed="64"/>
        </bottom>
      </border>
    </dxf>
    <dxf>
      <font>
        <color theme="0"/>
      </font>
      <border>
        <left/>
        <right/>
        <bottom/>
      </border>
    </dxf>
    <dxf>
      <font>
        <color auto="1"/>
      </font>
      <border>
        <left style="thin">
          <color indexed="64"/>
        </left>
        <right style="thin">
          <color indexed="64"/>
        </right>
        <bottom style="thin">
          <color indexed="64"/>
        </bottom>
      </border>
    </dxf>
    <dxf>
      <font>
        <color theme="0"/>
      </font>
      <border>
        <left/>
        <right/>
        <bottom/>
      </border>
    </dxf>
    <dxf>
      <font>
        <color auto="1"/>
      </font>
      <border>
        <left style="thin">
          <color indexed="64"/>
        </left>
        <right style="thin">
          <color indexed="64"/>
        </right>
        <bottom style="thin">
          <color indexed="64"/>
        </bottom>
      </border>
    </dxf>
    <dxf>
      <font>
        <color theme="0"/>
      </font>
      <border>
        <left/>
        <right/>
        <bottom/>
      </border>
    </dxf>
    <dxf>
      <font>
        <color auto="1"/>
      </font>
      <border>
        <left style="thin">
          <color indexed="64"/>
        </left>
        <right style="thin">
          <color indexed="64"/>
        </right>
        <bottom style="thin">
          <color indexed="64"/>
        </bottom>
      </border>
    </dxf>
    <dxf>
      <font>
        <b/>
        <i val="0"/>
        <condense val="0"/>
        <extend val="0"/>
        <color indexed="10"/>
      </font>
    </dxf>
    <dxf>
      <font>
        <b/>
        <i val="0"/>
        <condense val="0"/>
        <extend val="0"/>
        <color indexed="10"/>
      </font>
    </dxf>
    <dxf>
      <font>
        <b/>
        <i val="0"/>
        <condense val="0"/>
        <extend val="0"/>
        <color indexed="10"/>
      </font>
    </dxf>
    <dxf>
      <font>
        <color theme="0"/>
      </font>
      <fill>
        <patternFill>
          <bgColor theme="0"/>
        </patternFill>
      </fill>
    </dxf>
    <dxf>
      <fill>
        <patternFill>
          <bgColor rgb="FFFF0000"/>
        </patternFill>
      </fill>
    </dxf>
    <dxf>
      <font>
        <color auto="1"/>
      </font>
      <fill>
        <patternFill>
          <bgColor rgb="FF00FE73"/>
        </patternFill>
      </fill>
    </dxf>
    <dxf>
      <font>
        <color theme="0"/>
      </font>
      <fill>
        <patternFill patternType="none">
          <bgColor auto="1"/>
        </patternFill>
      </fill>
    </dxf>
    <dxf>
      <fill>
        <patternFill>
          <bgColor rgb="FFFF0000"/>
        </patternFill>
      </fill>
    </dxf>
    <dxf>
      <font>
        <color auto="1"/>
      </font>
      <fill>
        <patternFill>
          <bgColor rgb="FF00FE73"/>
        </patternFill>
      </fill>
    </dxf>
    <dxf>
      <fill>
        <patternFill>
          <bgColor rgb="FFFF0000"/>
        </patternFill>
      </fill>
    </dxf>
    <dxf>
      <font>
        <color auto="1"/>
      </font>
      <fill>
        <patternFill>
          <bgColor rgb="FF00FE73"/>
        </patternFill>
      </fill>
    </dxf>
    <dxf>
      <font>
        <color theme="0"/>
      </font>
    </dxf>
    <dxf>
      <font>
        <color theme="0"/>
      </font>
    </dxf>
    <dxf>
      <font>
        <color theme="0"/>
      </font>
    </dxf>
    <dxf>
      <font>
        <color theme="0"/>
      </font>
    </dxf>
    <dxf>
      <font>
        <color theme="0"/>
      </font>
    </dxf>
    <dxf>
      <font>
        <color theme="0"/>
      </font>
      <fill>
        <patternFill patternType="none">
          <bgColor auto="1"/>
        </patternFill>
      </fill>
    </dxf>
  </dxfs>
  <tableStyles count="0" defaultTableStyle="TableStyleMedium9" defaultPivotStyle="PivotStyleLight16"/>
  <colors>
    <mruColors>
      <color rgb="FFEC8C8C"/>
      <color rgb="FFCCFFCC"/>
      <color rgb="FF00FE73"/>
      <color rgb="FF00F66F"/>
      <color rgb="FF05FF76"/>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35" Type="http://schemas.microsoft.com/office/2017/10/relationships/person" Target="persons/perso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69117678750271"/>
          <c:y val="4.7619139887036303E-2"/>
          <c:w val="0.86643536135689037"/>
          <c:h val="0.79762059310785804"/>
        </c:manualLayout>
      </c:layout>
      <c:scatterChart>
        <c:scatterStyle val="smoothMarker"/>
        <c:varyColors val="0"/>
        <c:ser>
          <c:idx val="1"/>
          <c:order val="0"/>
          <c:tx>
            <c:strRef>
              <c:f>MEX!$R$87</c:f>
              <c:strCache>
                <c:ptCount val="1"/>
                <c:pt idx="0">
                  <c:v>CAL11957 Set 1</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MEX!$E$12:$E$73</c:f>
              <c:numCache>
                <c:formatCode>0.0</c:formatCode>
                <c:ptCount val="62"/>
                <c:pt idx="0">
                  <c:v>17.956</c:v>
                </c:pt>
                <c:pt idx="1">
                  <c:v>19.5</c:v>
                </c:pt>
                <c:pt idx="2">
                  <c:v>20.856999999999999</c:v>
                </c:pt>
                <c:pt idx="3">
                  <c:v>22.146999999999998</c:v>
                </c:pt>
                <c:pt idx="4">
                  <c:v>23.48</c:v>
                </c:pt>
                <c:pt idx="5">
                  <c:v>24.878</c:v>
                </c:pt>
                <c:pt idx="6">
                  <c:v>26.34</c:v>
                </c:pt>
                <c:pt idx="7">
                  <c:v>20.93</c:v>
                </c:pt>
                <c:pt idx="8">
                  <c:v>22.646000000000001</c:v>
                </c:pt>
                <c:pt idx="9">
                  <c:v>24.094999999999999</c:v>
                </c:pt>
                <c:pt idx="10">
                  <c:v>25.442</c:v>
                </c:pt>
                <c:pt idx="11">
                  <c:v>26.841999999999999</c:v>
                </c:pt>
                <c:pt idx="12">
                  <c:v>28.32</c:v>
                </c:pt>
                <c:pt idx="13">
                  <c:v>29.867000000000001</c:v>
                </c:pt>
                <c:pt idx="14">
                  <c:v>27.068000000000001</c:v>
                </c:pt>
                <c:pt idx="15">
                  <c:v>29.934000000000001</c:v>
                </c:pt>
                <c:pt idx="16">
                  <c:v>32.250999999999998</c:v>
                </c:pt>
                <c:pt idx="17">
                  <c:v>34.274999999999999</c:v>
                </c:pt>
                <c:pt idx="18">
                  <c:v>36.328000000000003</c:v>
                </c:pt>
                <c:pt idx="19">
                  <c:v>38.384999999999998</c:v>
                </c:pt>
                <c:pt idx="20">
                  <c:v>30.623000000000001</c:v>
                </c:pt>
                <c:pt idx="21">
                  <c:v>35.19</c:v>
                </c:pt>
                <c:pt idx="22">
                  <c:v>41.587000000000003</c:v>
                </c:pt>
                <c:pt idx="23">
                  <c:v>45.744</c:v>
                </c:pt>
                <c:pt idx="24">
                  <c:v>49.868000000000002</c:v>
                </c:pt>
                <c:pt idx="25">
                  <c:v>37.509</c:v>
                </c:pt>
                <c:pt idx="26">
                  <c:v>44.582999999999998</c:v>
                </c:pt>
                <c:pt idx="27">
                  <c:v>48.945</c:v>
                </c:pt>
                <c:pt idx="28">
                  <c:v>53.139000000000003</c:v>
                </c:pt>
                <c:pt idx="29">
                  <c:v>55.186999999999998</c:v>
                </c:pt>
                <c:pt idx="30">
                  <c:v>49.084000000000003</c:v>
                </c:pt>
                <c:pt idx="31">
                  <c:v>53.752000000000002</c:v>
                </c:pt>
                <c:pt idx="32">
                  <c:v>58.063000000000002</c:v>
                </c:pt>
                <c:pt idx="33">
                  <c:v>60.128</c:v>
                </c:pt>
                <c:pt idx="34">
                  <c:v>69.760999999999996</c:v>
                </c:pt>
                <c:pt idx="35">
                  <c:v>65</c:v>
                </c:pt>
                <c:pt idx="36">
                  <c:v>69.849999999999994</c:v>
                </c:pt>
                <c:pt idx="37">
                  <c:v>72.150000000000006</c:v>
                </c:pt>
                <c:pt idx="38">
                  <c:v>82.81</c:v>
                </c:pt>
                <c:pt idx="39">
                  <c:v>92.84</c:v>
                </c:pt>
                <c:pt idx="40">
                  <c:v>78.519000000000005</c:v>
                </c:pt>
                <c:pt idx="41">
                  <c:v>81.358000000000004</c:v>
                </c:pt>
                <c:pt idx="42">
                  <c:v>94.739000000000004</c:v>
                </c:pt>
                <c:pt idx="43">
                  <c:v>107.324</c:v>
                </c:pt>
                <c:pt idx="44">
                  <c:v>114.61199999999999</c:v>
                </c:pt>
                <c:pt idx="45">
                  <c:v>89.066000000000003</c:v>
                </c:pt>
                <c:pt idx="46">
                  <c:v>105.252</c:v>
                </c:pt>
                <c:pt idx="47">
                  <c:v>120.09699999999999</c:v>
                </c:pt>
                <c:pt idx="48">
                  <c:v>128.495</c:v>
                </c:pt>
                <c:pt idx="49">
                  <c:v>133.916</c:v>
                </c:pt>
                <c:pt idx="50">
                  <c:v>120.14700000000001</c:v>
                </c:pt>
                <c:pt idx="51">
                  <c:v>137.45500000000001</c:v>
                </c:pt>
                <c:pt idx="52">
                  <c:v>147.05000000000001</c:v>
                </c:pt>
                <c:pt idx="53">
                  <c:v>153.21</c:v>
                </c:pt>
                <c:pt idx="54">
                  <c:v>159.21700000000001</c:v>
                </c:pt>
                <c:pt idx="55">
                  <c:v>149.50700000000001</c:v>
                </c:pt>
                <c:pt idx="56">
                  <c:v>159.91800000000001</c:v>
                </c:pt>
                <c:pt idx="57">
                  <c:v>166.58099999999999</c:v>
                </c:pt>
                <c:pt idx="58">
                  <c:v>173.059</c:v>
                </c:pt>
                <c:pt idx="59">
                  <c:v>120.09699999999999</c:v>
                </c:pt>
                <c:pt idx="60">
                  <c:v>147.05000000000001</c:v>
                </c:pt>
                <c:pt idx="61">
                  <c:v>153.21</c:v>
                </c:pt>
              </c:numCache>
            </c:numRef>
          </c:xVal>
          <c:yVal>
            <c:numRef>
              <c:f>MEX!$F$12:$F$73</c:f>
              <c:numCache>
                <c:formatCode>0.00</c:formatCode>
                <c:ptCount val="62"/>
                <c:pt idx="0">
                  <c:v>47.843838554534642</c:v>
                </c:pt>
                <c:pt idx="1">
                  <c:v>47.328049506933851</c:v>
                </c:pt>
                <c:pt idx="2">
                  <c:v>46.954372465615627</c:v>
                </c:pt>
                <c:pt idx="3">
                  <c:v>46.647879463000812</c:v>
                </c:pt>
                <c:pt idx="4">
                  <c:v>46.415410521846567</c:v>
                </c:pt>
                <c:pt idx="5">
                  <c:v>46.233464812127941</c:v>
                </c:pt>
                <c:pt idx="6">
                  <c:v>46.011489628878685</c:v>
                </c:pt>
                <c:pt idx="7">
                  <c:v>46.222371235681578</c:v>
                </c:pt>
                <c:pt idx="8">
                  <c:v>46.035966377622657</c:v>
                </c:pt>
                <c:pt idx="9">
                  <c:v>45.876097835972821</c:v>
                </c:pt>
                <c:pt idx="10">
                  <c:v>45.673666489919093</c:v>
                </c:pt>
                <c:pt idx="11">
                  <c:v>45.5885729493789</c:v>
                </c:pt>
                <c:pt idx="12">
                  <c:v>45.438181510889599</c:v>
                </c:pt>
                <c:pt idx="13">
                  <c:v>45.344164322939967</c:v>
                </c:pt>
                <c:pt idx="14">
                  <c:v>45.074294647472584</c:v>
                </c:pt>
                <c:pt idx="15">
                  <c:v>45.078319049835819</c:v>
                </c:pt>
                <c:pt idx="16">
                  <c:v>45.0946064186626</c:v>
                </c:pt>
                <c:pt idx="17">
                  <c:v>45.035791189931743</c:v>
                </c:pt>
                <c:pt idx="18">
                  <c:v>44.914646648791539</c:v>
                </c:pt>
                <c:pt idx="19">
                  <c:v>44.851717378746656</c:v>
                </c:pt>
                <c:pt idx="20">
                  <c:v>45.056337309454975</c:v>
                </c:pt>
                <c:pt idx="21">
                  <c:v>44.977021541789036</c:v>
                </c:pt>
                <c:pt idx="22">
                  <c:v>44.752633896772487</c:v>
                </c:pt>
                <c:pt idx="23">
                  <c:v>44.605880308013603</c:v>
                </c:pt>
                <c:pt idx="24">
                  <c:v>44.540680488049631</c:v>
                </c:pt>
                <c:pt idx="25">
                  <c:v>44.752164884325211</c:v>
                </c:pt>
                <c:pt idx="26">
                  <c:v>44.742035279843492</c:v>
                </c:pt>
                <c:pt idx="27">
                  <c:v>44.565296839746686</c:v>
                </c:pt>
                <c:pt idx="28">
                  <c:v>44.426594275503206</c:v>
                </c:pt>
                <c:pt idx="29">
                  <c:v>44.379061573170866</c:v>
                </c:pt>
                <c:pt idx="30">
                  <c:v>44.578006101870514</c:v>
                </c:pt>
                <c:pt idx="31">
                  <c:v>44.466395523718845</c:v>
                </c:pt>
                <c:pt idx="32">
                  <c:v>44.368792977634442</c:v>
                </c:pt>
                <c:pt idx="33">
                  <c:v>44.285562072740554</c:v>
                </c:pt>
                <c:pt idx="34">
                  <c:v>44.082356842058914</c:v>
                </c:pt>
                <c:pt idx="35">
                  <c:v>44.210364106543359</c:v>
                </c:pt>
                <c:pt idx="36">
                  <c:v>44.113194654051711</c:v>
                </c:pt>
                <c:pt idx="37">
                  <c:v>44.042041104134746</c:v>
                </c:pt>
                <c:pt idx="38">
                  <c:v>43.805304389596081</c:v>
                </c:pt>
                <c:pt idx="39">
                  <c:v>43.684275422214348</c:v>
                </c:pt>
                <c:pt idx="40">
                  <c:v>43.86317999041686</c:v>
                </c:pt>
                <c:pt idx="41">
                  <c:v>43.805713287999147</c:v>
                </c:pt>
                <c:pt idx="42">
                  <c:v>43.689963778958258</c:v>
                </c:pt>
                <c:pt idx="43">
                  <c:v>43.513768819798806</c:v>
                </c:pt>
                <c:pt idx="44">
                  <c:v>43.474401215164995</c:v>
                </c:pt>
                <c:pt idx="45">
                  <c:v>43.670863913125856</c:v>
                </c:pt>
                <c:pt idx="46">
                  <c:v>43.561635089231913</c:v>
                </c:pt>
                <c:pt idx="47">
                  <c:v>43.478599723976892</c:v>
                </c:pt>
                <c:pt idx="48">
                  <c:v>43.396408583854011</c:v>
                </c:pt>
                <c:pt idx="49">
                  <c:v>43.312738715719959</c:v>
                </c:pt>
                <c:pt idx="50">
                  <c:v>43.330645180198545</c:v>
                </c:pt>
                <c:pt idx="51">
                  <c:v>43.331238831140503</c:v>
                </c:pt>
                <c:pt idx="52">
                  <c:v>43.257305670095107</c:v>
                </c:pt>
                <c:pt idx="53">
                  <c:v>43.22535383483774</c:v>
                </c:pt>
                <c:pt idx="54">
                  <c:v>43.083004608461458</c:v>
                </c:pt>
                <c:pt idx="55">
                  <c:v>43.322328360798579</c:v>
                </c:pt>
                <c:pt idx="56">
                  <c:v>43.226855678560845</c:v>
                </c:pt>
                <c:pt idx="57">
                  <c:v>43.156947806155088</c:v>
                </c:pt>
                <c:pt idx="58">
                  <c:v>43.060445735630651</c:v>
                </c:pt>
                <c:pt idx="59">
                  <c:v>43.326729011236971</c:v>
                </c:pt>
                <c:pt idx="60">
                  <c:v>43.353820242662607</c:v>
                </c:pt>
                <c:pt idx="61">
                  <c:v>43.280830122350963</c:v>
                </c:pt>
              </c:numCache>
            </c:numRef>
          </c:yVal>
          <c:smooth val="0"/>
          <c:extLst>
            <c:ext xmlns:c16="http://schemas.microsoft.com/office/drawing/2014/chart" uri="{C3380CC4-5D6E-409C-BE32-E72D297353CC}">
              <c16:uniqueId val="{00000000-659B-4EBA-9A35-77C8A734891B}"/>
            </c:ext>
          </c:extLst>
        </c:ser>
        <c:ser>
          <c:idx val="2"/>
          <c:order val="1"/>
          <c:tx>
            <c:strRef>
              <c:f>MEX!$R$88</c:f>
              <c:strCache>
                <c:ptCount val="1"/>
                <c:pt idx="0">
                  <c:v>CAL11957 Set 2</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xVal>
            <c:numRef>
              <c:f>MEX!$E$12:$E$73</c:f>
              <c:numCache>
                <c:formatCode>0.0</c:formatCode>
                <c:ptCount val="62"/>
                <c:pt idx="0">
                  <c:v>17.956</c:v>
                </c:pt>
                <c:pt idx="1">
                  <c:v>19.5</c:v>
                </c:pt>
                <c:pt idx="2">
                  <c:v>20.856999999999999</c:v>
                </c:pt>
                <c:pt idx="3">
                  <c:v>22.146999999999998</c:v>
                </c:pt>
                <c:pt idx="4">
                  <c:v>23.48</c:v>
                </c:pt>
                <c:pt idx="5">
                  <c:v>24.878</c:v>
                </c:pt>
                <c:pt idx="6">
                  <c:v>26.34</c:v>
                </c:pt>
                <c:pt idx="7">
                  <c:v>20.93</c:v>
                </c:pt>
                <c:pt idx="8">
                  <c:v>22.646000000000001</c:v>
                </c:pt>
                <c:pt idx="9">
                  <c:v>24.094999999999999</c:v>
                </c:pt>
                <c:pt idx="10">
                  <c:v>25.442</c:v>
                </c:pt>
                <c:pt idx="11">
                  <c:v>26.841999999999999</c:v>
                </c:pt>
                <c:pt idx="12">
                  <c:v>28.32</c:v>
                </c:pt>
                <c:pt idx="13">
                  <c:v>29.867000000000001</c:v>
                </c:pt>
                <c:pt idx="14">
                  <c:v>27.068000000000001</c:v>
                </c:pt>
                <c:pt idx="15">
                  <c:v>29.934000000000001</c:v>
                </c:pt>
                <c:pt idx="16">
                  <c:v>32.250999999999998</c:v>
                </c:pt>
                <c:pt idx="17">
                  <c:v>34.274999999999999</c:v>
                </c:pt>
                <c:pt idx="18">
                  <c:v>36.328000000000003</c:v>
                </c:pt>
                <c:pt idx="19">
                  <c:v>38.384999999999998</c:v>
                </c:pt>
                <c:pt idx="20">
                  <c:v>30.623000000000001</c:v>
                </c:pt>
                <c:pt idx="21">
                  <c:v>35.19</c:v>
                </c:pt>
                <c:pt idx="22">
                  <c:v>41.587000000000003</c:v>
                </c:pt>
                <c:pt idx="23">
                  <c:v>45.744</c:v>
                </c:pt>
                <c:pt idx="24">
                  <c:v>49.868000000000002</c:v>
                </c:pt>
                <c:pt idx="25">
                  <c:v>37.509</c:v>
                </c:pt>
                <c:pt idx="26">
                  <c:v>44.582999999999998</c:v>
                </c:pt>
                <c:pt idx="27">
                  <c:v>48.945</c:v>
                </c:pt>
                <c:pt idx="28">
                  <c:v>53.139000000000003</c:v>
                </c:pt>
                <c:pt idx="29">
                  <c:v>55.186999999999998</c:v>
                </c:pt>
                <c:pt idx="30">
                  <c:v>49.084000000000003</c:v>
                </c:pt>
                <c:pt idx="31">
                  <c:v>53.752000000000002</c:v>
                </c:pt>
                <c:pt idx="32">
                  <c:v>58.063000000000002</c:v>
                </c:pt>
                <c:pt idx="33">
                  <c:v>60.128</c:v>
                </c:pt>
                <c:pt idx="34">
                  <c:v>69.760999999999996</c:v>
                </c:pt>
                <c:pt idx="35">
                  <c:v>65</c:v>
                </c:pt>
                <c:pt idx="36">
                  <c:v>69.849999999999994</c:v>
                </c:pt>
                <c:pt idx="37">
                  <c:v>72.150000000000006</c:v>
                </c:pt>
                <c:pt idx="38">
                  <c:v>82.81</c:v>
                </c:pt>
                <c:pt idx="39">
                  <c:v>92.84</c:v>
                </c:pt>
                <c:pt idx="40">
                  <c:v>78.519000000000005</c:v>
                </c:pt>
                <c:pt idx="41">
                  <c:v>81.358000000000004</c:v>
                </c:pt>
                <c:pt idx="42">
                  <c:v>94.739000000000004</c:v>
                </c:pt>
                <c:pt idx="43">
                  <c:v>107.324</c:v>
                </c:pt>
                <c:pt idx="44">
                  <c:v>114.61199999999999</c:v>
                </c:pt>
                <c:pt idx="45">
                  <c:v>89.066000000000003</c:v>
                </c:pt>
                <c:pt idx="46">
                  <c:v>105.252</c:v>
                </c:pt>
                <c:pt idx="47">
                  <c:v>120.09699999999999</c:v>
                </c:pt>
                <c:pt idx="48">
                  <c:v>128.495</c:v>
                </c:pt>
                <c:pt idx="49">
                  <c:v>133.916</c:v>
                </c:pt>
                <c:pt idx="50">
                  <c:v>120.14700000000001</c:v>
                </c:pt>
                <c:pt idx="51">
                  <c:v>137.45500000000001</c:v>
                </c:pt>
                <c:pt idx="52">
                  <c:v>147.05000000000001</c:v>
                </c:pt>
                <c:pt idx="53">
                  <c:v>153.21</c:v>
                </c:pt>
                <c:pt idx="54">
                  <c:v>159.21700000000001</c:v>
                </c:pt>
                <c:pt idx="55">
                  <c:v>149.50700000000001</c:v>
                </c:pt>
                <c:pt idx="56">
                  <c:v>159.91800000000001</c:v>
                </c:pt>
                <c:pt idx="57">
                  <c:v>166.58099999999999</c:v>
                </c:pt>
                <c:pt idx="58">
                  <c:v>173.059</c:v>
                </c:pt>
                <c:pt idx="59">
                  <c:v>120.09699999999999</c:v>
                </c:pt>
                <c:pt idx="60">
                  <c:v>147.05000000000001</c:v>
                </c:pt>
                <c:pt idx="61">
                  <c:v>153.21</c:v>
                </c:pt>
              </c:numCache>
            </c:numRef>
          </c:xVal>
          <c:yVal>
            <c:numRef>
              <c:f>MEX!$G$12:$G$73</c:f>
              <c:numCache>
                <c:formatCode>0.00</c:formatCode>
                <c:ptCount val="62"/>
                <c:pt idx="0">
                  <c:v>47.688900374435526</c:v>
                </c:pt>
                <c:pt idx="1">
                  <c:v>47.273482007609147</c:v>
                </c:pt>
                <c:pt idx="2">
                  <c:v>46.651923935841047</c:v>
                </c:pt>
                <c:pt idx="3">
                  <c:v>46.554101111153123</c:v>
                </c:pt>
                <c:pt idx="4">
                  <c:v>46.397378648964697</c:v>
                </c:pt>
                <c:pt idx="5">
                  <c:v>46.144471889462899</c:v>
                </c:pt>
                <c:pt idx="6">
                  <c:v>45.926815339804705</c:v>
                </c:pt>
                <c:pt idx="7">
                  <c:v>46.116083371684184</c:v>
                </c:pt>
                <c:pt idx="8">
                  <c:v>45.802732688041118</c:v>
                </c:pt>
                <c:pt idx="9">
                  <c:v>45.842226021566937</c:v>
                </c:pt>
                <c:pt idx="10">
                  <c:v>45.616223009264665</c:v>
                </c:pt>
                <c:pt idx="11">
                  <c:v>45.460096365444052</c:v>
                </c:pt>
                <c:pt idx="12">
                  <c:v>45.329158770161669</c:v>
                </c:pt>
                <c:pt idx="13">
                  <c:v>45.285608599942783</c:v>
                </c:pt>
                <c:pt idx="14">
                  <c:v>44.985508587120606</c:v>
                </c:pt>
                <c:pt idx="15">
                  <c:v>44.966188308022375</c:v>
                </c:pt>
                <c:pt idx="16">
                  <c:v>45.019794556032608</c:v>
                </c:pt>
                <c:pt idx="17">
                  <c:v>44.929428738893634</c:v>
                </c:pt>
                <c:pt idx="18">
                  <c:v>44.865024057072922</c:v>
                </c:pt>
                <c:pt idx="19">
                  <c:v>44.875158321447991</c:v>
                </c:pt>
                <c:pt idx="20">
                  <c:v>44.816400316725755</c:v>
                </c:pt>
                <c:pt idx="21">
                  <c:v>44.890494913459392</c:v>
                </c:pt>
                <c:pt idx="22">
                  <c:v>44.799614915956539</c:v>
                </c:pt>
                <c:pt idx="23">
                  <c:v>44.62523256448678</c:v>
                </c:pt>
                <c:pt idx="24">
                  <c:v>44.49858600603519</c:v>
                </c:pt>
                <c:pt idx="25">
                  <c:v>44.765675369999798</c:v>
                </c:pt>
                <c:pt idx="26">
                  <c:v>44.648604875540506</c:v>
                </c:pt>
                <c:pt idx="27">
                  <c:v>44.623282078103166</c:v>
                </c:pt>
                <c:pt idx="28">
                  <c:v>44.476940065572357</c:v>
                </c:pt>
                <c:pt idx="29">
                  <c:v>44.394808184157803</c:v>
                </c:pt>
                <c:pt idx="30">
                  <c:v>44.718832020756295</c:v>
                </c:pt>
                <c:pt idx="31">
                  <c:v>44.543203208959646</c:v>
                </c:pt>
                <c:pt idx="32">
                  <c:v>44.350880195501865</c:v>
                </c:pt>
                <c:pt idx="33">
                  <c:v>44.335510412631784</c:v>
                </c:pt>
                <c:pt idx="34">
                  <c:v>44.108209023176904</c:v>
                </c:pt>
                <c:pt idx="35">
                  <c:v>44.326919348000182</c:v>
                </c:pt>
                <c:pt idx="36">
                  <c:v>44.275806533420941</c:v>
                </c:pt>
                <c:pt idx="37">
                  <c:v>43.979931181389908</c:v>
                </c:pt>
                <c:pt idx="38">
                  <c:v>43.773718062359407</c:v>
                </c:pt>
                <c:pt idx="39">
                  <c:v>43.790120904236815</c:v>
                </c:pt>
                <c:pt idx="40">
                  <c:v>43.902043257319335</c:v>
                </c:pt>
                <c:pt idx="41">
                  <c:v>44.092286681992888</c:v>
                </c:pt>
                <c:pt idx="42">
                  <c:v>43.701576307811465</c:v>
                </c:pt>
                <c:pt idx="43">
                  <c:v>43.721189703892129</c:v>
                </c:pt>
                <c:pt idx="44">
                  <c:v>43.62341354205244</c:v>
                </c:pt>
                <c:pt idx="45">
                  <c:v>43.722553445047566</c:v>
                </c:pt>
                <c:pt idx="46">
                  <c:v>43.554247313935569</c:v>
                </c:pt>
                <c:pt idx="47">
                  <c:v>43.5712170673524</c:v>
                </c:pt>
                <c:pt idx="48">
                  <c:v>43.39330441458273</c:v>
                </c:pt>
                <c:pt idx="49">
                  <c:v>43.400028083047069</c:v>
                </c:pt>
                <c:pt idx="50">
                  <c:v>43.676958476638092</c:v>
                </c:pt>
                <c:pt idx="51">
                  <c:v>43.404801243756268</c:v>
                </c:pt>
                <c:pt idx="52">
                  <c:v>43.401496553153734</c:v>
                </c:pt>
                <c:pt idx="53">
                  <c:v>43.429356532803624</c:v>
                </c:pt>
                <c:pt idx="54">
                  <c:v>43.217599498628935</c:v>
                </c:pt>
                <c:pt idx="55">
                  <c:v>43.334894998964273</c:v>
                </c:pt>
                <c:pt idx="56">
                  <c:v>43.29894803819527</c:v>
                </c:pt>
                <c:pt idx="57">
                  <c:v>43.161333172657429</c:v>
                </c:pt>
                <c:pt idx="58">
                  <c:v>43.014795931452277</c:v>
                </c:pt>
                <c:pt idx="59">
                  <c:v>43.373170109332086</c:v>
                </c:pt>
                <c:pt idx="60">
                  <c:v>43.358366969363829</c:v>
                </c:pt>
                <c:pt idx="61">
                  <c:v>43.305817328542915</c:v>
                </c:pt>
              </c:numCache>
            </c:numRef>
          </c:yVal>
          <c:smooth val="0"/>
          <c:extLst>
            <c:ext xmlns:c16="http://schemas.microsoft.com/office/drawing/2014/chart" uri="{C3380CC4-5D6E-409C-BE32-E72D297353CC}">
              <c16:uniqueId val="{00000001-659B-4EBA-9A35-77C8A734891B}"/>
            </c:ext>
          </c:extLst>
        </c:ser>
        <c:ser>
          <c:idx val="3"/>
          <c:order val="2"/>
          <c:tx>
            <c:strRef>
              <c:f>MEX!$R$89</c:f>
              <c:strCache>
                <c:ptCount val="1"/>
                <c:pt idx="0">
                  <c:v>CAL11957 Set 3</c:v>
                </c:pt>
              </c:strCache>
            </c:strRef>
          </c:tx>
          <c:spPr>
            <a:ln w="12700">
              <a:solidFill>
                <a:srgbClr val="00FFFF"/>
              </a:solidFill>
              <a:prstDash val="solid"/>
            </a:ln>
          </c:spPr>
          <c:marker>
            <c:symbol val="x"/>
            <c:size val="5"/>
            <c:spPr>
              <a:noFill/>
              <a:ln>
                <a:solidFill>
                  <a:srgbClr val="00FFFF"/>
                </a:solidFill>
                <a:prstDash val="solid"/>
              </a:ln>
            </c:spPr>
          </c:marker>
          <c:xVal>
            <c:numRef>
              <c:f>MEX!$E$12:$E$73</c:f>
              <c:numCache>
                <c:formatCode>0.0</c:formatCode>
                <c:ptCount val="62"/>
                <c:pt idx="0">
                  <c:v>17.956</c:v>
                </c:pt>
                <c:pt idx="1">
                  <c:v>19.5</c:v>
                </c:pt>
                <c:pt idx="2">
                  <c:v>20.856999999999999</c:v>
                </c:pt>
                <c:pt idx="3">
                  <c:v>22.146999999999998</c:v>
                </c:pt>
                <c:pt idx="4">
                  <c:v>23.48</c:v>
                </c:pt>
                <c:pt idx="5">
                  <c:v>24.878</c:v>
                </c:pt>
                <c:pt idx="6">
                  <c:v>26.34</c:v>
                </c:pt>
                <c:pt idx="7">
                  <c:v>20.93</c:v>
                </c:pt>
                <c:pt idx="8">
                  <c:v>22.646000000000001</c:v>
                </c:pt>
                <c:pt idx="9">
                  <c:v>24.094999999999999</c:v>
                </c:pt>
                <c:pt idx="10">
                  <c:v>25.442</c:v>
                </c:pt>
                <c:pt idx="11">
                  <c:v>26.841999999999999</c:v>
                </c:pt>
                <c:pt idx="12">
                  <c:v>28.32</c:v>
                </c:pt>
                <c:pt idx="13">
                  <c:v>29.867000000000001</c:v>
                </c:pt>
                <c:pt idx="14">
                  <c:v>27.068000000000001</c:v>
                </c:pt>
                <c:pt idx="15">
                  <c:v>29.934000000000001</c:v>
                </c:pt>
                <c:pt idx="16">
                  <c:v>32.250999999999998</c:v>
                </c:pt>
                <c:pt idx="17">
                  <c:v>34.274999999999999</c:v>
                </c:pt>
                <c:pt idx="18">
                  <c:v>36.328000000000003</c:v>
                </c:pt>
                <c:pt idx="19">
                  <c:v>38.384999999999998</c:v>
                </c:pt>
                <c:pt idx="20">
                  <c:v>30.623000000000001</c:v>
                </c:pt>
                <c:pt idx="21">
                  <c:v>35.19</c:v>
                </c:pt>
                <c:pt idx="22">
                  <c:v>41.587000000000003</c:v>
                </c:pt>
                <c:pt idx="23">
                  <c:v>45.744</c:v>
                </c:pt>
                <c:pt idx="24">
                  <c:v>49.868000000000002</c:v>
                </c:pt>
                <c:pt idx="25">
                  <c:v>37.509</c:v>
                </c:pt>
                <c:pt idx="26">
                  <c:v>44.582999999999998</c:v>
                </c:pt>
                <c:pt idx="27">
                  <c:v>48.945</c:v>
                </c:pt>
                <c:pt idx="28">
                  <c:v>53.139000000000003</c:v>
                </c:pt>
                <c:pt idx="29">
                  <c:v>55.186999999999998</c:v>
                </c:pt>
                <c:pt idx="30">
                  <c:v>49.084000000000003</c:v>
                </c:pt>
                <c:pt idx="31">
                  <c:v>53.752000000000002</c:v>
                </c:pt>
                <c:pt idx="32">
                  <c:v>58.063000000000002</c:v>
                </c:pt>
                <c:pt idx="33">
                  <c:v>60.128</c:v>
                </c:pt>
                <c:pt idx="34">
                  <c:v>69.760999999999996</c:v>
                </c:pt>
                <c:pt idx="35">
                  <c:v>65</c:v>
                </c:pt>
                <c:pt idx="36">
                  <c:v>69.849999999999994</c:v>
                </c:pt>
                <c:pt idx="37">
                  <c:v>72.150000000000006</c:v>
                </c:pt>
                <c:pt idx="38">
                  <c:v>82.81</c:v>
                </c:pt>
                <c:pt idx="39">
                  <c:v>92.84</c:v>
                </c:pt>
                <c:pt idx="40">
                  <c:v>78.519000000000005</c:v>
                </c:pt>
                <c:pt idx="41">
                  <c:v>81.358000000000004</c:v>
                </c:pt>
                <c:pt idx="42">
                  <c:v>94.739000000000004</c:v>
                </c:pt>
                <c:pt idx="43">
                  <c:v>107.324</c:v>
                </c:pt>
                <c:pt idx="44">
                  <c:v>114.61199999999999</c:v>
                </c:pt>
                <c:pt idx="45">
                  <c:v>89.066000000000003</c:v>
                </c:pt>
                <c:pt idx="46">
                  <c:v>105.252</c:v>
                </c:pt>
                <c:pt idx="47">
                  <c:v>120.09699999999999</c:v>
                </c:pt>
                <c:pt idx="48">
                  <c:v>128.495</c:v>
                </c:pt>
                <c:pt idx="49">
                  <c:v>133.916</c:v>
                </c:pt>
                <c:pt idx="50">
                  <c:v>120.14700000000001</c:v>
                </c:pt>
                <c:pt idx="51">
                  <c:v>137.45500000000001</c:v>
                </c:pt>
                <c:pt idx="52">
                  <c:v>147.05000000000001</c:v>
                </c:pt>
                <c:pt idx="53">
                  <c:v>153.21</c:v>
                </c:pt>
                <c:pt idx="54">
                  <c:v>159.21700000000001</c:v>
                </c:pt>
                <c:pt idx="55">
                  <c:v>149.50700000000001</c:v>
                </c:pt>
                <c:pt idx="56">
                  <c:v>159.91800000000001</c:v>
                </c:pt>
                <c:pt idx="57">
                  <c:v>166.58099999999999</c:v>
                </c:pt>
                <c:pt idx="58">
                  <c:v>173.059</c:v>
                </c:pt>
                <c:pt idx="59">
                  <c:v>120.09699999999999</c:v>
                </c:pt>
                <c:pt idx="60">
                  <c:v>147.05000000000001</c:v>
                </c:pt>
                <c:pt idx="61">
                  <c:v>153.21</c:v>
                </c:pt>
              </c:numCache>
            </c:numRef>
          </c:xVal>
          <c:yVal>
            <c:numRef>
              <c:f>MEX!$I$12:$I$73</c:f>
              <c:numCache>
                <c:formatCode>0.00</c:formatCode>
                <c:ptCount val="62"/>
                <c:pt idx="0">
                  <c:v>47.547868664153405</c:v>
                </c:pt>
                <c:pt idx="1">
                  <c:v>47.347051451873448</c:v>
                </c:pt>
                <c:pt idx="2">
                  <c:v>46.833518656943689</c:v>
                </c:pt>
                <c:pt idx="3">
                  <c:v>46.551024364456218</c:v>
                </c:pt>
                <c:pt idx="4">
                  <c:v>46.255410032855551</c:v>
                </c:pt>
                <c:pt idx="5">
                  <c:v>46.096093849972945</c:v>
                </c:pt>
                <c:pt idx="6">
                  <c:v>45.986237701222834</c:v>
                </c:pt>
                <c:pt idx="7">
                  <c:v>46.271486858530892</c:v>
                </c:pt>
                <c:pt idx="8">
                  <c:v>45.905730313669459</c:v>
                </c:pt>
                <c:pt idx="9">
                  <c:v>45.65794754980336</c:v>
                </c:pt>
                <c:pt idx="10">
                  <c:v>45.587860190916636</c:v>
                </c:pt>
                <c:pt idx="11">
                  <c:v>45.502066687447794</c:v>
                </c:pt>
                <c:pt idx="12">
                  <c:v>45.370497708225983</c:v>
                </c:pt>
                <c:pt idx="13">
                  <c:v>45.391276952410308</c:v>
                </c:pt>
                <c:pt idx="14">
                  <c:v>44.936972237655297</c:v>
                </c:pt>
                <c:pt idx="15">
                  <c:v>45.020716014240925</c:v>
                </c:pt>
                <c:pt idx="16">
                  <c:v>45.029470584435558</c:v>
                </c:pt>
                <c:pt idx="17">
                  <c:v>44.9595605435753</c:v>
                </c:pt>
                <c:pt idx="18">
                  <c:v>44.872947522608897</c:v>
                </c:pt>
                <c:pt idx="19">
                  <c:v>44.795616388995228</c:v>
                </c:pt>
                <c:pt idx="20">
                  <c:v>44.854844144421328</c:v>
                </c:pt>
                <c:pt idx="21">
                  <c:v>44.924294020370077</c:v>
                </c:pt>
                <c:pt idx="22">
                  <c:v>44.783206147375367</c:v>
                </c:pt>
                <c:pt idx="23">
                  <c:v>44.688739385617978</c:v>
                </c:pt>
                <c:pt idx="24">
                  <c:v>44.377896338633633</c:v>
                </c:pt>
                <c:pt idx="25">
                  <c:v>44.986086368733062</c:v>
                </c:pt>
                <c:pt idx="26">
                  <c:v>44.802855187680422</c:v>
                </c:pt>
                <c:pt idx="27">
                  <c:v>44.600442188188389</c:v>
                </c:pt>
                <c:pt idx="28">
                  <c:v>44.412478609485667</c:v>
                </c:pt>
                <c:pt idx="29">
                  <c:v>44.425116736682135</c:v>
                </c:pt>
                <c:pt idx="30">
                  <c:v>44.60097194821001</c:v>
                </c:pt>
                <c:pt idx="31">
                  <c:v>44.511801382110768</c:v>
                </c:pt>
                <c:pt idx="32">
                  <c:v>44.435264699898717</c:v>
                </c:pt>
                <c:pt idx="33">
                  <c:v>44.38606652764939</c:v>
                </c:pt>
                <c:pt idx="34">
                  <c:v>44.003323870074183</c:v>
                </c:pt>
                <c:pt idx="35">
                  <c:v>44.184178512782047</c:v>
                </c:pt>
                <c:pt idx="36">
                  <c:v>44.173932147693165</c:v>
                </c:pt>
                <c:pt idx="37">
                  <c:v>44.097628433678643</c:v>
                </c:pt>
                <c:pt idx="38">
                  <c:v>43.771711335394741</c:v>
                </c:pt>
                <c:pt idx="39">
                  <c:v>43.714980291427047</c:v>
                </c:pt>
                <c:pt idx="40">
                  <c:v>43.969502155532048</c:v>
                </c:pt>
                <c:pt idx="41">
                  <c:v>43.905782095868801</c:v>
                </c:pt>
                <c:pt idx="42">
                  <c:v>43.679734739163067</c:v>
                </c:pt>
                <c:pt idx="43">
                  <c:v>43.409450717891957</c:v>
                </c:pt>
                <c:pt idx="44">
                  <c:v>43.545802008809787</c:v>
                </c:pt>
                <c:pt idx="45">
                  <c:v>43.682490976777366</c:v>
                </c:pt>
                <c:pt idx="46">
                  <c:v>43.612414507351055</c:v>
                </c:pt>
                <c:pt idx="47">
                  <c:v>43.496012352359557</c:v>
                </c:pt>
                <c:pt idx="48">
                  <c:v>43.461384656188287</c:v>
                </c:pt>
                <c:pt idx="49">
                  <c:v>43.365100722787048</c:v>
                </c:pt>
                <c:pt idx="50">
                  <c:v>43.449247732798703</c:v>
                </c:pt>
                <c:pt idx="51">
                  <c:v>43.446165289448082</c:v>
                </c:pt>
                <c:pt idx="52">
                  <c:v>43.337567650074902</c:v>
                </c:pt>
                <c:pt idx="53">
                  <c:v>43.155667537735951</c:v>
                </c:pt>
                <c:pt idx="54">
                  <c:v>43.094736545706326</c:v>
                </c:pt>
                <c:pt idx="55">
                  <c:v>43.129445098776301</c:v>
                </c:pt>
                <c:pt idx="56">
                  <c:v>43.222950590743693</c:v>
                </c:pt>
                <c:pt idx="57">
                  <c:v>43.083653065493372</c:v>
                </c:pt>
                <c:pt idx="58">
                  <c:v>43.070332764257763</c:v>
                </c:pt>
                <c:pt idx="59">
                  <c:v>43.332892944416528</c:v>
                </c:pt>
                <c:pt idx="60">
                  <c:v>43.286072204935664</c:v>
                </c:pt>
                <c:pt idx="61">
                  <c:v>43.234711168264994</c:v>
                </c:pt>
              </c:numCache>
            </c:numRef>
          </c:yVal>
          <c:smooth val="0"/>
          <c:extLst>
            <c:ext xmlns:c16="http://schemas.microsoft.com/office/drawing/2014/chart" uri="{C3380CC4-5D6E-409C-BE32-E72D297353CC}">
              <c16:uniqueId val="{00000002-659B-4EBA-9A35-77C8A734891B}"/>
            </c:ext>
          </c:extLst>
        </c:ser>
        <c:ser>
          <c:idx val="5"/>
          <c:order val="3"/>
          <c:tx>
            <c:strRef>
              <c:f>MEX!$R$90</c:f>
              <c:strCache>
                <c:ptCount val="1"/>
                <c:pt idx="0">
                  <c:v>CAL11957 Set 4</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xVal>
            <c:numRef>
              <c:f>MEX!$E$12:$E$73</c:f>
              <c:numCache>
                <c:formatCode>0.0</c:formatCode>
                <c:ptCount val="62"/>
                <c:pt idx="0">
                  <c:v>17.956</c:v>
                </c:pt>
                <c:pt idx="1">
                  <c:v>19.5</c:v>
                </c:pt>
                <c:pt idx="2">
                  <c:v>20.856999999999999</c:v>
                </c:pt>
                <c:pt idx="3">
                  <c:v>22.146999999999998</c:v>
                </c:pt>
                <c:pt idx="4">
                  <c:v>23.48</c:v>
                </c:pt>
                <c:pt idx="5">
                  <c:v>24.878</c:v>
                </c:pt>
                <c:pt idx="6">
                  <c:v>26.34</c:v>
                </c:pt>
                <c:pt idx="7">
                  <c:v>20.93</c:v>
                </c:pt>
                <c:pt idx="8">
                  <c:v>22.646000000000001</c:v>
                </c:pt>
                <c:pt idx="9">
                  <c:v>24.094999999999999</c:v>
                </c:pt>
                <c:pt idx="10">
                  <c:v>25.442</c:v>
                </c:pt>
                <c:pt idx="11">
                  <c:v>26.841999999999999</c:v>
                </c:pt>
                <c:pt idx="12">
                  <c:v>28.32</c:v>
                </c:pt>
                <c:pt idx="13">
                  <c:v>29.867000000000001</c:v>
                </c:pt>
                <c:pt idx="14">
                  <c:v>27.068000000000001</c:v>
                </c:pt>
                <c:pt idx="15">
                  <c:v>29.934000000000001</c:v>
                </c:pt>
                <c:pt idx="16">
                  <c:v>32.250999999999998</c:v>
                </c:pt>
                <c:pt idx="17">
                  <c:v>34.274999999999999</c:v>
                </c:pt>
                <c:pt idx="18">
                  <c:v>36.328000000000003</c:v>
                </c:pt>
                <c:pt idx="19">
                  <c:v>38.384999999999998</c:v>
                </c:pt>
                <c:pt idx="20">
                  <c:v>30.623000000000001</c:v>
                </c:pt>
                <c:pt idx="21">
                  <c:v>35.19</c:v>
                </c:pt>
                <c:pt idx="22">
                  <c:v>41.587000000000003</c:v>
                </c:pt>
                <c:pt idx="23">
                  <c:v>45.744</c:v>
                </c:pt>
                <c:pt idx="24">
                  <c:v>49.868000000000002</c:v>
                </c:pt>
                <c:pt idx="25">
                  <c:v>37.509</c:v>
                </c:pt>
                <c:pt idx="26">
                  <c:v>44.582999999999998</c:v>
                </c:pt>
                <c:pt idx="27">
                  <c:v>48.945</c:v>
                </c:pt>
                <c:pt idx="28">
                  <c:v>53.139000000000003</c:v>
                </c:pt>
                <c:pt idx="29">
                  <c:v>55.186999999999998</c:v>
                </c:pt>
                <c:pt idx="30">
                  <c:v>49.084000000000003</c:v>
                </c:pt>
                <c:pt idx="31">
                  <c:v>53.752000000000002</c:v>
                </c:pt>
                <c:pt idx="32">
                  <c:v>58.063000000000002</c:v>
                </c:pt>
                <c:pt idx="33">
                  <c:v>60.128</c:v>
                </c:pt>
                <c:pt idx="34">
                  <c:v>69.760999999999996</c:v>
                </c:pt>
                <c:pt idx="35">
                  <c:v>65</c:v>
                </c:pt>
                <c:pt idx="36">
                  <c:v>69.849999999999994</c:v>
                </c:pt>
                <c:pt idx="37">
                  <c:v>72.150000000000006</c:v>
                </c:pt>
                <c:pt idx="38">
                  <c:v>82.81</c:v>
                </c:pt>
                <c:pt idx="39">
                  <c:v>92.84</c:v>
                </c:pt>
                <c:pt idx="40">
                  <c:v>78.519000000000005</c:v>
                </c:pt>
                <c:pt idx="41">
                  <c:v>81.358000000000004</c:v>
                </c:pt>
                <c:pt idx="42">
                  <c:v>94.739000000000004</c:v>
                </c:pt>
                <c:pt idx="43">
                  <c:v>107.324</c:v>
                </c:pt>
                <c:pt idx="44">
                  <c:v>114.61199999999999</c:v>
                </c:pt>
                <c:pt idx="45">
                  <c:v>89.066000000000003</c:v>
                </c:pt>
                <c:pt idx="46">
                  <c:v>105.252</c:v>
                </c:pt>
                <c:pt idx="47">
                  <c:v>120.09699999999999</c:v>
                </c:pt>
                <c:pt idx="48">
                  <c:v>128.495</c:v>
                </c:pt>
                <c:pt idx="49">
                  <c:v>133.916</c:v>
                </c:pt>
                <c:pt idx="50">
                  <c:v>120.14700000000001</c:v>
                </c:pt>
                <c:pt idx="51">
                  <c:v>137.45500000000001</c:v>
                </c:pt>
                <c:pt idx="52">
                  <c:v>147.05000000000001</c:v>
                </c:pt>
                <c:pt idx="53">
                  <c:v>153.21</c:v>
                </c:pt>
                <c:pt idx="54">
                  <c:v>159.21700000000001</c:v>
                </c:pt>
                <c:pt idx="55">
                  <c:v>149.50700000000001</c:v>
                </c:pt>
                <c:pt idx="56">
                  <c:v>159.91800000000001</c:v>
                </c:pt>
                <c:pt idx="57">
                  <c:v>166.58099999999999</c:v>
                </c:pt>
                <c:pt idx="58">
                  <c:v>173.059</c:v>
                </c:pt>
                <c:pt idx="59">
                  <c:v>120.09699999999999</c:v>
                </c:pt>
                <c:pt idx="60">
                  <c:v>147.05000000000001</c:v>
                </c:pt>
                <c:pt idx="61">
                  <c:v>153.21</c:v>
                </c:pt>
              </c:numCache>
            </c:numRef>
          </c:xVal>
          <c:yVal>
            <c:numRef>
              <c:f>MEX!$K$12:$K$73</c:f>
              <c:numCache>
                <c:formatCode>0.00</c:formatCode>
                <c:ptCount val="62"/>
              </c:numCache>
            </c:numRef>
          </c:yVal>
          <c:smooth val="0"/>
          <c:extLst>
            <c:ext xmlns:c16="http://schemas.microsoft.com/office/drawing/2014/chart" uri="{C3380CC4-5D6E-409C-BE32-E72D297353CC}">
              <c16:uniqueId val="{00000003-659B-4EBA-9A35-77C8A734891B}"/>
            </c:ext>
          </c:extLst>
        </c:ser>
        <c:ser>
          <c:idx val="0"/>
          <c:order val="4"/>
          <c:tx>
            <c:strRef>
              <c:f>MEX!$R$91</c:f>
              <c:strCache>
                <c:ptCount val="1"/>
                <c:pt idx="0">
                  <c:v>Previous (None)</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MEX!$E$12:$E$73</c:f>
              <c:numCache>
                <c:formatCode>0.0</c:formatCode>
                <c:ptCount val="62"/>
                <c:pt idx="0">
                  <c:v>17.956</c:v>
                </c:pt>
                <c:pt idx="1">
                  <c:v>19.5</c:v>
                </c:pt>
                <c:pt idx="2">
                  <c:v>20.856999999999999</c:v>
                </c:pt>
                <c:pt idx="3">
                  <c:v>22.146999999999998</c:v>
                </c:pt>
                <c:pt idx="4">
                  <c:v>23.48</c:v>
                </c:pt>
                <c:pt idx="5">
                  <c:v>24.878</c:v>
                </c:pt>
                <c:pt idx="6">
                  <c:v>26.34</c:v>
                </c:pt>
                <c:pt idx="7">
                  <c:v>20.93</c:v>
                </c:pt>
                <c:pt idx="8">
                  <c:v>22.646000000000001</c:v>
                </c:pt>
                <c:pt idx="9">
                  <c:v>24.094999999999999</c:v>
                </c:pt>
                <c:pt idx="10">
                  <c:v>25.442</c:v>
                </c:pt>
                <c:pt idx="11">
                  <c:v>26.841999999999999</c:v>
                </c:pt>
                <c:pt idx="12">
                  <c:v>28.32</c:v>
                </c:pt>
                <c:pt idx="13">
                  <c:v>29.867000000000001</c:v>
                </c:pt>
                <c:pt idx="14">
                  <c:v>27.068000000000001</c:v>
                </c:pt>
                <c:pt idx="15">
                  <c:v>29.934000000000001</c:v>
                </c:pt>
                <c:pt idx="16">
                  <c:v>32.250999999999998</c:v>
                </c:pt>
                <c:pt idx="17">
                  <c:v>34.274999999999999</c:v>
                </c:pt>
                <c:pt idx="18">
                  <c:v>36.328000000000003</c:v>
                </c:pt>
                <c:pt idx="19">
                  <c:v>38.384999999999998</c:v>
                </c:pt>
                <c:pt idx="20">
                  <c:v>30.623000000000001</c:v>
                </c:pt>
                <c:pt idx="21">
                  <c:v>35.19</c:v>
                </c:pt>
                <c:pt idx="22">
                  <c:v>41.587000000000003</c:v>
                </c:pt>
                <c:pt idx="23">
                  <c:v>45.744</c:v>
                </c:pt>
                <c:pt idx="24">
                  <c:v>49.868000000000002</c:v>
                </c:pt>
                <c:pt idx="25">
                  <c:v>37.509</c:v>
                </c:pt>
                <c:pt idx="26">
                  <c:v>44.582999999999998</c:v>
                </c:pt>
                <c:pt idx="27">
                  <c:v>48.945</c:v>
                </c:pt>
                <c:pt idx="28">
                  <c:v>53.139000000000003</c:v>
                </c:pt>
                <c:pt idx="29">
                  <c:v>55.186999999999998</c:v>
                </c:pt>
                <c:pt idx="30">
                  <c:v>49.084000000000003</c:v>
                </c:pt>
                <c:pt idx="31">
                  <c:v>53.752000000000002</c:v>
                </c:pt>
                <c:pt idx="32">
                  <c:v>58.063000000000002</c:v>
                </c:pt>
                <c:pt idx="33">
                  <c:v>60.128</c:v>
                </c:pt>
                <c:pt idx="34">
                  <c:v>69.760999999999996</c:v>
                </c:pt>
                <c:pt idx="35">
                  <c:v>65</c:v>
                </c:pt>
                <c:pt idx="36">
                  <c:v>69.849999999999994</c:v>
                </c:pt>
                <c:pt idx="37">
                  <c:v>72.150000000000006</c:v>
                </c:pt>
                <c:pt idx="38">
                  <c:v>82.81</c:v>
                </c:pt>
                <c:pt idx="39">
                  <c:v>92.84</c:v>
                </c:pt>
                <c:pt idx="40">
                  <c:v>78.519000000000005</c:v>
                </c:pt>
                <c:pt idx="41">
                  <c:v>81.358000000000004</c:v>
                </c:pt>
                <c:pt idx="42">
                  <c:v>94.739000000000004</c:v>
                </c:pt>
                <c:pt idx="43">
                  <c:v>107.324</c:v>
                </c:pt>
                <c:pt idx="44">
                  <c:v>114.61199999999999</c:v>
                </c:pt>
                <c:pt idx="45">
                  <c:v>89.066000000000003</c:v>
                </c:pt>
                <c:pt idx="46">
                  <c:v>105.252</c:v>
                </c:pt>
                <c:pt idx="47">
                  <c:v>120.09699999999999</c:v>
                </c:pt>
                <c:pt idx="48">
                  <c:v>128.495</c:v>
                </c:pt>
                <c:pt idx="49">
                  <c:v>133.916</c:v>
                </c:pt>
                <c:pt idx="50">
                  <c:v>120.14700000000001</c:v>
                </c:pt>
                <c:pt idx="51">
                  <c:v>137.45500000000001</c:v>
                </c:pt>
                <c:pt idx="52">
                  <c:v>147.05000000000001</c:v>
                </c:pt>
                <c:pt idx="53">
                  <c:v>153.21</c:v>
                </c:pt>
                <c:pt idx="54">
                  <c:v>159.21700000000001</c:v>
                </c:pt>
                <c:pt idx="55">
                  <c:v>149.50700000000001</c:v>
                </c:pt>
                <c:pt idx="56">
                  <c:v>159.91800000000001</c:v>
                </c:pt>
                <c:pt idx="57">
                  <c:v>166.58099999999999</c:v>
                </c:pt>
                <c:pt idx="58">
                  <c:v>173.059</c:v>
                </c:pt>
                <c:pt idx="59">
                  <c:v>120.09699999999999</c:v>
                </c:pt>
                <c:pt idx="60">
                  <c:v>147.05000000000001</c:v>
                </c:pt>
                <c:pt idx="61">
                  <c:v>153.21</c:v>
                </c:pt>
              </c:numCache>
            </c:numRef>
          </c:xVal>
          <c:yVal>
            <c:numRef>
              <c:f>MEX!$P$12:$P$73</c:f>
              <c:numCache>
                <c:formatCode>0.00</c:formatCode>
                <c:ptCount val="62"/>
              </c:numCache>
            </c:numRef>
          </c:yVal>
          <c:smooth val="0"/>
          <c:extLst>
            <c:ext xmlns:c16="http://schemas.microsoft.com/office/drawing/2014/chart" uri="{C3380CC4-5D6E-409C-BE32-E72D297353CC}">
              <c16:uniqueId val="{00000004-659B-4EBA-9A35-77C8A734891B}"/>
            </c:ext>
          </c:extLst>
        </c:ser>
        <c:ser>
          <c:idx val="4"/>
          <c:order val="5"/>
          <c:tx>
            <c:strRef>
              <c:f>MEX!$R$92</c:f>
              <c:strCache>
                <c:ptCount val="1"/>
                <c:pt idx="0">
                  <c:v>QA chamber </c:v>
                </c:pt>
              </c:strCache>
            </c:strRef>
          </c:tx>
          <c:spPr>
            <a:ln w="12700">
              <a:solidFill>
                <a:srgbClr val="800080"/>
              </a:solidFill>
              <a:prstDash val="solid"/>
            </a:ln>
          </c:spPr>
          <c:marker>
            <c:symbol val="star"/>
            <c:size val="5"/>
            <c:spPr>
              <a:noFill/>
              <a:ln>
                <a:solidFill>
                  <a:srgbClr val="800080"/>
                </a:solidFill>
                <a:prstDash val="solid"/>
              </a:ln>
            </c:spPr>
          </c:marker>
          <c:xVal>
            <c:numRef>
              <c:f>MEX!$E$12:$E$73</c:f>
              <c:numCache>
                <c:formatCode>0.0</c:formatCode>
                <c:ptCount val="62"/>
                <c:pt idx="0">
                  <c:v>17.956</c:v>
                </c:pt>
                <c:pt idx="1">
                  <c:v>19.5</c:v>
                </c:pt>
                <c:pt idx="2">
                  <c:v>20.856999999999999</c:v>
                </c:pt>
                <c:pt idx="3">
                  <c:v>22.146999999999998</c:v>
                </c:pt>
                <c:pt idx="4">
                  <c:v>23.48</c:v>
                </c:pt>
                <c:pt idx="5">
                  <c:v>24.878</c:v>
                </c:pt>
                <c:pt idx="6">
                  <c:v>26.34</c:v>
                </c:pt>
                <c:pt idx="7">
                  <c:v>20.93</c:v>
                </c:pt>
                <c:pt idx="8">
                  <c:v>22.646000000000001</c:v>
                </c:pt>
                <c:pt idx="9">
                  <c:v>24.094999999999999</c:v>
                </c:pt>
                <c:pt idx="10">
                  <c:v>25.442</c:v>
                </c:pt>
                <c:pt idx="11">
                  <c:v>26.841999999999999</c:v>
                </c:pt>
                <c:pt idx="12">
                  <c:v>28.32</c:v>
                </c:pt>
                <c:pt idx="13">
                  <c:v>29.867000000000001</c:v>
                </c:pt>
                <c:pt idx="14">
                  <c:v>27.068000000000001</c:v>
                </c:pt>
                <c:pt idx="15">
                  <c:v>29.934000000000001</c:v>
                </c:pt>
                <c:pt idx="16">
                  <c:v>32.250999999999998</c:v>
                </c:pt>
                <c:pt idx="17">
                  <c:v>34.274999999999999</c:v>
                </c:pt>
                <c:pt idx="18">
                  <c:v>36.328000000000003</c:v>
                </c:pt>
                <c:pt idx="19">
                  <c:v>38.384999999999998</c:v>
                </c:pt>
                <c:pt idx="20">
                  <c:v>30.623000000000001</c:v>
                </c:pt>
                <c:pt idx="21">
                  <c:v>35.19</c:v>
                </c:pt>
                <c:pt idx="22">
                  <c:v>41.587000000000003</c:v>
                </c:pt>
                <c:pt idx="23">
                  <c:v>45.744</c:v>
                </c:pt>
                <c:pt idx="24">
                  <c:v>49.868000000000002</c:v>
                </c:pt>
                <c:pt idx="25">
                  <c:v>37.509</c:v>
                </c:pt>
                <c:pt idx="26">
                  <c:v>44.582999999999998</c:v>
                </c:pt>
                <c:pt idx="27">
                  <c:v>48.945</c:v>
                </c:pt>
                <c:pt idx="28">
                  <c:v>53.139000000000003</c:v>
                </c:pt>
                <c:pt idx="29">
                  <c:v>55.186999999999998</c:v>
                </c:pt>
                <c:pt idx="30">
                  <c:v>49.084000000000003</c:v>
                </c:pt>
                <c:pt idx="31">
                  <c:v>53.752000000000002</c:v>
                </c:pt>
                <c:pt idx="32">
                  <c:v>58.063000000000002</c:v>
                </c:pt>
                <c:pt idx="33">
                  <c:v>60.128</c:v>
                </c:pt>
                <c:pt idx="34">
                  <c:v>69.760999999999996</c:v>
                </c:pt>
                <c:pt idx="35">
                  <c:v>65</c:v>
                </c:pt>
                <c:pt idx="36">
                  <c:v>69.849999999999994</c:v>
                </c:pt>
                <c:pt idx="37">
                  <c:v>72.150000000000006</c:v>
                </c:pt>
                <c:pt idx="38">
                  <c:v>82.81</c:v>
                </c:pt>
                <c:pt idx="39">
                  <c:v>92.84</c:v>
                </c:pt>
                <c:pt idx="40">
                  <c:v>78.519000000000005</c:v>
                </c:pt>
                <c:pt idx="41">
                  <c:v>81.358000000000004</c:v>
                </c:pt>
                <c:pt idx="42">
                  <c:v>94.739000000000004</c:v>
                </c:pt>
                <c:pt idx="43">
                  <c:v>107.324</c:v>
                </c:pt>
                <c:pt idx="44">
                  <c:v>114.61199999999999</c:v>
                </c:pt>
                <c:pt idx="45">
                  <c:v>89.066000000000003</c:v>
                </c:pt>
                <c:pt idx="46">
                  <c:v>105.252</c:v>
                </c:pt>
                <c:pt idx="47">
                  <c:v>120.09699999999999</c:v>
                </c:pt>
                <c:pt idx="48">
                  <c:v>128.495</c:v>
                </c:pt>
                <c:pt idx="49">
                  <c:v>133.916</c:v>
                </c:pt>
                <c:pt idx="50">
                  <c:v>120.14700000000001</c:v>
                </c:pt>
                <c:pt idx="51">
                  <c:v>137.45500000000001</c:v>
                </c:pt>
                <c:pt idx="52">
                  <c:v>147.05000000000001</c:v>
                </c:pt>
                <c:pt idx="53">
                  <c:v>153.21</c:v>
                </c:pt>
                <c:pt idx="54">
                  <c:v>159.21700000000001</c:v>
                </c:pt>
                <c:pt idx="55">
                  <c:v>149.50700000000001</c:v>
                </c:pt>
                <c:pt idx="56">
                  <c:v>159.91800000000001</c:v>
                </c:pt>
                <c:pt idx="57">
                  <c:v>166.58099999999999</c:v>
                </c:pt>
                <c:pt idx="58">
                  <c:v>173.059</c:v>
                </c:pt>
                <c:pt idx="59">
                  <c:v>120.09699999999999</c:v>
                </c:pt>
                <c:pt idx="60">
                  <c:v>147.05000000000001</c:v>
                </c:pt>
                <c:pt idx="61">
                  <c:v>153.21</c:v>
                </c:pt>
              </c:numCache>
            </c:numRef>
          </c:xVal>
          <c:yVal>
            <c:numRef>
              <c:f>MEX!$S$12:$S$73</c:f>
              <c:numCache>
                <c:formatCode>0.00</c:formatCode>
                <c:ptCount val="62"/>
              </c:numCache>
            </c:numRef>
          </c:yVal>
          <c:smooth val="0"/>
          <c:extLst>
            <c:ext xmlns:c16="http://schemas.microsoft.com/office/drawing/2014/chart" uri="{C3380CC4-5D6E-409C-BE32-E72D297353CC}">
              <c16:uniqueId val="{00000005-659B-4EBA-9A35-77C8A734891B}"/>
            </c:ext>
          </c:extLst>
        </c:ser>
        <c:dLbls>
          <c:showLegendKey val="0"/>
          <c:showVal val="0"/>
          <c:showCatName val="0"/>
          <c:showSerName val="0"/>
          <c:showPercent val="0"/>
          <c:showBubbleSize val="0"/>
        </c:dLbls>
        <c:axId val="348584776"/>
        <c:axId val="1"/>
      </c:scatterChart>
      <c:valAx>
        <c:axId val="348584776"/>
        <c:scaling>
          <c:orientation val="minMax"/>
        </c:scaling>
        <c:delete val="0"/>
        <c:axPos val="b"/>
        <c:title>
          <c:tx>
            <c:rich>
              <a:bodyPr/>
              <a:lstStyle/>
              <a:p>
                <a:pPr>
                  <a:defRPr sz="1200" b="1" i="0" u="none" strike="noStrike" baseline="0">
                    <a:solidFill>
                      <a:srgbClr val="000000"/>
                    </a:solidFill>
                    <a:latin typeface="Arial"/>
                    <a:ea typeface="Arial"/>
                    <a:cs typeface="Arial"/>
                  </a:defRPr>
                </a:pPr>
                <a:r>
                  <a:rPr lang="en-AU"/>
                  <a:t>Effective Energy (keV)</a:t>
                </a:r>
              </a:p>
            </c:rich>
          </c:tx>
          <c:layout>
            <c:manualLayout>
              <c:xMode val="edge"/>
              <c:yMode val="edge"/>
              <c:x val="0.43321761359755678"/>
              <c:y val="0.9265892541642410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ysDash"/>
            </a:ln>
          </c:spPr>
        </c:majorGridlines>
        <c:title>
          <c:tx>
            <c:rich>
              <a:bodyPr/>
              <a:lstStyle/>
              <a:p>
                <a:pPr>
                  <a:defRPr sz="1200" b="1" i="0" u="none" strike="noStrike" baseline="0">
                    <a:solidFill>
                      <a:srgbClr val="000000"/>
                    </a:solidFill>
                    <a:latin typeface="Arial"/>
                    <a:ea typeface="Arial"/>
                    <a:cs typeface="Arial"/>
                  </a:defRPr>
                </a:pPr>
                <a:r>
                  <a:rPr lang="en-AU"/>
                  <a:t>Calibration factor (mGy/nC)</a:t>
                </a:r>
              </a:p>
            </c:rich>
          </c:tx>
          <c:layout>
            <c:manualLayout>
              <c:xMode val="edge"/>
              <c:yMode val="edge"/>
              <c:x val="6.9686828179934754E-3"/>
              <c:y val="0.2658733417077728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48584776"/>
        <c:crosses val="autoZero"/>
        <c:crossBetween val="midCat"/>
      </c:valAx>
      <c:spPr>
        <a:noFill/>
        <a:ln w="12700">
          <a:solidFill>
            <a:srgbClr val="808080"/>
          </a:solidFill>
          <a:prstDash val="solid"/>
        </a:ln>
      </c:spPr>
    </c:plotArea>
    <c:legend>
      <c:legendPos val="r"/>
      <c:layout>
        <c:manualLayout>
          <c:xMode val="edge"/>
          <c:yMode val="edge"/>
          <c:x val="0.33111507901660991"/>
          <c:y val="6.8232482612825149E-2"/>
          <c:w val="0.60782666107257044"/>
          <c:h val="0.29365135778261181"/>
        </c:manualLayout>
      </c:layout>
      <c:overlay val="0"/>
      <c:spPr>
        <a:solidFill>
          <a:srgbClr val="FFFFFF"/>
        </a:solidFill>
        <a:ln w="3175">
          <a:solidFill>
            <a:srgbClr val="000000"/>
          </a:solidFill>
          <a:prstDash val="solid"/>
        </a:ln>
      </c:spPr>
      <c:txPr>
        <a:bodyPr/>
        <a:lstStyle/>
        <a:p>
          <a:pPr>
            <a:defRPr sz="147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verticalDpi="2"/>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69117678750271"/>
          <c:y val="4.7619139887036303E-2"/>
          <c:w val="0.86643536135689037"/>
          <c:h val="0.79762059310785804"/>
        </c:manualLayout>
      </c:layout>
      <c:scatterChart>
        <c:scatterStyle val="smoothMarker"/>
        <c:varyColors val="0"/>
        <c:ser>
          <c:idx val="0"/>
          <c:order val="0"/>
          <c:tx>
            <c:strRef>
              <c:f>MEX!$A$3</c:f>
              <c:strCache>
                <c:ptCount val="1"/>
                <c:pt idx="0">
                  <c:v>CAL11957</c:v>
                </c:pt>
              </c:strCache>
            </c:strRef>
          </c:tx>
          <c:spPr>
            <a:ln>
              <a:noFill/>
            </a:ln>
          </c:spPr>
          <c:xVal>
            <c:numRef>
              <c:f>MEX!$E$12:$E$73</c:f>
              <c:numCache>
                <c:formatCode>0.0</c:formatCode>
                <c:ptCount val="62"/>
                <c:pt idx="0">
                  <c:v>17.956</c:v>
                </c:pt>
                <c:pt idx="1">
                  <c:v>19.5</c:v>
                </c:pt>
                <c:pt idx="2">
                  <c:v>20.856999999999999</c:v>
                </c:pt>
                <c:pt idx="3">
                  <c:v>22.146999999999998</c:v>
                </c:pt>
                <c:pt idx="4">
                  <c:v>23.48</c:v>
                </c:pt>
                <c:pt idx="5">
                  <c:v>24.878</c:v>
                </c:pt>
                <c:pt idx="6">
                  <c:v>26.34</c:v>
                </c:pt>
                <c:pt idx="7">
                  <c:v>20.93</c:v>
                </c:pt>
                <c:pt idx="8">
                  <c:v>22.646000000000001</c:v>
                </c:pt>
                <c:pt idx="9">
                  <c:v>24.094999999999999</c:v>
                </c:pt>
                <c:pt idx="10">
                  <c:v>25.442</c:v>
                </c:pt>
                <c:pt idx="11">
                  <c:v>26.841999999999999</c:v>
                </c:pt>
                <c:pt idx="12">
                  <c:v>28.32</c:v>
                </c:pt>
                <c:pt idx="13">
                  <c:v>29.867000000000001</c:v>
                </c:pt>
                <c:pt idx="14">
                  <c:v>27.068000000000001</c:v>
                </c:pt>
                <c:pt idx="15">
                  <c:v>29.934000000000001</c:v>
                </c:pt>
                <c:pt idx="16">
                  <c:v>32.250999999999998</c:v>
                </c:pt>
                <c:pt idx="17">
                  <c:v>34.274999999999999</c:v>
                </c:pt>
                <c:pt idx="18">
                  <c:v>36.328000000000003</c:v>
                </c:pt>
                <c:pt idx="19">
                  <c:v>38.384999999999998</c:v>
                </c:pt>
                <c:pt idx="20">
                  <c:v>30.623000000000001</c:v>
                </c:pt>
                <c:pt idx="21">
                  <c:v>35.19</c:v>
                </c:pt>
                <c:pt idx="22">
                  <c:v>41.587000000000003</c:v>
                </c:pt>
                <c:pt idx="23">
                  <c:v>45.744</c:v>
                </c:pt>
                <c:pt idx="24">
                  <c:v>49.868000000000002</c:v>
                </c:pt>
                <c:pt idx="25">
                  <c:v>37.509</c:v>
                </c:pt>
                <c:pt idx="26">
                  <c:v>44.582999999999998</c:v>
                </c:pt>
                <c:pt idx="27">
                  <c:v>48.945</c:v>
                </c:pt>
                <c:pt idx="28">
                  <c:v>53.139000000000003</c:v>
                </c:pt>
                <c:pt idx="29">
                  <c:v>55.186999999999998</c:v>
                </c:pt>
                <c:pt idx="30">
                  <c:v>49.084000000000003</c:v>
                </c:pt>
                <c:pt idx="31">
                  <c:v>53.752000000000002</c:v>
                </c:pt>
                <c:pt idx="32">
                  <c:v>58.063000000000002</c:v>
                </c:pt>
                <c:pt idx="33">
                  <c:v>60.128</c:v>
                </c:pt>
                <c:pt idx="34">
                  <c:v>69.760999999999996</c:v>
                </c:pt>
                <c:pt idx="35">
                  <c:v>65</c:v>
                </c:pt>
                <c:pt idx="36">
                  <c:v>69.849999999999994</c:v>
                </c:pt>
                <c:pt idx="37">
                  <c:v>72.150000000000006</c:v>
                </c:pt>
                <c:pt idx="38">
                  <c:v>82.81</c:v>
                </c:pt>
                <c:pt idx="39">
                  <c:v>92.84</c:v>
                </c:pt>
                <c:pt idx="40">
                  <c:v>78.519000000000005</c:v>
                </c:pt>
                <c:pt idx="41">
                  <c:v>81.358000000000004</c:v>
                </c:pt>
                <c:pt idx="42">
                  <c:v>94.739000000000004</c:v>
                </c:pt>
                <c:pt idx="43">
                  <c:v>107.324</c:v>
                </c:pt>
                <c:pt idx="44">
                  <c:v>114.61199999999999</c:v>
                </c:pt>
                <c:pt idx="45">
                  <c:v>89.066000000000003</c:v>
                </c:pt>
                <c:pt idx="46">
                  <c:v>105.252</c:v>
                </c:pt>
                <c:pt idx="47">
                  <c:v>120.09699999999999</c:v>
                </c:pt>
                <c:pt idx="48">
                  <c:v>128.495</c:v>
                </c:pt>
                <c:pt idx="49">
                  <c:v>133.916</c:v>
                </c:pt>
                <c:pt idx="50">
                  <c:v>120.14700000000001</c:v>
                </c:pt>
                <c:pt idx="51">
                  <c:v>137.45500000000001</c:v>
                </c:pt>
                <c:pt idx="52">
                  <c:v>147.05000000000001</c:v>
                </c:pt>
                <c:pt idx="53">
                  <c:v>153.21</c:v>
                </c:pt>
                <c:pt idx="54">
                  <c:v>159.21700000000001</c:v>
                </c:pt>
                <c:pt idx="55">
                  <c:v>149.50700000000001</c:v>
                </c:pt>
                <c:pt idx="56">
                  <c:v>159.91800000000001</c:v>
                </c:pt>
                <c:pt idx="57">
                  <c:v>166.58099999999999</c:v>
                </c:pt>
                <c:pt idx="58">
                  <c:v>173.059</c:v>
                </c:pt>
                <c:pt idx="59">
                  <c:v>120.09699999999999</c:v>
                </c:pt>
                <c:pt idx="60">
                  <c:v>147.05000000000001</c:v>
                </c:pt>
                <c:pt idx="61">
                  <c:v>153.21</c:v>
                </c:pt>
              </c:numCache>
            </c:numRef>
          </c:xVal>
          <c:yVal>
            <c:numRef>
              <c:f>MEX!$M$12:$M$73</c:f>
              <c:numCache>
                <c:formatCode>0.00</c:formatCode>
                <c:ptCount val="62"/>
                <c:pt idx="0">
                  <c:v>47.693535864374525</c:v>
                </c:pt>
                <c:pt idx="1">
                  <c:v>47.316194322138813</c:v>
                </c:pt>
                <c:pt idx="2">
                  <c:v>46.813271686133454</c:v>
                </c:pt>
                <c:pt idx="3">
                  <c:v>46.58433497953672</c:v>
                </c:pt>
                <c:pt idx="4">
                  <c:v>46.356066401222279</c:v>
                </c:pt>
                <c:pt idx="5">
                  <c:v>46.158010183854593</c:v>
                </c:pt>
                <c:pt idx="6">
                  <c:v>45.974847556635403</c:v>
                </c:pt>
                <c:pt idx="7">
                  <c:v>46.203313821965558</c:v>
                </c:pt>
                <c:pt idx="8">
                  <c:v>45.914809793111083</c:v>
                </c:pt>
                <c:pt idx="9">
                  <c:v>45.792090469114378</c:v>
                </c:pt>
                <c:pt idx="10">
                  <c:v>45.625916563366793</c:v>
                </c:pt>
                <c:pt idx="11">
                  <c:v>45.516912000756918</c:v>
                </c:pt>
                <c:pt idx="12">
                  <c:v>45.379279329759093</c:v>
                </c:pt>
                <c:pt idx="13">
                  <c:v>45.340349958431013</c:v>
                </c:pt>
                <c:pt idx="14">
                  <c:v>44.99892515741616</c:v>
                </c:pt>
                <c:pt idx="15">
                  <c:v>45.021741124033042</c:v>
                </c:pt>
                <c:pt idx="16">
                  <c:v>45.047957186376919</c:v>
                </c:pt>
                <c:pt idx="17">
                  <c:v>44.974926824133554</c:v>
                </c:pt>
                <c:pt idx="18">
                  <c:v>44.884206076157788</c:v>
                </c:pt>
                <c:pt idx="19">
                  <c:v>44.84083069639663</c:v>
                </c:pt>
                <c:pt idx="20">
                  <c:v>44.909193923534019</c:v>
                </c:pt>
                <c:pt idx="21">
                  <c:v>44.93060349187283</c:v>
                </c:pt>
                <c:pt idx="22">
                  <c:v>44.778484986701471</c:v>
                </c:pt>
                <c:pt idx="23">
                  <c:v>44.639950752706113</c:v>
                </c:pt>
                <c:pt idx="24">
                  <c:v>44.472387610906146</c:v>
                </c:pt>
                <c:pt idx="25">
                  <c:v>44.834642207686024</c:v>
                </c:pt>
                <c:pt idx="26">
                  <c:v>44.731165114354809</c:v>
                </c:pt>
                <c:pt idx="27">
                  <c:v>44.596340368679414</c:v>
                </c:pt>
                <c:pt idx="28">
                  <c:v>44.43867098352041</c:v>
                </c:pt>
                <c:pt idx="29">
                  <c:v>44.399662164670268</c:v>
                </c:pt>
                <c:pt idx="30">
                  <c:v>44.632603356945602</c:v>
                </c:pt>
                <c:pt idx="31">
                  <c:v>44.507133371596417</c:v>
                </c:pt>
                <c:pt idx="32">
                  <c:v>44.384979291011668</c:v>
                </c:pt>
                <c:pt idx="33">
                  <c:v>44.335713004340583</c:v>
                </c:pt>
                <c:pt idx="34">
                  <c:v>44.064629911769998</c:v>
                </c:pt>
                <c:pt idx="35">
                  <c:v>44.240487322441858</c:v>
                </c:pt>
                <c:pt idx="36">
                  <c:v>44.18764444505527</c:v>
                </c:pt>
                <c:pt idx="37">
                  <c:v>44.039866906401102</c:v>
                </c:pt>
                <c:pt idx="38">
                  <c:v>43.783577929116746</c:v>
                </c:pt>
                <c:pt idx="39">
                  <c:v>43.729792205959406</c:v>
                </c:pt>
                <c:pt idx="40">
                  <c:v>43.911575134422748</c:v>
                </c:pt>
                <c:pt idx="41">
                  <c:v>43.934594021953615</c:v>
                </c:pt>
                <c:pt idx="42">
                  <c:v>43.690424941977597</c:v>
                </c:pt>
                <c:pt idx="43">
                  <c:v>43.548136413860959</c:v>
                </c:pt>
                <c:pt idx="44">
                  <c:v>43.547872255342405</c:v>
                </c:pt>
                <c:pt idx="45">
                  <c:v>43.691969444983592</c:v>
                </c:pt>
                <c:pt idx="46">
                  <c:v>43.576098970172843</c:v>
                </c:pt>
                <c:pt idx="47">
                  <c:v>43.515276381229619</c:v>
                </c:pt>
                <c:pt idx="48">
                  <c:v>43.417032551541674</c:v>
                </c:pt>
                <c:pt idx="49">
                  <c:v>43.359289173851359</c:v>
                </c:pt>
                <c:pt idx="50">
                  <c:v>43.485617129878449</c:v>
                </c:pt>
                <c:pt idx="51">
                  <c:v>43.394068454781625</c:v>
                </c:pt>
                <c:pt idx="52">
                  <c:v>43.332123291107912</c:v>
                </c:pt>
                <c:pt idx="53">
                  <c:v>43.270125968459105</c:v>
                </c:pt>
                <c:pt idx="54">
                  <c:v>43.131780217598909</c:v>
                </c:pt>
                <c:pt idx="55">
                  <c:v>43.262222819513056</c:v>
                </c:pt>
                <c:pt idx="56">
                  <c:v>43.249584769166603</c:v>
                </c:pt>
                <c:pt idx="57">
                  <c:v>43.133978014768623</c:v>
                </c:pt>
                <c:pt idx="58">
                  <c:v>43.048524810446899</c:v>
                </c:pt>
                <c:pt idx="59">
                  <c:v>43.344264021661864</c:v>
                </c:pt>
                <c:pt idx="60">
                  <c:v>43.332753138987364</c:v>
                </c:pt>
                <c:pt idx="61">
                  <c:v>43.273786206386291</c:v>
                </c:pt>
              </c:numCache>
            </c:numRef>
          </c:yVal>
          <c:smooth val="0"/>
          <c:extLst>
            <c:ext xmlns:c16="http://schemas.microsoft.com/office/drawing/2014/chart" uri="{C3380CC4-5D6E-409C-BE32-E72D297353CC}">
              <c16:uniqueId val="{00000000-655F-4356-930D-3DDACE6259EF}"/>
            </c:ext>
          </c:extLst>
        </c:ser>
        <c:ser>
          <c:idx val="1"/>
          <c:order val="1"/>
          <c:tx>
            <c:strRef>
              <c:f>MEX!$AA$8</c:f>
              <c:strCache>
                <c:ptCount val="1"/>
              </c:strCache>
            </c:strRef>
          </c:tx>
          <c:xVal>
            <c:numRef>
              <c:f>MEX!$AD$13:$AD$30</c:f>
              <c:numCache>
                <c:formatCode>0</c:formatCode>
                <c:ptCount val="18"/>
                <c:pt idx="0">
                  <c:v>7.1660000000000004</c:v>
                </c:pt>
                <c:pt idx="1">
                  <c:v>18.349</c:v>
                </c:pt>
                <c:pt idx="2">
                  <c:v>20.492999999999999</c:v>
                </c:pt>
                <c:pt idx="3">
                  <c:v>22.911000000000001</c:v>
                </c:pt>
                <c:pt idx="4">
                  <c:v>25.67</c:v>
                </c:pt>
                <c:pt idx="5">
                  <c:v>28.451000000000001</c:v>
                </c:pt>
                <c:pt idx="6">
                  <c:v>32.795999999999999</c:v>
                </c:pt>
                <c:pt idx="7">
                  <c:v>37.811999999999998</c:v>
                </c:pt>
                <c:pt idx="8">
                  <c:v>45.616999999999997</c:v>
                </c:pt>
                <c:pt idx="9">
                  <c:v>56.960999999999999</c:v>
                </c:pt>
                <c:pt idx="10">
                  <c:v>59.107999999999997</c:v>
                </c:pt>
                <c:pt idx="11">
                  <c:v>61.863</c:v>
                </c:pt>
                <c:pt idx="12">
                  <c:v>76.739000000000004</c:v>
                </c:pt>
                <c:pt idx="13">
                  <c:v>78.31</c:v>
                </c:pt>
                <c:pt idx="14">
                  <c:v>90.061000000000007</c:v>
                </c:pt>
                <c:pt idx="15">
                  <c:v>121.548</c:v>
                </c:pt>
                <c:pt idx="16">
                  <c:v>163.38</c:v>
                </c:pt>
                <c:pt idx="17">
                  <c:v>163.38</c:v>
                </c:pt>
              </c:numCache>
            </c:numRef>
          </c:xVal>
          <c:yVal>
            <c:numRef>
              <c:f>MEX!$AG$13:$AG$30</c:f>
              <c:numCache>
                <c:formatCode>0.00</c:formatCode>
                <c:ptCount val="18"/>
              </c:numCache>
            </c:numRef>
          </c:yVal>
          <c:smooth val="0"/>
          <c:extLst>
            <c:ext xmlns:c16="http://schemas.microsoft.com/office/drawing/2014/chart" uri="{C3380CC4-5D6E-409C-BE32-E72D297353CC}">
              <c16:uniqueId val="{00000001-655F-4356-930D-3DDACE6259EF}"/>
            </c:ext>
          </c:extLst>
        </c:ser>
        <c:ser>
          <c:idx val="2"/>
          <c:order val="2"/>
          <c:tx>
            <c:v>Standard beams</c:v>
          </c:tx>
          <c:spPr>
            <a:ln w="28575">
              <a:noFill/>
            </a:ln>
          </c:spPr>
          <c:xVal>
            <c:numRef>
              <c:f>(MEX!$E$27,MEX!$E$29,MEX!$E$34,MEX!$E$39,MEX!$E$44,MEX!$E$49,MEX!$E$54,MEX!$E$59,MEX!$E$64,MEX!$E$65,MEX!$E$73)</c:f>
              <c:numCache>
                <c:formatCode>0.0</c:formatCode>
                <c:ptCount val="11"/>
                <c:pt idx="0">
                  <c:v>29.934000000000001</c:v>
                </c:pt>
                <c:pt idx="1">
                  <c:v>34.274999999999999</c:v>
                </c:pt>
                <c:pt idx="2">
                  <c:v>41.587000000000003</c:v>
                </c:pt>
                <c:pt idx="3">
                  <c:v>48.945</c:v>
                </c:pt>
                <c:pt idx="4">
                  <c:v>58.063000000000002</c:v>
                </c:pt>
                <c:pt idx="5">
                  <c:v>72.150000000000006</c:v>
                </c:pt>
                <c:pt idx="6">
                  <c:v>94.739000000000004</c:v>
                </c:pt>
                <c:pt idx="7">
                  <c:v>120.09699999999999</c:v>
                </c:pt>
                <c:pt idx="8">
                  <c:v>147.05000000000001</c:v>
                </c:pt>
                <c:pt idx="9">
                  <c:v>153.21</c:v>
                </c:pt>
                <c:pt idx="10">
                  <c:v>153.21</c:v>
                </c:pt>
              </c:numCache>
            </c:numRef>
          </c:xVal>
          <c:yVal>
            <c:numRef>
              <c:f>(MEX!$M$27,MEX!$M$29,MEX!$M$34,MEX!$M$39,MEX!$M$44,MEX!$M$49,MEX!$M$54,MEX!$M$59,MEX!$M$64,MEX!$M$65,MEX!$M$73)</c:f>
              <c:numCache>
                <c:formatCode>0.00</c:formatCode>
                <c:ptCount val="11"/>
                <c:pt idx="0">
                  <c:v>45.021741124033042</c:v>
                </c:pt>
                <c:pt idx="1">
                  <c:v>44.974926824133554</c:v>
                </c:pt>
                <c:pt idx="2">
                  <c:v>44.778484986701471</c:v>
                </c:pt>
                <c:pt idx="3">
                  <c:v>44.596340368679414</c:v>
                </c:pt>
                <c:pt idx="4">
                  <c:v>44.384979291011668</c:v>
                </c:pt>
                <c:pt idx="5">
                  <c:v>44.039866906401102</c:v>
                </c:pt>
                <c:pt idx="6">
                  <c:v>43.690424941977597</c:v>
                </c:pt>
                <c:pt idx="7">
                  <c:v>43.515276381229619</c:v>
                </c:pt>
                <c:pt idx="8">
                  <c:v>43.332123291107912</c:v>
                </c:pt>
                <c:pt idx="9">
                  <c:v>43.270125968459105</c:v>
                </c:pt>
                <c:pt idx="10">
                  <c:v>43.273786206386291</c:v>
                </c:pt>
              </c:numCache>
            </c:numRef>
          </c:yVal>
          <c:smooth val="1"/>
          <c:extLst>
            <c:ext xmlns:c16="http://schemas.microsoft.com/office/drawing/2014/chart" uri="{C3380CC4-5D6E-409C-BE32-E72D297353CC}">
              <c16:uniqueId val="{00000002-655F-4356-930D-3DDACE6259EF}"/>
            </c:ext>
          </c:extLst>
        </c:ser>
        <c:dLbls>
          <c:showLegendKey val="0"/>
          <c:showVal val="0"/>
          <c:showCatName val="0"/>
          <c:showSerName val="0"/>
          <c:showPercent val="0"/>
          <c:showBubbleSize val="0"/>
        </c:dLbls>
        <c:axId val="354277352"/>
        <c:axId val="1"/>
      </c:scatterChart>
      <c:valAx>
        <c:axId val="354277352"/>
        <c:scaling>
          <c:orientation val="minMax"/>
        </c:scaling>
        <c:delete val="0"/>
        <c:axPos val="b"/>
        <c:title>
          <c:tx>
            <c:rich>
              <a:bodyPr/>
              <a:lstStyle/>
              <a:p>
                <a:pPr>
                  <a:defRPr sz="1200" b="1" i="0" u="none" strike="noStrike" baseline="0">
                    <a:solidFill>
                      <a:srgbClr val="000000"/>
                    </a:solidFill>
                    <a:latin typeface="Arial"/>
                    <a:ea typeface="Arial"/>
                    <a:cs typeface="Arial"/>
                  </a:defRPr>
                </a:pPr>
                <a:r>
                  <a:rPr lang="en-AU"/>
                  <a:t>Effective Energy (keV)</a:t>
                </a:r>
              </a:p>
            </c:rich>
          </c:tx>
          <c:layout>
            <c:manualLayout>
              <c:xMode val="edge"/>
              <c:yMode val="edge"/>
              <c:x val="0.43321757566481295"/>
              <c:y val="0.92658925416424109"/>
            </c:manualLayout>
          </c:layout>
          <c:overlay val="0"/>
          <c:spPr>
            <a:noFill/>
            <a:ln w="25400">
              <a:noFill/>
            </a:ln>
          </c:spPr>
        </c:title>
        <c:numFmt formatCode="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ysDash"/>
            </a:ln>
          </c:spPr>
        </c:majorGridlines>
        <c:minorGridlines/>
        <c:title>
          <c:tx>
            <c:rich>
              <a:bodyPr/>
              <a:lstStyle/>
              <a:p>
                <a:pPr>
                  <a:defRPr sz="1200" b="1" i="0" u="none" strike="noStrike" baseline="0">
                    <a:solidFill>
                      <a:srgbClr val="000000"/>
                    </a:solidFill>
                    <a:latin typeface="Arial"/>
                    <a:ea typeface="Arial"/>
                    <a:cs typeface="Arial"/>
                  </a:defRPr>
                </a:pPr>
                <a:r>
                  <a:rPr lang="en-AU"/>
                  <a:t>Calibration factor (mGy/nC)</a:t>
                </a:r>
              </a:p>
            </c:rich>
          </c:tx>
          <c:layout>
            <c:manualLayout>
              <c:xMode val="edge"/>
              <c:yMode val="edge"/>
              <c:x val="6.9685889695753475E-3"/>
              <c:y val="0.2658733417077728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54277352"/>
        <c:crosses val="autoZero"/>
        <c:crossBetween val="midCat"/>
      </c:valAx>
      <c:spPr>
        <a:noFill/>
        <a:ln w="12700">
          <a:solidFill>
            <a:srgbClr val="808080"/>
          </a:solidFill>
          <a:prstDash val="solid"/>
        </a:ln>
      </c:spPr>
    </c:plotArea>
    <c:legend>
      <c:legendPos val="r"/>
      <c:layout>
        <c:manualLayout>
          <c:xMode val="edge"/>
          <c:yMode val="edge"/>
          <c:x val="0.56335493160547156"/>
          <c:y val="0.10912711786513067"/>
          <c:w val="0.36177105831533485"/>
          <c:h val="0.31399716086072899"/>
        </c:manualLayout>
      </c:layout>
      <c:overlay val="0"/>
      <c:spPr>
        <a:solidFill>
          <a:srgbClr val="FFFFFF"/>
        </a:solidFill>
        <a:ln w="3175">
          <a:solidFill>
            <a:srgbClr val="000000"/>
          </a:solidFill>
          <a:prstDash val="solid"/>
        </a:ln>
      </c:spPr>
      <c:txPr>
        <a:bodyPr/>
        <a:lstStyle/>
        <a:p>
          <a:pPr>
            <a:defRPr sz="147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verticalDpi="2"/>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69117678750271"/>
          <c:y val="4.7619139887036303E-2"/>
          <c:w val="0.86643536135689037"/>
          <c:h val="0.79762059310785804"/>
        </c:manualLayout>
      </c:layout>
      <c:scatterChart>
        <c:scatterStyle val="smoothMarker"/>
        <c:varyColors val="0"/>
        <c:ser>
          <c:idx val="0"/>
          <c:order val="0"/>
          <c:tx>
            <c:strRef>
              <c:f>MEX!$A$3</c:f>
              <c:strCache>
                <c:ptCount val="1"/>
                <c:pt idx="0">
                  <c:v>CAL11957</c:v>
                </c:pt>
              </c:strCache>
            </c:strRef>
          </c:tx>
          <c:spPr>
            <a:ln>
              <a:noFill/>
            </a:ln>
          </c:spPr>
          <c:xVal>
            <c:numRef>
              <c:f>MEX!$C$12:$C$34</c:f>
              <c:numCache>
                <c:formatCode>0.00</c:formatCode>
                <c:ptCount val="23"/>
                <c:pt idx="0">
                  <c:v>0.57492783060838692</c:v>
                </c:pt>
                <c:pt idx="1">
                  <c:v>0.68410318438743511</c:v>
                </c:pt>
                <c:pt idx="2">
                  <c:v>0.78881379165109278</c:v>
                </c:pt>
                <c:pt idx="3">
                  <c:v>0.89521104032277998</c:v>
                </c:pt>
                <c:pt idx="4">
                  <c:v>1.0168942180395382</c:v>
                </c:pt>
                <c:pt idx="5">
                  <c:v>1.1524525686905205</c:v>
                </c:pt>
                <c:pt idx="6">
                  <c:v>1.3031305701207649</c:v>
                </c:pt>
                <c:pt idx="7">
                  <c:v>0.9258920135550176</c:v>
                </c:pt>
                <c:pt idx="8">
                  <c:v>1.1174180366661788</c:v>
                </c:pt>
                <c:pt idx="9">
                  <c:v>1.2886011015031504</c:v>
                </c:pt>
                <c:pt idx="10">
                  <c:v>1.4584444510077763</c:v>
                </c:pt>
                <c:pt idx="11">
                  <c:v>1.6431678445072386</c:v>
                </c:pt>
                <c:pt idx="12">
                  <c:v>1.8393319677543469</c:v>
                </c:pt>
                <c:pt idx="13">
                  <c:v>2.0480553989194346</c:v>
                </c:pt>
                <c:pt idx="14">
                  <c:v>1.8978864505991633</c:v>
                </c:pt>
                <c:pt idx="15">
                  <c:v>2.3884184190002435</c:v>
                </c:pt>
                <c:pt idx="16">
                  <c:v>2.8058625894538358</c:v>
                </c:pt>
                <c:pt idx="17">
                  <c:v>3.1929733252964523</c:v>
                </c:pt>
                <c:pt idx="18">
                  <c:v>3.6197123995759788</c:v>
                </c:pt>
                <c:pt idx="19">
                  <c:v>4.0393687541302778</c:v>
                </c:pt>
                <c:pt idx="20">
                  <c:v>2.5292585864499295</c:v>
                </c:pt>
                <c:pt idx="21">
                  <c:v>3.3915742452383575</c:v>
                </c:pt>
                <c:pt idx="22">
                  <c:v>4.7352150332082985</c:v>
                </c:pt>
              </c:numCache>
            </c:numRef>
          </c:xVal>
          <c:yVal>
            <c:numRef>
              <c:f>MEX!$M$12:$M$34</c:f>
              <c:numCache>
                <c:formatCode>0.00</c:formatCode>
                <c:ptCount val="23"/>
                <c:pt idx="0">
                  <c:v>47.693535864374525</c:v>
                </c:pt>
                <c:pt idx="1">
                  <c:v>47.316194322138813</c:v>
                </c:pt>
                <c:pt idx="2">
                  <c:v>46.813271686133454</c:v>
                </c:pt>
                <c:pt idx="3">
                  <c:v>46.58433497953672</c:v>
                </c:pt>
                <c:pt idx="4">
                  <c:v>46.356066401222279</c:v>
                </c:pt>
                <c:pt idx="5">
                  <c:v>46.158010183854593</c:v>
                </c:pt>
                <c:pt idx="6">
                  <c:v>45.974847556635403</c:v>
                </c:pt>
                <c:pt idx="7">
                  <c:v>46.203313821965558</c:v>
                </c:pt>
                <c:pt idx="8">
                  <c:v>45.914809793111083</c:v>
                </c:pt>
                <c:pt idx="9">
                  <c:v>45.792090469114378</c:v>
                </c:pt>
                <c:pt idx="10">
                  <c:v>45.625916563366793</c:v>
                </c:pt>
                <c:pt idx="11">
                  <c:v>45.516912000756918</c:v>
                </c:pt>
                <c:pt idx="12">
                  <c:v>45.379279329759093</c:v>
                </c:pt>
                <c:pt idx="13">
                  <c:v>45.340349958431013</c:v>
                </c:pt>
                <c:pt idx="14">
                  <c:v>44.99892515741616</c:v>
                </c:pt>
                <c:pt idx="15">
                  <c:v>45.021741124033042</c:v>
                </c:pt>
                <c:pt idx="16">
                  <c:v>45.047957186376919</c:v>
                </c:pt>
                <c:pt idx="17">
                  <c:v>44.974926824133554</c:v>
                </c:pt>
                <c:pt idx="18">
                  <c:v>44.884206076157788</c:v>
                </c:pt>
                <c:pt idx="19">
                  <c:v>44.84083069639663</c:v>
                </c:pt>
                <c:pt idx="20">
                  <c:v>44.909193923534019</c:v>
                </c:pt>
                <c:pt idx="21">
                  <c:v>44.93060349187283</c:v>
                </c:pt>
                <c:pt idx="22">
                  <c:v>44.778484986701471</c:v>
                </c:pt>
              </c:numCache>
            </c:numRef>
          </c:yVal>
          <c:smooth val="0"/>
          <c:extLst>
            <c:ext xmlns:c16="http://schemas.microsoft.com/office/drawing/2014/chart" uri="{C3380CC4-5D6E-409C-BE32-E72D297353CC}">
              <c16:uniqueId val="{00000000-998B-4374-8442-A207DE3E9533}"/>
            </c:ext>
          </c:extLst>
        </c:ser>
        <c:ser>
          <c:idx val="1"/>
          <c:order val="1"/>
          <c:tx>
            <c:strRef>
              <c:f>MEX!$AA$8</c:f>
              <c:strCache>
                <c:ptCount val="1"/>
              </c:strCache>
            </c:strRef>
          </c:tx>
          <c:xVal>
            <c:numRef>
              <c:f>MEX!$AE$13:$AE$23</c:f>
              <c:numCache>
                <c:formatCode>0.00</c:formatCode>
                <c:ptCount val="11"/>
                <c:pt idx="0">
                  <c:v>0.35</c:v>
                </c:pt>
                <c:pt idx="1">
                  <c:v>0.56000000000000005</c:v>
                </c:pt>
                <c:pt idx="2">
                  <c:v>0.77</c:v>
                </c:pt>
                <c:pt idx="3">
                  <c:v>1.01</c:v>
                </c:pt>
                <c:pt idx="4">
                  <c:v>1.5</c:v>
                </c:pt>
                <c:pt idx="5">
                  <c:v>2.06</c:v>
                </c:pt>
                <c:pt idx="6">
                  <c:v>2.93</c:v>
                </c:pt>
                <c:pt idx="7">
                  <c:v>3.94</c:v>
                </c:pt>
                <c:pt idx="8">
                  <c:v>5.81</c:v>
                </c:pt>
                <c:pt idx="9">
                  <c:v>8.42</c:v>
                </c:pt>
                <c:pt idx="10">
                  <c:v>8.86</c:v>
                </c:pt>
              </c:numCache>
            </c:numRef>
          </c:xVal>
          <c:yVal>
            <c:numRef>
              <c:f>MEX!$AG$13:$AG$23</c:f>
              <c:numCache>
                <c:formatCode>0.00</c:formatCode>
                <c:ptCount val="11"/>
              </c:numCache>
            </c:numRef>
          </c:yVal>
          <c:smooth val="0"/>
          <c:extLst>
            <c:ext xmlns:c16="http://schemas.microsoft.com/office/drawing/2014/chart" uri="{C3380CC4-5D6E-409C-BE32-E72D297353CC}">
              <c16:uniqueId val="{00000001-998B-4374-8442-A207DE3E9533}"/>
            </c:ext>
          </c:extLst>
        </c:ser>
        <c:dLbls>
          <c:showLegendKey val="0"/>
          <c:showVal val="0"/>
          <c:showCatName val="0"/>
          <c:showSerName val="0"/>
          <c:showPercent val="0"/>
          <c:showBubbleSize val="0"/>
        </c:dLbls>
        <c:axId val="354273744"/>
        <c:axId val="1"/>
      </c:scatterChart>
      <c:valAx>
        <c:axId val="354273744"/>
        <c:scaling>
          <c:orientation val="minMax"/>
        </c:scaling>
        <c:delete val="0"/>
        <c:axPos val="b"/>
        <c:title>
          <c:tx>
            <c:rich>
              <a:bodyPr/>
              <a:lstStyle/>
              <a:p>
                <a:pPr>
                  <a:defRPr sz="1200" b="1" i="0" u="none" strike="noStrike" baseline="0">
                    <a:solidFill>
                      <a:srgbClr val="000000"/>
                    </a:solidFill>
                    <a:latin typeface="Arial"/>
                    <a:ea typeface="Arial"/>
                    <a:cs typeface="Arial"/>
                  </a:defRPr>
                </a:pPr>
                <a:r>
                  <a:rPr lang="en-AU"/>
                  <a:t>HVL (mm Al)</a:t>
                </a:r>
              </a:p>
            </c:rich>
          </c:tx>
          <c:layout>
            <c:manualLayout>
              <c:xMode val="edge"/>
              <c:yMode val="edge"/>
              <c:x val="0.43321757566481295"/>
              <c:y val="0.92658925416424109"/>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ysDash"/>
            </a:ln>
          </c:spPr>
        </c:majorGridlines>
        <c:title>
          <c:tx>
            <c:rich>
              <a:bodyPr/>
              <a:lstStyle/>
              <a:p>
                <a:pPr>
                  <a:defRPr sz="1200" b="1" i="0" u="none" strike="noStrike" baseline="0">
                    <a:solidFill>
                      <a:srgbClr val="000000"/>
                    </a:solidFill>
                    <a:latin typeface="Arial"/>
                    <a:ea typeface="Arial"/>
                    <a:cs typeface="Arial"/>
                  </a:defRPr>
                </a:pPr>
                <a:r>
                  <a:rPr lang="en-AU"/>
                  <a:t>Calibration factor (mGy/nC)</a:t>
                </a:r>
              </a:p>
            </c:rich>
          </c:tx>
          <c:layout>
            <c:manualLayout>
              <c:xMode val="edge"/>
              <c:yMode val="edge"/>
              <c:x val="6.9685889695753475E-3"/>
              <c:y val="0.2658733417077728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54273744"/>
        <c:crosses val="autoZero"/>
        <c:crossBetween val="midCat"/>
      </c:valAx>
      <c:spPr>
        <a:noFill/>
        <a:ln w="12700">
          <a:solidFill>
            <a:srgbClr val="808080"/>
          </a:solidFill>
          <a:prstDash val="solid"/>
        </a:ln>
      </c:spPr>
    </c:plotArea>
    <c:legend>
      <c:legendPos val="r"/>
      <c:layout>
        <c:manualLayout>
          <c:xMode val="edge"/>
          <c:yMode val="edge"/>
          <c:x val="0.6173506119510439"/>
          <c:y val="0.10912711786513067"/>
          <c:w val="0.32145428365730744"/>
          <c:h val="0.2899028769263764"/>
        </c:manualLayout>
      </c:layout>
      <c:overlay val="0"/>
      <c:spPr>
        <a:solidFill>
          <a:srgbClr val="FFFFFF"/>
        </a:solidFill>
        <a:ln w="3175">
          <a:solidFill>
            <a:srgbClr val="000000"/>
          </a:solidFill>
          <a:prstDash val="solid"/>
        </a:ln>
      </c:spPr>
      <c:txPr>
        <a:bodyPr/>
        <a:lstStyle/>
        <a:p>
          <a:pPr>
            <a:defRPr sz="147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verticalDpi="2"/>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69117678750271"/>
          <c:y val="4.7619139887036303E-2"/>
          <c:w val="0.86643536135689037"/>
          <c:h val="0.79762059310785804"/>
        </c:manualLayout>
      </c:layout>
      <c:scatterChart>
        <c:scatterStyle val="smoothMarker"/>
        <c:varyColors val="0"/>
        <c:ser>
          <c:idx val="0"/>
          <c:order val="0"/>
          <c:tx>
            <c:strRef>
              <c:f>MEX!$A$3</c:f>
              <c:strCache>
                <c:ptCount val="1"/>
                <c:pt idx="0">
                  <c:v>CAL11957</c:v>
                </c:pt>
              </c:strCache>
            </c:strRef>
          </c:tx>
          <c:spPr>
            <a:ln>
              <a:noFill/>
            </a:ln>
          </c:spPr>
          <c:xVal>
            <c:numRef>
              <c:f>MEX!$D$26:$D$73</c:f>
              <c:numCache>
                <c:formatCode>0.00</c:formatCode>
                <c:ptCount val="48"/>
                <c:pt idx="0">
                  <c:v>6.272293453927999E-2</c:v>
                </c:pt>
                <c:pt idx="1">
                  <c:v>7.9990307372596242E-2</c:v>
                </c:pt>
                <c:pt idx="2">
                  <c:v>9.5799660048102947E-2</c:v>
                </c:pt>
                <c:pt idx="3">
                  <c:v>0.11135967269909675</c:v>
                </c:pt>
                <c:pt idx="4">
                  <c:v>0.12923885884326811</c:v>
                </c:pt>
                <c:pt idx="5">
                  <c:v>0.14848211806760514</c:v>
                </c:pt>
                <c:pt idx="6">
                  <c:v>8.4996170866672577E-2</c:v>
                </c:pt>
                <c:pt idx="7">
                  <c:v>0.11942976937282476</c:v>
                </c:pt>
                <c:pt idx="8">
                  <c:v>0.18268575344478749</c:v>
                </c:pt>
                <c:pt idx="9">
                  <c:v>0.22971681375447262</c:v>
                </c:pt>
                <c:pt idx="10">
                  <c:v>0.28214314856452327</c:v>
                </c:pt>
                <c:pt idx="11">
                  <c:v>0.14140515813491988</c:v>
                </c:pt>
                <c:pt idx="12">
                  <c:v>0.221397651099389</c:v>
                </c:pt>
                <c:pt idx="13">
                  <c:v>0.28062311390349393</c:v>
                </c:pt>
                <c:pt idx="14">
                  <c:v>0.34467534185441145</c:v>
                </c:pt>
                <c:pt idx="15">
                  <c:v>0.37860748947727846</c:v>
                </c:pt>
                <c:pt idx="16">
                  <c:v>0.29051611469154731</c:v>
                </c:pt>
                <c:pt idx="17">
                  <c:v>0.36809931938124019</c:v>
                </c:pt>
                <c:pt idx="18">
                  <c:v>0.45081671702125536</c:v>
                </c:pt>
                <c:pt idx="19">
                  <c:v>0.49291798086961647</c:v>
                </c:pt>
                <c:pt idx="20">
                  <c:v>0.73230337407773993</c:v>
                </c:pt>
                <c:pt idx="21">
                  <c:v>0.6348381723836316</c:v>
                </c:pt>
                <c:pt idx="22">
                  <c:v>0.76915213495507195</c:v>
                </c:pt>
                <c:pt idx="23">
                  <c:v>0.83812332024006297</c:v>
                </c:pt>
                <c:pt idx="24">
                  <c:v>1.2072306039939562</c:v>
                </c:pt>
                <c:pt idx="25">
                  <c:v>1.6128041668984248</c:v>
                </c:pt>
                <c:pt idx="26">
                  <c:v>1.0269176732121137</c:v>
                </c:pt>
                <c:pt idx="27">
                  <c:v>1.1251186734176981</c:v>
                </c:pt>
                <c:pt idx="28">
                  <c:v>1.6296937192778045</c:v>
                </c:pt>
                <c:pt idx="29">
                  <c:v>2.1356721844076167</c:v>
                </c:pt>
                <c:pt idx="30">
                  <c:v>2.4331518775712206</c:v>
                </c:pt>
                <c:pt idx="31">
                  <c:v>1.3834337181000833</c:v>
                </c:pt>
                <c:pt idx="32">
                  <c:v>2.0015314501377075</c:v>
                </c:pt>
                <c:pt idx="33">
                  <c:v>2.5711570771389516</c:v>
                </c:pt>
                <c:pt idx="34">
                  <c:v>2.8808623211292477</c:v>
                </c:pt>
                <c:pt idx="35">
                  <c:v>3.0951576375640011</c:v>
                </c:pt>
                <c:pt idx="36">
                  <c:v>2.5415199349414408</c:v>
                </c:pt>
                <c:pt idx="37">
                  <c:v>3.1622519161675675</c:v>
                </c:pt>
                <c:pt idx="38">
                  <c:v>3.5006101210159413</c:v>
                </c:pt>
                <c:pt idx="39">
                  <c:v>3.7047905897248823</c:v>
                </c:pt>
                <c:pt idx="40">
                  <c:v>3.8972650748324895</c:v>
                </c:pt>
                <c:pt idx="41">
                  <c:v>3.5951513428636979</c:v>
                </c:pt>
                <c:pt idx="42">
                  <c:v>3.9334817438945446</c:v>
                </c:pt>
                <c:pt idx="43">
                  <c:v>4.1453765509423093</c:v>
                </c:pt>
                <c:pt idx="44">
                  <c:v>4.335531420085327</c:v>
                </c:pt>
                <c:pt idx="45">
                  <c:v>2.5711570771389516</c:v>
                </c:pt>
                <c:pt idx="46">
                  <c:v>3.5006101210159413</c:v>
                </c:pt>
                <c:pt idx="47">
                  <c:v>3.7047905897248823</c:v>
                </c:pt>
              </c:numCache>
            </c:numRef>
          </c:xVal>
          <c:yVal>
            <c:numRef>
              <c:f>MEX!$M$26:$M$73</c:f>
              <c:numCache>
                <c:formatCode>0.00</c:formatCode>
                <c:ptCount val="48"/>
                <c:pt idx="0">
                  <c:v>44.99892515741616</c:v>
                </c:pt>
                <c:pt idx="1">
                  <c:v>45.021741124033042</c:v>
                </c:pt>
                <c:pt idx="2">
                  <c:v>45.047957186376919</c:v>
                </c:pt>
                <c:pt idx="3">
                  <c:v>44.974926824133554</c:v>
                </c:pt>
                <c:pt idx="4">
                  <c:v>44.884206076157788</c:v>
                </c:pt>
                <c:pt idx="5">
                  <c:v>44.84083069639663</c:v>
                </c:pt>
                <c:pt idx="6">
                  <c:v>44.909193923534019</c:v>
                </c:pt>
                <c:pt idx="7">
                  <c:v>44.93060349187283</c:v>
                </c:pt>
                <c:pt idx="8">
                  <c:v>44.778484986701471</c:v>
                </c:pt>
                <c:pt idx="9">
                  <c:v>44.639950752706113</c:v>
                </c:pt>
                <c:pt idx="10">
                  <c:v>44.472387610906146</c:v>
                </c:pt>
                <c:pt idx="11">
                  <c:v>44.834642207686024</c:v>
                </c:pt>
                <c:pt idx="12">
                  <c:v>44.731165114354809</c:v>
                </c:pt>
                <c:pt idx="13">
                  <c:v>44.596340368679414</c:v>
                </c:pt>
                <c:pt idx="14">
                  <c:v>44.43867098352041</c:v>
                </c:pt>
                <c:pt idx="15">
                  <c:v>44.399662164670268</c:v>
                </c:pt>
                <c:pt idx="16">
                  <c:v>44.632603356945602</c:v>
                </c:pt>
                <c:pt idx="17">
                  <c:v>44.507133371596417</c:v>
                </c:pt>
                <c:pt idx="18">
                  <c:v>44.384979291011668</c:v>
                </c:pt>
                <c:pt idx="19">
                  <c:v>44.335713004340583</c:v>
                </c:pt>
                <c:pt idx="20">
                  <c:v>44.064629911769998</c:v>
                </c:pt>
                <c:pt idx="21">
                  <c:v>44.240487322441858</c:v>
                </c:pt>
                <c:pt idx="22">
                  <c:v>44.18764444505527</c:v>
                </c:pt>
                <c:pt idx="23">
                  <c:v>44.039866906401102</c:v>
                </c:pt>
                <c:pt idx="24">
                  <c:v>43.783577929116746</c:v>
                </c:pt>
                <c:pt idx="25">
                  <c:v>43.729792205959406</c:v>
                </c:pt>
                <c:pt idx="26">
                  <c:v>43.911575134422748</c:v>
                </c:pt>
                <c:pt idx="27">
                  <c:v>43.934594021953615</c:v>
                </c:pt>
                <c:pt idx="28">
                  <c:v>43.690424941977597</c:v>
                </c:pt>
                <c:pt idx="29">
                  <c:v>43.548136413860959</c:v>
                </c:pt>
                <c:pt idx="30">
                  <c:v>43.547872255342405</c:v>
                </c:pt>
                <c:pt idx="31">
                  <c:v>43.691969444983592</c:v>
                </c:pt>
                <c:pt idx="32">
                  <c:v>43.576098970172843</c:v>
                </c:pt>
                <c:pt idx="33">
                  <c:v>43.515276381229619</c:v>
                </c:pt>
                <c:pt idx="34">
                  <c:v>43.417032551541674</c:v>
                </c:pt>
                <c:pt idx="35">
                  <c:v>43.359289173851359</c:v>
                </c:pt>
                <c:pt idx="36">
                  <c:v>43.485617129878449</c:v>
                </c:pt>
                <c:pt idx="37">
                  <c:v>43.394068454781625</c:v>
                </c:pt>
                <c:pt idx="38">
                  <c:v>43.332123291107912</c:v>
                </c:pt>
                <c:pt idx="39">
                  <c:v>43.270125968459105</c:v>
                </c:pt>
                <c:pt idx="40">
                  <c:v>43.131780217598909</c:v>
                </c:pt>
                <c:pt idx="41">
                  <c:v>43.262222819513056</c:v>
                </c:pt>
                <c:pt idx="42">
                  <c:v>43.249584769166603</c:v>
                </c:pt>
                <c:pt idx="43">
                  <c:v>43.133978014768623</c:v>
                </c:pt>
                <c:pt idx="44">
                  <c:v>43.048524810446899</c:v>
                </c:pt>
                <c:pt idx="45">
                  <c:v>43.344264021661864</c:v>
                </c:pt>
                <c:pt idx="46">
                  <c:v>43.332753138987364</c:v>
                </c:pt>
                <c:pt idx="47">
                  <c:v>43.273786206386291</c:v>
                </c:pt>
              </c:numCache>
            </c:numRef>
          </c:yVal>
          <c:smooth val="0"/>
          <c:extLst>
            <c:ext xmlns:c16="http://schemas.microsoft.com/office/drawing/2014/chart" uri="{C3380CC4-5D6E-409C-BE32-E72D297353CC}">
              <c16:uniqueId val="{00000000-79D0-46A4-BEA8-ECEC5F08FA3F}"/>
            </c:ext>
          </c:extLst>
        </c:ser>
        <c:ser>
          <c:idx val="1"/>
          <c:order val="1"/>
          <c:tx>
            <c:strRef>
              <c:f>MEX!$AA$8</c:f>
              <c:strCache>
                <c:ptCount val="1"/>
              </c:strCache>
            </c:strRef>
          </c:tx>
          <c:xVal>
            <c:numRef>
              <c:f>MEX!$AF$20:$AF$30</c:f>
              <c:numCache>
                <c:formatCode>0.00</c:formatCode>
                <c:ptCount val="11"/>
                <c:pt idx="0">
                  <c:v>0.14000000000000001</c:v>
                </c:pt>
                <c:pt idx="1">
                  <c:v>0.27</c:v>
                </c:pt>
                <c:pt idx="2">
                  <c:v>0.47</c:v>
                </c:pt>
                <c:pt idx="3">
                  <c:v>0.51</c:v>
                </c:pt>
                <c:pt idx="4">
                  <c:v>0.6</c:v>
                </c:pt>
                <c:pt idx="5">
                  <c:v>0.99</c:v>
                </c:pt>
                <c:pt idx="6">
                  <c:v>1.17</c:v>
                </c:pt>
                <c:pt idx="7">
                  <c:v>1.53</c:v>
                </c:pt>
                <c:pt idx="8">
                  <c:v>2.52</c:v>
                </c:pt>
                <c:pt idx="9">
                  <c:v>3.98</c:v>
                </c:pt>
                <c:pt idx="10">
                  <c:v>3.98</c:v>
                </c:pt>
              </c:numCache>
            </c:numRef>
          </c:xVal>
          <c:yVal>
            <c:numRef>
              <c:f>MEX!$AG$20:$AG$30</c:f>
              <c:numCache>
                <c:formatCode>0.00</c:formatCode>
                <c:ptCount val="11"/>
              </c:numCache>
            </c:numRef>
          </c:yVal>
          <c:smooth val="0"/>
          <c:extLst>
            <c:ext xmlns:c16="http://schemas.microsoft.com/office/drawing/2014/chart" uri="{C3380CC4-5D6E-409C-BE32-E72D297353CC}">
              <c16:uniqueId val="{00000001-79D0-46A4-BEA8-ECEC5F08FA3F}"/>
            </c:ext>
          </c:extLst>
        </c:ser>
        <c:dLbls>
          <c:showLegendKey val="0"/>
          <c:showVal val="0"/>
          <c:showCatName val="0"/>
          <c:showSerName val="0"/>
          <c:showPercent val="0"/>
          <c:showBubbleSize val="0"/>
        </c:dLbls>
        <c:axId val="354271776"/>
        <c:axId val="1"/>
      </c:scatterChart>
      <c:valAx>
        <c:axId val="354271776"/>
        <c:scaling>
          <c:orientation val="minMax"/>
        </c:scaling>
        <c:delete val="0"/>
        <c:axPos val="b"/>
        <c:title>
          <c:tx>
            <c:rich>
              <a:bodyPr/>
              <a:lstStyle/>
              <a:p>
                <a:pPr>
                  <a:defRPr sz="1200" b="1" i="0" u="none" strike="noStrike" baseline="0">
                    <a:solidFill>
                      <a:srgbClr val="000000"/>
                    </a:solidFill>
                    <a:latin typeface="Arial"/>
                    <a:ea typeface="Arial"/>
                    <a:cs typeface="Arial"/>
                  </a:defRPr>
                </a:pPr>
                <a:r>
                  <a:rPr lang="en-AU"/>
                  <a:t>HVL (mm Al)</a:t>
                </a:r>
              </a:p>
            </c:rich>
          </c:tx>
          <c:layout>
            <c:manualLayout>
              <c:xMode val="edge"/>
              <c:yMode val="edge"/>
              <c:x val="0.43321757566481295"/>
              <c:y val="0.92658925416424109"/>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scaling>
        <c:delete val="0"/>
        <c:axPos val="l"/>
        <c:majorGridlines>
          <c:spPr>
            <a:ln w="3175">
              <a:solidFill>
                <a:srgbClr val="000000"/>
              </a:solidFill>
              <a:prstDash val="sysDash"/>
            </a:ln>
          </c:spPr>
        </c:majorGridlines>
        <c:title>
          <c:tx>
            <c:rich>
              <a:bodyPr/>
              <a:lstStyle/>
              <a:p>
                <a:pPr>
                  <a:defRPr sz="1200" b="1" i="0" u="none" strike="noStrike" baseline="0">
                    <a:solidFill>
                      <a:srgbClr val="000000"/>
                    </a:solidFill>
                    <a:latin typeface="Arial"/>
                    <a:ea typeface="Arial"/>
                    <a:cs typeface="Arial"/>
                  </a:defRPr>
                </a:pPr>
                <a:r>
                  <a:rPr lang="en-AU"/>
                  <a:t>Calibration factor (mGy/nC)</a:t>
                </a:r>
              </a:p>
            </c:rich>
          </c:tx>
          <c:layout>
            <c:manualLayout>
              <c:xMode val="edge"/>
              <c:yMode val="edge"/>
              <c:x val="6.9685889695753475E-3"/>
              <c:y val="0.26587334170777288"/>
            </c:manualLayout>
          </c:layout>
          <c:overlay val="0"/>
          <c:spPr>
            <a:noFill/>
            <a:ln w="25400">
              <a:noFill/>
            </a:ln>
          </c:spPr>
        </c:title>
        <c:numFmt formatCode="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54271776"/>
        <c:crosses val="autoZero"/>
        <c:crossBetween val="midCat"/>
      </c:valAx>
      <c:spPr>
        <a:noFill/>
        <a:ln w="12700">
          <a:solidFill>
            <a:srgbClr val="808080"/>
          </a:solidFill>
          <a:prstDash val="solid"/>
        </a:ln>
      </c:spPr>
    </c:plotArea>
    <c:legend>
      <c:legendPos val="r"/>
      <c:layout>
        <c:manualLayout>
          <c:xMode val="edge"/>
          <c:yMode val="edge"/>
          <c:x val="0.59719222462203025"/>
          <c:y val="0.11111124728086032"/>
          <c:w val="0.25377969762419006"/>
          <c:h val="0.2899028769263764"/>
        </c:manualLayout>
      </c:layout>
      <c:overlay val="0"/>
      <c:spPr>
        <a:solidFill>
          <a:srgbClr val="FFFFFF"/>
        </a:solidFill>
        <a:ln w="3175">
          <a:solidFill>
            <a:srgbClr val="000000"/>
          </a:solidFill>
          <a:prstDash val="solid"/>
        </a:ln>
      </c:spPr>
      <c:txPr>
        <a:bodyPr/>
        <a:lstStyle/>
        <a:p>
          <a:pPr>
            <a:defRPr sz="147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verticalDpi="2"/>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5470519847674"/>
          <c:y val="3.2251328061116545E-2"/>
          <c:w val="0.79993889088737002"/>
          <c:h val="0.83337919361387014"/>
        </c:manualLayout>
      </c:layout>
      <c:scatterChart>
        <c:scatterStyle val="lineMarker"/>
        <c:varyColors val="0"/>
        <c:ser>
          <c:idx val="0"/>
          <c:order val="0"/>
          <c:tx>
            <c:v>40 kVp</c:v>
          </c:tx>
          <c:spPr>
            <a:ln w="28575">
              <a:solidFill>
                <a:schemeClr val="accent1"/>
              </a:solidFill>
            </a:ln>
          </c:spPr>
          <c:xVal>
            <c:numRef>
              <c:f>MEXtabs!$M$8:$M$10</c:f>
              <c:numCache>
                <c:formatCode>General</c:formatCode>
                <c:ptCount val="3"/>
                <c:pt idx="0">
                  <c:v>40</c:v>
                </c:pt>
                <c:pt idx="1">
                  <c:v>40</c:v>
                </c:pt>
                <c:pt idx="2">
                  <c:v>40</c:v>
                </c:pt>
              </c:numCache>
            </c:numRef>
          </c:xVal>
          <c:yVal>
            <c:numRef>
              <c:f>MEXtabs!$T$8:$T$10</c:f>
              <c:numCache>
                <c:formatCode>0.00</c:formatCode>
                <c:ptCount val="3"/>
                <c:pt idx="0">
                  <c:v>47.693535864374525</c:v>
                </c:pt>
                <c:pt idx="1">
                  <c:v>46.203313821965558</c:v>
                </c:pt>
                <c:pt idx="2">
                  <c:v>44.99892515741616</c:v>
                </c:pt>
              </c:numCache>
            </c:numRef>
          </c:yVal>
          <c:smooth val="0"/>
          <c:extLst>
            <c:ext xmlns:c16="http://schemas.microsoft.com/office/drawing/2014/chart" uri="{C3380CC4-5D6E-409C-BE32-E72D297353CC}">
              <c16:uniqueId val="{00000000-050C-48B7-913C-64CD350DD935}"/>
            </c:ext>
          </c:extLst>
        </c:ser>
        <c:ser>
          <c:idx val="1"/>
          <c:order val="1"/>
          <c:tx>
            <c:v>50 kVp</c:v>
          </c:tx>
          <c:marker>
            <c:symbol val="diamond"/>
            <c:size val="5"/>
          </c:marker>
          <c:xVal>
            <c:numRef>
              <c:f>MEXtabs!$M$11:$M$14</c:f>
              <c:numCache>
                <c:formatCode>General</c:formatCode>
                <c:ptCount val="4"/>
                <c:pt idx="0">
                  <c:v>50</c:v>
                </c:pt>
                <c:pt idx="1">
                  <c:v>50</c:v>
                </c:pt>
                <c:pt idx="2">
                  <c:v>50</c:v>
                </c:pt>
                <c:pt idx="3">
                  <c:v>50</c:v>
                </c:pt>
              </c:numCache>
            </c:numRef>
          </c:xVal>
          <c:yVal>
            <c:numRef>
              <c:f>MEXtabs!$T$11:$T$14</c:f>
              <c:numCache>
                <c:formatCode>0.00</c:formatCode>
                <c:ptCount val="4"/>
                <c:pt idx="0">
                  <c:v>47.316194322138813</c:v>
                </c:pt>
                <c:pt idx="1">
                  <c:v>45.914809793111083</c:v>
                </c:pt>
                <c:pt idx="2">
                  <c:v>45.021741124033042</c:v>
                </c:pt>
                <c:pt idx="3">
                  <c:v>44.909193923534019</c:v>
                </c:pt>
              </c:numCache>
            </c:numRef>
          </c:yVal>
          <c:smooth val="0"/>
          <c:extLst>
            <c:ext xmlns:c16="http://schemas.microsoft.com/office/drawing/2014/chart" uri="{C3380CC4-5D6E-409C-BE32-E72D297353CC}">
              <c16:uniqueId val="{00000001-050C-48B7-913C-64CD350DD935}"/>
            </c:ext>
          </c:extLst>
        </c:ser>
        <c:ser>
          <c:idx val="2"/>
          <c:order val="2"/>
          <c:tx>
            <c:v>60 kVp</c:v>
          </c:tx>
          <c:marker>
            <c:symbol val="diamond"/>
            <c:size val="5"/>
          </c:marker>
          <c:xVal>
            <c:numRef>
              <c:f>MEXtabs!$M$15:$M$17</c:f>
              <c:numCache>
                <c:formatCode>General</c:formatCode>
                <c:ptCount val="3"/>
                <c:pt idx="0">
                  <c:v>60</c:v>
                </c:pt>
                <c:pt idx="1">
                  <c:v>60</c:v>
                </c:pt>
                <c:pt idx="2">
                  <c:v>60</c:v>
                </c:pt>
              </c:numCache>
            </c:numRef>
          </c:xVal>
          <c:yVal>
            <c:numRef>
              <c:f>MEXtabs!$T$15:$T$17</c:f>
              <c:numCache>
                <c:formatCode>0.00</c:formatCode>
                <c:ptCount val="3"/>
                <c:pt idx="0">
                  <c:v>46.813271686133454</c:v>
                </c:pt>
                <c:pt idx="1">
                  <c:v>45.792090469114378</c:v>
                </c:pt>
                <c:pt idx="2">
                  <c:v>45.047957186376919</c:v>
                </c:pt>
              </c:numCache>
            </c:numRef>
          </c:yVal>
          <c:smooth val="0"/>
          <c:extLst>
            <c:ext xmlns:c16="http://schemas.microsoft.com/office/drawing/2014/chart" uri="{C3380CC4-5D6E-409C-BE32-E72D297353CC}">
              <c16:uniqueId val="{00000002-050C-48B7-913C-64CD350DD935}"/>
            </c:ext>
          </c:extLst>
        </c:ser>
        <c:ser>
          <c:idx val="3"/>
          <c:order val="3"/>
          <c:tx>
            <c:v>70 kVp</c:v>
          </c:tx>
          <c:marker>
            <c:symbol val="diamond"/>
            <c:size val="5"/>
          </c:marker>
          <c:xVal>
            <c:numRef>
              <c:f>MEXtabs!$M$18:$M$22</c:f>
              <c:numCache>
                <c:formatCode>General</c:formatCode>
                <c:ptCount val="5"/>
                <c:pt idx="0">
                  <c:v>70</c:v>
                </c:pt>
                <c:pt idx="1">
                  <c:v>70</c:v>
                </c:pt>
                <c:pt idx="2">
                  <c:v>70</c:v>
                </c:pt>
                <c:pt idx="3">
                  <c:v>70</c:v>
                </c:pt>
                <c:pt idx="4">
                  <c:v>70</c:v>
                </c:pt>
              </c:numCache>
            </c:numRef>
          </c:xVal>
          <c:yVal>
            <c:numRef>
              <c:f>MEXtabs!$T$18:$T$22</c:f>
              <c:numCache>
                <c:formatCode>0.00</c:formatCode>
                <c:ptCount val="5"/>
                <c:pt idx="0">
                  <c:v>46.58433497953672</c:v>
                </c:pt>
                <c:pt idx="1">
                  <c:v>45.625916563366793</c:v>
                </c:pt>
                <c:pt idx="2">
                  <c:v>44.974926824133554</c:v>
                </c:pt>
                <c:pt idx="3">
                  <c:v>44.93060349187283</c:v>
                </c:pt>
                <c:pt idx="4">
                  <c:v>44.834642207686024</c:v>
                </c:pt>
              </c:numCache>
            </c:numRef>
          </c:yVal>
          <c:smooth val="0"/>
          <c:extLst>
            <c:ext xmlns:c16="http://schemas.microsoft.com/office/drawing/2014/chart" uri="{C3380CC4-5D6E-409C-BE32-E72D297353CC}">
              <c16:uniqueId val="{00000003-050C-48B7-913C-64CD350DD935}"/>
            </c:ext>
          </c:extLst>
        </c:ser>
        <c:ser>
          <c:idx val="4"/>
          <c:order val="4"/>
          <c:tx>
            <c:v>80 kVp</c:v>
          </c:tx>
          <c:marker>
            <c:symbol val="diamond"/>
            <c:size val="5"/>
          </c:marker>
          <c:xVal>
            <c:numRef>
              <c:f>MEXtabs!$M$23:$M$25</c:f>
              <c:numCache>
                <c:formatCode>General</c:formatCode>
                <c:ptCount val="3"/>
                <c:pt idx="0">
                  <c:v>80</c:v>
                </c:pt>
                <c:pt idx="1">
                  <c:v>80</c:v>
                </c:pt>
                <c:pt idx="2">
                  <c:v>80</c:v>
                </c:pt>
              </c:numCache>
            </c:numRef>
          </c:xVal>
          <c:yVal>
            <c:numRef>
              <c:f>MEXtabs!$T$23:$T$25</c:f>
              <c:numCache>
                <c:formatCode>0.00</c:formatCode>
                <c:ptCount val="3"/>
                <c:pt idx="0">
                  <c:v>46.356066401222279</c:v>
                </c:pt>
                <c:pt idx="1">
                  <c:v>45.516912000756918</c:v>
                </c:pt>
                <c:pt idx="2">
                  <c:v>44.884206076157788</c:v>
                </c:pt>
              </c:numCache>
            </c:numRef>
          </c:yVal>
          <c:smooth val="0"/>
          <c:extLst>
            <c:ext xmlns:c16="http://schemas.microsoft.com/office/drawing/2014/chart" uri="{C3380CC4-5D6E-409C-BE32-E72D297353CC}">
              <c16:uniqueId val="{00000004-050C-48B7-913C-64CD350DD935}"/>
            </c:ext>
          </c:extLst>
        </c:ser>
        <c:ser>
          <c:idx val="5"/>
          <c:order val="5"/>
          <c:tx>
            <c:v>90 kVp</c:v>
          </c:tx>
          <c:marker>
            <c:symbol val="diamond"/>
            <c:size val="5"/>
          </c:marker>
          <c:xVal>
            <c:numRef>
              <c:f>MEXtabs!$M$26:$M$28</c:f>
              <c:numCache>
                <c:formatCode>General</c:formatCode>
                <c:ptCount val="3"/>
                <c:pt idx="0">
                  <c:v>90</c:v>
                </c:pt>
                <c:pt idx="1">
                  <c:v>90</c:v>
                </c:pt>
                <c:pt idx="2">
                  <c:v>90</c:v>
                </c:pt>
              </c:numCache>
            </c:numRef>
          </c:xVal>
          <c:yVal>
            <c:numRef>
              <c:f>MEXtabs!$T$26:$T$28</c:f>
              <c:numCache>
                <c:formatCode>0.00</c:formatCode>
                <c:ptCount val="3"/>
                <c:pt idx="0">
                  <c:v>46.158010183854593</c:v>
                </c:pt>
                <c:pt idx="1">
                  <c:v>45.379279329759093</c:v>
                </c:pt>
                <c:pt idx="2">
                  <c:v>44.84083069639663</c:v>
                </c:pt>
              </c:numCache>
            </c:numRef>
          </c:yVal>
          <c:smooth val="0"/>
          <c:extLst>
            <c:ext xmlns:c16="http://schemas.microsoft.com/office/drawing/2014/chart" uri="{C3380CC4-5D6E-409C-BE32-E72D297353CC}">
              <c16:uniqueId val="{00000005-050C-48B7-913C-64CD350DD935}"/>
            </c:ext>
          </c:extLst>
        </c:ser>
        <c:ser>
          <c:idx val="6"/>
          <c:order val="6"/>
          <c:tx>
            <c:v>100 kVp</c:v>
          </c:tx>
          <c:marker>
            <c:symbol val="diamond"/>
            <c:size val="5"/>
          </c:marker>
          <c:xVal>
            <c:numRef>
              <c:f>MEXtabs!$M$29:$M$33</c:f>
              <c:numCache>
                <c:formatCode>General</c:formatCode>
                <c:ptCount val="5"/>
                <c:pt idx="0">
                  <c:v>100</c:v>
                </c:pt>
                <c:pt idx="1">
                  <c:v>100</c:v>
                </c:pt>
                <c:pt idx="2">
                  <c:v>100</c:v>
                </c:pt>
                <c:pt idx="3">
                  <c:v>100</c:v>
                </c:pt>
                <c:pt idx="4">
                  <c:v>100</c:v>
                </c:pt>
              </c:numCache>
            </c:numRef>
          </c:xVal>
          <c:yVal>
            <c:numRef>
              <c:f>MEXtabs!$T$29:$T$33</c:f>
              <c:numCache>
                <c:formatCode>0.00</c:formatCode>
                <c:ptCount val="5"/>
                <c:pt idx="0">
                  <c:v>45.974847556635403</c:v>
                </c:pt>
                <c:pt idx="1">
                  <c:v>45.340349958431013</c:v>
                </c:pt>
                <c:pt idx="2">
                  <c:v>44.778484986701471</c:v>
                </c:pt>
                <c:pt idx="3">
                  <c:v>44.731165114354809</c:v>
                </c:pt>
                <c:pt idx="4">
                  <c:v>44.632603356945602</c:v>
                </c:pt>
              </c:numCache>
            </c:numRef>
          </c:yVal>
          <c:smooth val="0"/>
          <c:extLst>
            <c:ext xmlns:c16="http://schemas.microsoft.com/office/drawing/2014/chart" uri="{C3380CC4-5D6E-409C-BE32-E72D297353CC}">
              <c16:uniqueId val="{00000006-050C-48B7-913C-64CD350DD935}"/>
            </c:ext>
          </c:extLst>
        </c:ser>
        <c:ser>
          <c:idx val="7"/>
          <c:order val="7"/>
          <c:tx>
            <c:v>120 kVp</c:v>
          </c:tx>
          <c:marker>
            <c:symbol val="diamond"/>
            <c:size val="5"/>
          </c:marker>
          <c:xVal>
            <c:numRef>
              <c:f>MEXtabs!$M$34:$M$37</c:f>
              <c:numCache>
                <c:formatCode>General</c:formatCode>
                <c:ptCount val="4"/>
                <c:pt idx="0">
                  <c:v>120</c:v>
                </c:pt>
                <c:pt idx="1">
                  <c:v>120</c:v>
                </c:pt>
                <c:pt idx="2">
                  <c:v>120</c:v>
                </c:pt>
                <c:pt idx="3">
                  <c:v>120</c:v>
                </c:pt>
              </c:numCache>
            </c:numRef>
          </c:xVal>
          <c:yVal>
            <c:numRef>
              <c:f>MEXtabs!$T$34:$T$37</c:f>
              <c:numCache>
                <c:formatCode>0.00</c:formatCode>
                <c:ptCount val="4"/>
                <c:pt idx="0">
                  <c:v>44.639950752706113</c:v>
                </c:pt>
                <c:pt idx="1">
                  <c:v>44.596340368679414</c:v>
                </c:pt>
                <c:pt idx="2">
                  <c:v>44.507133371596417</c:v>
                </c:pt>
                <c:pt idx="3">
                  <c:v>44.240487322441858</c:v>
                </c:pt>
              </c:numCache>
            </c:numRef>
          </c:yVal>
          <c:smooth val="0"/>
          <c:extLst>
            <c:ext xmlns:c16="http://schemas.microsoft.com/office/drawing/2014/chart" uri="{C3380CC4-5D6E-409C-BE32-E72D297353CC}">
              <c16:uniqueId val="{00000007-050C-48B7-913C-64CD350DD935}"/>
            </c:ext>
          </c:extLst>
        </c:ser>
        <c:ser>
          <c:idx val="8"/>
          <c:order val="8"/>
          <c:tx>
            <c:v>140 kVp</c:v>
          </c:tx>
          <c:marker>
            <c:symbol val="diamond"/>
            <c:size val="5"/>
          </c:marker>
          <c:xVal>
            <c:numRef>
              <c:f>MEXtabs!$M$38:$M$42</c:f>
              <c:numCache>
                <c:formatCode>General</c:formatCode>
                <c:ptCount val="5"/>
                <c:pt idx="0">
                  <c:v>140</c:v>
                </c:pt>
                <c:pt idx="1">
                  <c:v>140</c:v>
                </c:pt>
                <c:pt idx="2">
                  <c:v>140</c:v>
                </c:pt>
                <c:pt idx="3">
                  <c:v>140</c:v>
                </c:pt>
                <c:pt idx="4">
                  <c:v>140</c:v>
                </c:pt>
              </c:numCache>
            </c:numRef>
          </c:xVal>
          <c:yVal>
            <c:numRef>
              <c:f>MEXtabs!$T$38:$T$42</c:f>
              <c:numCache>
                <c:formatCode>0.00</c:formatCode>
                <c:ptCount val="5"/>
                <c:pt idx="0">
                  <c:v>44.472387610906146</c:v>
                </c:pt>
                <c:pt idx="1">
                  <c:v>44.43867098352041</c:v>
                </c:pt>
                <c:pt idx="2">
                  <c:v>44.384979291011668</c:v>
                </c:pt>
                <c:pt idx="3">
                  <c:v>44.18764444505527</c:v>
                </c:pt>
                <c:pt idx="4">
                  <c:v>43.911575134422748</c:v>
                </c:pt>
              </c:numCache>
            </c:numRef>
          </c:yVal>
          <c:smooth val="0"/>
          <c:extLst>
            <c:ext xmlns:c16="http://schemas.microsoft.com/office/drawing/2014/chart" uri="{C3380CC4-5D6E-409C-BE32-E72D297353CC}">
              <c16:uniqueId val="{00000008-050C-48B7-913C-64CD350DD935}"/>
            </c:ext>
          </c:extLst>
        </c:ser>
        <c:ser>
          <c:idx val="9"/>
          <c:order val="9"/>
          <c:tx>
            <c:v>150 kVp</c:v>
          </c:tx>
          <c:xVal>
            <c:numRef>
              <c:f>MEXtabs!$M$43:$M$47</c:f>
              <c:numCache>
                <c:formatCode>General</c:formatCode>
                <c:ptCount val="5"/>
                <c:pt idx="0">
                  <c:v>150</c:v>
                </c:pt>
                <c:pt idx="1">
                  <c:v>150</c:v>
                </c:pt>
                <c:pt idx="2">
                  <c:v>150</c:v>
                </c:pt>
                <c:pt idx="3">
                  <c:v>150</c:v>
                </c:pt>
                <c:pt idx="4">
                  <c:v>150</c:v>
                </c:pt>
              </c:numCache>
            </c:numRef>
          </c:xVal>
          <c:yVal>
            <c:numRef>
              <c:f>MEXtabs!$T$43:$T$47</c:f>
              <c:numCache>
                <c:formatCode>0.00</c:formatCode>
                <c:ptCount val="5"/>
                <c:pt idx="0">
                  <c:v>44.399662164670268</c:v>
                </c:pt>
                <c:pt idx="1">
                  <c:v>44.335713004340583</c:v>
                </c:pt>
                <c:pt idx="2">
                  <c:v>44.039866906401102</c:v>
                </c:pt>
                <c:pt idx="3">
                  <c:v>43.934594021953615</c:v>
                </c:pt>
                <c:pt idx="4">
                  <c:v>43.691969444983592</c:v>
                </c:pt>
              </c:numCache>
            </c:numRef>
          </c:yVal>
          <c:smooth val="0"/>
          <c:extLst>
            <c:ext xmlns:c16="http://schemas.microsoft.com/office/drawing/2014/chart" uri="{C3380CC4-5D6E-409C-BE32-E72D297353CC}">
              <c16:uniqueId val="{00000009-050C-48B7-913C-64CD350DD935}"/>
            </c:ext>
          </c:extLst>
        </c:ser>
        <c:ser>
          <c:idx val="10"/>
          <c:order val="10"/>
          <c:tx>
            <c:v>200 kVp</c:v>
          </c:tx>
          <c:marker>
            <c:symbol val="diamond"/>
            <c:size val="5"/>
          </c:marker>
          <c:xVal>
            <c:numRef>
              <c:f>MEXtabs!$M$48:$M$52</c:f>
              <c:numCache>
                <c:formatCode>General</c:formatCode>
                <c:ptCount val="5"/>
                <c:pt idx="0">
                  <c:v>200</c:v>
                </c:pt>
                <c:pt idx="1">
                  <c:v>200</c:v>
                </c:pt>
                <c:pt idx="2">
                  <c:v>200</c:v>
                </c:pt>
                <c:pt idx="3">
                  <c:v>200</c:v>
                </c:pt>
                <c:pt idx="4">
                  <c:v>200</c:v>
                </c:pt>
              </c:numCache>
            </c:numRef>
          </c:xVal>
          <c:yVal>
            <c:numRef>
              <c:f>MEXtabs!$T$48:$T$52</c:f>
              <c:numCache>
                <c:formatCode>0.00</c:formatCode>
                <c:ptCount val="5"/>
                <c:pt idx="0">
                  <c:v>44.064629911769998</c:v>
                </c:pt>
                <c:pt idx="1">
                  <c:v>43.783577929116746</c:v>
                </c:pt>
                <c:pt idx="2">
                  <c:v>43.690424941977597</c:v>
                </c:pt>
                <c:pt idx="3">
                  <c:v>43.576098970172843</c:v>
                </c:pt>
                <c:pt idx="4">
                  <c:v>43.485617129878449</c:v>
                </c:pt>
              </c:numCache>
            </c:numRef>
          </c:yVal>
          <c:smooth val="0"/>
          <c:extLst>
            <c:ext xmlns:c16="http://schemas.microsoft.com/office/drawing/2014/chart" uri="{C3380CC4-5D6E-409C-BE32-E72D297353CC}">
              <c16:uniqueId val="{0000000A-050C-48B7-913C-64CD350DD935}"/>
            </c:ext>
          </c:extLst>
        </c:ser>
        <c:ser>
          <c:idx val="11"/>
          <c:order val="11"/>
          <c:tx>
            <c:v>250 kVp</c:v>
          </c:tx>
          <c:marker>
            <c:symbol val="diamond"/>
            <c:size val="5"/>
          </c:marker>
          <c:xVal>
            <c:numRef>
              <c:f>MEXtabs!$M$53:$M$57</c:f>
              <c:numCache>
                <c:formatCode>General</c:formatCode>
                <c:ptCount val="5"/>
                <c:pt idx="0">
                  <c:v>250</c:v>
                </c:pt>
                <c:pt idx="1">
                  <c:v>250</c:v>
                </c:pt>
                <c:pt idx="2">
                  <c:v>250</c:v>
                </c:pt>
                <c:pt idx="3">
                  <c:v>250</c:v>
                </c:pt>
                <c:pt idx="4">
                  <c:v>250</c:v>
                </c:pt>
              </c:numCache>
            </c:numRef>
          </c:xVal>
          <c:yVal>
            <c:numRef>
              <c:f>MEXtabs!$T$53:$T$57</c:f>
              <c:numCache>
                <c:formatCode>0.00</c:formatCode>
                <c:ptCount val="5"/>
                <c:pt idx="0">
                  <c:v>43.729792205959406</c:v>
                </c:pt>
                <c:pt idx="1">
                  <c:v>43.548136413860959</c:v>
                </c:pt>
                <c:pt idx="2">
                  <c:v>43.515276381229619</c:v>
                </c:pt>
                <c:pt idx="3">
                  <c:v>43.394068454781625</c:v>
                </c:pt>
                <c:pt idx="4">
                  <c:v>43.262222819513056</c:v>
                </c:pt>
              </c:numCache>
            </c:numRef>
          </c:yVal>
          <c:smooth val="0"/>
          <c:extLst>
            <c:ext xmlns:c16="http://schemas.microsoft.com/office/drawing/2014/chart" uri="{C3380CC4-5D6E-409C-BE32-E72D297353CC}">
              <c16:uniqueId val="{0000000B-050C-48B7-913C-64CD350DD935}"/>
            </c:ext>
          </c:extLst>
        </c:ser>
        <c:ser>
          <c:idx val="12"/>
          <c:order val="12"/>
          <c:tx>
            <c:v>280 kVp</c:v>
          </c:tx>
          <c:marker>
            <c:symbol val="diamond"/>
            <c:size val="5"/>
          </c:marker>
          <c:xVal>
            <c:numRef>
              <c:f>MEXtabs!$M$58:$M$61</c:f>
              <c:numCache>
                <c:formatCode>General</c:formatCode>
                <c:ptCount val="4"/>
                <c:pt idx="0">
                  <c:v>280</c:v>
                </c:pt>
                <c:pt idx="1">
                  <c:v>280</c:v>
                </c:pt>
                <c:pt idx="2">
                  <c:v>280</c:v>
                </c:pt>
                <c:pt idx="3">
                  <c:v>280</c:v>
                </c:pt>
              </c:numCache>
            </c:numRef>
          </c:xVal>
          <c:yVal>
            <c:numRef>
              <c:f>MEXtabs!$T$58:$T$61</c:f>
              <c:numCache>
                <c:formatCode>0.00</c:formatCode>
                <c:ptCount val="4"/>
                <c:pt idx="0">
                  <c:v>43.547872255342405</c:v>
                </c:pt>
                <c:pt idx="1">
                  <c:v>43.417032551541674</c:v>
                </c:pt>
                <c:pt idx="2">
                  <c:v>43.332123291107912</c:v>
                </c:pt>
                <c:pt idx="3">
                  <c:v>43.249584769166603</c:v>
                </c:pt>
              </c:numCache>
            </c:numRef>
          </c:yVal>
          <c:smooth val="0"/>
          <c:extLst>
            <c:ext xmlns:c16="http://schemas.microsoft.com/office/drawing/2014/chart" uri="{C3380CC4-5D6E-409C-BE32-E72D297353CC}">
              <c16:uniqueId val="{0000000C-050C-48B7-913C-64CD350DD935}"/>
            </c:ext>
          </c:extLst>
        </c:ser>
        <c:ser>
          <c:idx val="13"/>
          <c:order val="13"/>
          <c:tx>
            <c:v>300 kVp</c:v>
          </c:tx>
          <c:marker>
            <c:symbol val="diamond"/>
            <c:size val="5"/>
          </c:marker>
          <c:xVal>
            <c:numRef>
              <c:f>MEXtabs!$M$62:$M$64</c:f>
              <c:numCache>
                <c:formatCode>General</c:formatCode>
                <c:ptCount val="3"/>
                <c:pt idx="0">
                  <c:v>300</c:v>
                </c:pt>
                <c:pt idx="1">
                  <c:v>300</c:v>
                </c:pt>
                <c:pt idx="2">
                  <c:v>300</c:v>
                </c:pt>
              </c:numCache>
            </c:numRef>
          </c:xVal>
          <c:yVal>
            <c:numRef>
              <c:f>MEXtabs!$T$62:$T$64</c:f>
              <c:numCache>
                <c:formatCode>0.00</c:formatCode>
                <c:ptCount val="3"/>
                <c:pt idx="0">
                  <c:v>43.359289173851359</c:v>
                </c:pt>
                <c:pt idx="1">
                  <c:v>43.270125968459105</c:v>
                </c:pt>
                <c:pt idx="2">
                  <c:v>43.133978014768623</c:v>
                </c:pt>
              </c:numCache>
            </c:numRef>
          </c:yVal>
          <c:smooth val="0"/>
          <c:extLst>
            <c:ext xmlns:c16="http://schemas.microsoft.com/office/drawing/2014/chart" uri="{C3380CC4-5D6E-409C-BE32-E72D297353CC}">
              <c16:uniqueId val="{0000000D-050C-48B7-913C-64CD350DD935}"/>
            </c:ext>
          </c:extLst>
        </c:ser>
        <c:ser>
          <c:idx val="14"/>
          <c:order val="14"/>
          <c:tx>
            <c:v>320 kVp</c:v>
          </c:tx>
          <c:marker>
            <c:symbol val="diamond"/>
            <c:size val="5"/>
          </c:marker>
          <c:xVal>
            <c:numRef>
              <c:f>MEXtabs!$M$65:$M$66</c:f>
              <c:numCache>
                <c:formatCode>General</c:formatCode>
                <c:ptCount val="2"/>
                <c:pt idx="0">
                  <c:v>320</c:v>
                </c:pt>
                <c:pt idx="1">
                  <c:v>320</c:v>
                </c:pt>
              </c:numCache>
            </c:numRef>
          </c:xVal>
          <c:yVal>
            <c:numRef>
              <c:f>MEXtabs!$T$65:$T$66</c:f>
              <c:numCache>
                <c:formatCode>0.00</c:formatCode>
                <c:ptCount val="2"/>
                <c:pt idx="0">
                  <c:v>43.131780217598909</c:v>
                </c:pt>
                <c:pt idx="1">
                  <c:v>43.048524810446899</c:v>
                </c:pt>
              </c:numCache>
            </c:numRef>
          </c:yVal>
          <c:smooth val="0"/>
          <c:extLst>
            <c:ext xmlns:c16="http://schemas.microsoft.com/office/drawing/2014/chart" uri="{C3380CC4-5D6E-409C-BE32-E72D297353CC}">
              <c16:uniqueId val="{0000000E-050C-48B7-913C-64CD350DD935}"/>
            </c:ext>
          </c:extLst>
        </c:ser>
        <c:dLbls>
          <c:showLegendKey val="0"/>
          <c:showVal val="0"/>
          <c:showCatName val="0"/>
          <c:showSerName val="0"/>
          <c:showPercent val="0"/>
          <c:showBubbleSize val="0"/>
        </c:dLbls>
        <c:axId val="354683248"/>
        <c:axId val="1"/>
      </c:scatterChart>
      <c:valAx>
        <c:axId val="354683248"/>
        <c:scaling>
          <c:orientation val="minMax"/>
        </c:scaling>
        <c:delete val="0"/>
        <c:axPos val="b"/>
        <c:title>
          <c:tx>
            <c:rich>
              <a:bodyPr/>
              <a:lstStyle/>
              <a:p>
                <a:pPr>
                  <a:defRPr sz="1000" b="1" i="0" u="none" strike="noStrike" baseline="0">
                    <a:solidFill>
                      <a:srgbClr val="000000"/>
                    </a:solidFill>
                    <a:latin typeface="Calibri"/>
                    <a:ea typeface="Calibri"/>
                    <a:cs typeface="Calibri"/>
                  </a:defRPr>
                </a:pPr>
                <a:r>
                  <a:rPr lang="en-AU"/>
                  <a:t>kVp</a:t>
                </a:r>
              </a:p>
            </c:rich>
          </c:tx>
          <c:overlay val="0"/>
        </c:title>
        <c:numFmt formatCode="General" sourceLinked="1"/>
        <c:majorTickMark val="out"/>
        <c:minorTickMark val="none"/>
        <c:tickLblPos val="nextTo"/>
        <c:spPr>
          <a:ln>
            <a:solidFill>
              <a:schemeClr val="tx1"/>
            </a:solidFill>
          </a:ln>
        </c:spPr>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a:prstDash val="dash"/>
            </a:ln>
          </c:spPr>
        </c:majorGridlines>
        <c:title>
          <c:tx>
            <c:rich>
              <a:bodyPr/>
              <a:lstStyle/>
              <a:p>
                <a:pPr>
                  <a:defRPr sz="1100" b="0" i="0" u="none" strike="noStrike" baseline="0">
                    <a:solidFill>
                      <a:srgbClr val="000000"/>
                    </a:solidFill>
                    <a:latin typeface="Calibri"/>
                    <a:ea typeface="Calibri"/>
                    <a:cs typeface="Calibri"/>
                  </a:defRPr>
                </a:pPr>
                <a:r>
                  <a:rPr lang="en-AU" sz="1000" b="1" i="1" u="none" strike="noStrike" baseline="0">
                    <a:solidFill>
                      <a:srgbClr val="000000"/>
                    </a:solidFill>
                    <a:latin typeface="Calibri"/>
                    <a:cs typeface="Calibri"/>
                  </a:rPr>
                  <a:t>N</a:t>
                </a:r>
                <a:r>
                  <a:rPr lang="en-AU" sz="1000" b="1" i="0" u="none" strike="noStrike" baseline="-25000">
                    <a:solidFill>
                      <a:srgbClr val="000000"/>
                    </a:solidFill>
                    <a:latin typeface="Calibri"/>
                    <a:cs typeface="Calibri"/>
                  </a:rPr>
                  <a:t>K</a:t>
                </a:r>
                <a:r>
                  <a:rPr lang="en-AU" sz="1000" b="1" i="0" u="none" strike="noStrike" baseline="0">
                    <a:solidFill>
                      <a:srgbClr val="000000"/>
                    </a:solidFill>
                    <a:latin typeface="Calibri"/>
                    <a:cs typeface="Calibri"/>
                  </a:rPr>
                  <a:t> (mGy/nC)</a:t>
                </a:r>
              </a:p>
            </c:rich>
          </c:tx>
          <c:overlay val="0"/>
        </c:title>
        <c:numFmt formatCode="#,##0.0" sourceLinked="0"/>
        <c:majorTickMark val="out"/>
        <c:minorTickMark val="none"/>
        <c:tickLblPos val="nextTo"/>
        <c:spPr>
          <a:ln>
            <a:solidFill>
              <a:schemeClr val="tx1"/>
            </a:solidFill>
          </a:ln>
        </c:spPr>
        <c:txPr>
          <a:bodyPr rot="0" vert="horz"/>
          <a:lstStyle/>
          <a:p>
            <a:pPr>
              <a:defRPr sz="1000" b="0" i="0" u="none" strike="noStrike" baseline="0">
                <a:solidFill>
                  <a:srgbClr val="000000"/>
                </a:solidFill>
                <a:latin typeface="Calibri"/>
                <a:ea typeface="Calibri"/>
                <a:cs typeface="Calibri"/>
              </a:defRPr>
            </a:pPr>
            <a:endParaRPr lang="en-US"/>
          </a:p>
        </c:txPr>
        <c:crossAx val="354683248"/>
        <c:crosses val="autoZero"/>
        <c:crossBetween val="midCat"/>
      </c:valAx>
      <c:spPr>
        <a:ln>
          <a:solidFill>
            <a:schemeClr val="tx1"/>
          </a:solidFill>
        </a:ln>
      </c:spPr>
    </c:plotArea>
    <c:legend>
      <c:legendPos val="r"/>
      <c:layout>
        <c:manualLayout>
          <c:xMode val="edge"/>
          <c:yMode val="edge"/>
          <c:x val="0.59221764792091336"/>
          <c:y val="5.3097345132743362E-2"/>
          <c:w val="0.31302929773372234"/>
          <c:h val="0.39233162226403118"/>
        </c:manualLayout>
      </c:layout>
      <c:overlay val="0"/>
      <c:spPr>
        <a:solidFill>
          <a:schemeClr val="bg1"/>
        </a:solidFill>
        <a:ln>
          <a:solidFill>
            <a:schemeClr val="accent1"/>
          </a:solidFill>
        </a:ln>
      </c:spPr>
      <c:txPr>
        <a:bodyPr/>
        <a:lstStyle/>
        <a:p>
          <a:pPr>
            <a:defRPr sz="81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xPr>
        <a:bodyPr/>
        <a:lstStyle/>
        <a:p>
          <a:pPr>
            <a:defRPr sz="1800" b="1" i="0" u="none" strike="noStrike" baseline="0">
              <a:solidFill>
                <a:srgbClr val="000000"/>
              </a:solidFill>
              <a:latin typeface="Calibri"/>
              <a:ea typeface="Calibri"/>
              <a:cs typeface="Calibri"/>
            </a:defRPr>
          </a:pPr>
          <a:endParaRPr lang="en-US"/>
        </a:p>
      </c:txPr>
    </c:title>
    <c:autoTitleDeleted val="0"/>
    <c:plotArea>
      <c:layout>
        <c:manualLayout>
          <c:layoutTarget val="inner"/>
          <c:xMode val="edge"/>
          <c:yMode val="edge"/>
          <c:x val="7.9499276426924628E-2"/>
          <c:y val="0.18701137357830272"/>
          <c:w val="0.8504352993611648"/>
          <c:h val="0.70164794400699915"/>
        </c:manualLayout>
      </c:layout>
      <c:scatterChart>
        <c:scatterStyle val="lineMarker"/>
        <c:varyColors val="0"/>
        <c:ser>
          <c:idx val="0"/>
          <c:order val="0"/>
          <c:tx>
            <c:v>Stdev v kerma rate</c:v>
          </c:tx>
          <c:spPr>
            <a:ln w="28575">
              <a:noFill/>
            </a:ln>
          </c:spPr>
          <c:xVal>
            <c:numRef>
              <c:f>MEX!$W$12:$W$73</c:f>
              <c:numCache>
                <c:formatCode>0.0</c:formatCode>
                <c:ptCount val="62"/>
                <c:pt idx="0">
                  <c:v>1.8019770692792743</c:v>
                </c:pt>
                <c:pt idx="1">
                  <c:v>2.737821518171756</c:v>
                </c:pt>
                <c:pt idx="2">
                  <c:v>3.4684158768750319</c:v>
                </c:pt>
                <c:pt idx="3">
                  <c:v>4.1450178898030403</c:v>
                </c:pt>
                <c:pt idx="4">
                  <c:v>4.8068940348088303</c:v>
                </c:pt>
                <c:pt idx="5">
                  <c:v>5.4523121200535467</c:v>
                </c:pt>
                <c:pt idx="6">
                  <c:v>6.083126630200046</c:v>
                </c:pt>
                <c:pt idx="7">
                  <c:v>1.0507108322148071</c:v>
                </c:pt>
                <c:pt idx="8">
                  <c:v>1.5824054702653265</c:v>
                </c:pt>
                <c:pt idx="9">
                  <c:v>2.114331045347686</c:v>
                </c:pt>
                <c:pt idx="10">
                  <c:v>2.6337193158119625</c:v>
                </c:pt>
                <c:pt idx="11">
                  <c:v>3.1672754372213583</c:v>
                </c:pt>
                <c:pt idx="12">
                  <c:v>3.7092619856216902</c:v>
                </c:pt>
                <c:pt idx="13">
                  <c:v>4.2580945084621344</c:v>
                </c:pt>
                <c:pt idx="14">
                  <c:v>0.16880655413586165</c:v>
                </c:pt>
                <c:pt idx="15">
                  <c:v>0.36494547749932849</c:v>
                </c:pt>
                <c:pt idx="16">
                  <c:v>0.57718311185013538</c:v>
                </c:pt>
                <c:pt idx="17">
                  <c:v>0.81063727072613534</c:v>
                </c:pt>
                <c:pt idx="18">
                  <c:v>1.0802880729181519</c:v>
                </c:pt>
                <c:pt idx="19">
                  <c:v>1.3821064635114191</c:v>
                </c:pt>
                <c:pt idx="20">
                  <c:v>0.31069524293476081</c:v>
                </c:pt>
                <c:pt idx="21">
                  <c:v>0.71410395997552412</c:v>
                </c:pt>
                <c:pt idx="22">
                  <c:v>1.5509425824921932</c:v>
                </c:pt>
                <c:pt idx="23">
                  <c:v>2.2310891902919789</c:v>
                </c:pt>
                <c:pt idx="24">
                  <c:v>2.9915534007871925</c:v>
                </c:pt>
                <c:pt idx="25">
                  <c:v>0.51116160491747753</c:v>
                </c:pt>
                <c:pt idx="26">
                  <c:v>1.2007260922271803</c:v>
                </c:pt>
                <c:pt idx="27">
                  <c:v>1.784368405695494</c:v>
                </c:pt>
                <c:pt idx="28">
                  <c:v>2.4516651230650832</c:v>
                </c:pt>
                <c:pt idx="29">
                  <c:v>2.8173420032097671</c:v>
                </c:pt>
                <c:pt idx="30">
                  <c:v>0.79542543444726566</c:v>
                </c:pt>
                <c:pt idx="31">
                  <c:v>1.242768517947378</c:v>
                </c:pt>
                <c:pt idx="32">
                  <c:v>1.7690624666352799</c:v>
                </c:pt>
                <c:pt idx="33">
                  <c:v>2.063165282998574</c:v>
                </c:pt>
                <c:pt idx="34">
                  <c:v>2.8572849185807008</c:v>
                </c:pt>
                <c:pt idx="35">
                  <c:v>0.74278765238565925</c:v>
                </c:pt>
                <c:pt idx="36">
                  <c:v>1.1633580611670098</c:v>
                </c:pt>
                <c:pt idx="37">
                  <c:v>1.4090771030362672</c:v>
                </c:pt>
                <c:pt idx="38">
                  <c:v>2.2118537872145509</c:v>
                </c:pt>
                <c:pt idx="39">
                  <c:v>3.001836445045782</c:v>
                </c:pt>
                <c:pt idx="40">
                  <c:v>0.60325691482499955</c:v>
                </c:pt>
                <c:pt idx="41">
                  <c:v>0.89686145284094199</c:v>
                </c:pt>
                <c:pt idx="42">
                  <c:v>1.5697420354036626</c:v>
                </c:pt>
                <c:pt idx="43">
                  <c:v>2.2683956986257323</c:v>
                </c:pt>
                <c:pt idx="44">
                  <c:v>2.5127625014554815</c:v>
                </c:pt>
                <c:pt idx="45">
                  <c:v>0.44814236665108781</c:v>
                </c:pt>
                <c:pt idx="46">
                  <c:v>1.1653632876100355</c:v>
                </c:pt>
                <c:pt idx="47">
                  <c:v>1.7745433399352215</c:v>
                </c:pt>
                <c:pt idx="48">
                  <c:v>2.0131516705967654</c:v>
                </c:pt>
                <c:pt idx="49">
                  <c:v>2.4105553532451731</c:v>
                </c:pt>
                <c:pt idx="50">
                  <c:v>0.64786042750908168</c:v>
                </c:pt>
                <c:pt idx="51">
                  <c:v>1.1656638161633628</c:v>
                </c:pt>
                <c:pt idx="52">
                  <c:v>1.3743566100374649</c:v>
                </c:pt>
                <c:pt idx="53">
                  <c:v>1.6807536584989653</c:v>
                </c:pt>
                <c:pt idx="54">
                  <c:v>1.6231408287232745</c:v>
                </c:pt>
                <c:pt idx="55">
                  <c:v>0.73387277470469225</c:v>
                </c:pt>
                <c:pt idx="56">
                  <c:v>0.89520582359213419</c:v>
                </c:pt>
                <c:pt idx="57">
                  <c:v>1.1187875433583474</c:v>
                </c:pt>
                <c:pt idx="58">
                  <c:v>1.1003205119450847</c:v>
                </c:pt>
                <c:pt idx="59">
                  <c:v>1.7745433399352215</c:v>
                </c:pt>
                <c:pt idx="60">
                  <c:v>1.3743566100374649</c:v>
                </c:pt>
                <c:pt idx="61">
                  <c:v>1.6807536584989653</c:v>
                </c:pt>
              </c:numCache>
            </c:numRef>
          </c:xVal>
          <c:yVal>
            <c:numRef>
              <c:f>MEX!$N$12:$N$73</c:f>
              <c:numCache>
                <c:formatCode>0.0</c:formatCode>
                <c:ptCount val="62"/>
                <c:pt idx="0">
                  <c:v>0.31039717099619979</c:v>
                </c:pt>
                <c:pt idx="1">
                  <c:v>8.0713672413285018E-2</c:v>
                </c:pt>
                <c:pt idx="2">
                  <c:v>0.32520141868132418</c:v>
                </c:pt>
                <c:pt idx="3">
                  <c:v>0.11817842860713516</c:v>
                </c:pt>
                <c:pt idx="4">
                  <c:v>0.18904965324503065</c:v>
                </c:pt>
                <c:pt idx="5">
                  <c:v>0.15095749014195234</c:v>
                </c:pt>
                <c:pt idx="6">
                  <c:v>9.4554063168838617E-2</c:v>
                </c:pt>
                <c:pt idx="7">
                  <c:v>0.17192531274437639</c:v>
                </c:pt>
                <c:pt idx="8">
                  <c:v>0.25456194594017334</c:v>
                </c:pt>
                <c:pt idx="9">
                  <c:v>0.25637435864401875</c:v>
                </c:pt>
                <c:pt idx="10">
                  <c:v>9.581560313192769E-2</c:v>
                </c:pt>
                <c:pt idx="11">
                  <c:v>0.14392931445657767</c:v>
                </c:pt>
                <c:pt idx="12">
                  <c:v>0.12128734643142701</c:v>
                </c:pt>
                <c:pt idx="13">
                  <c:v>0.11675547797420903</c:v>
                </c:pt>
                <c:pt idx="14">
                  <c:v>0.1547534238573319</c:v>
                </c:pt>
                <c:pt idx="15">
                  <c:v>0.12454515930280188</c:v>
                </c:pt>
                <c:pt idx="16">
                  <c:v>9.03216896681618E-2</c:v>
                </c:pt>
                <c:pt idx="17">
                  <c:v>0.12189221138703006</c:v>
                </c:pt>
                <c:pt idx="18">
                  <c:v>5.9393569552448539E-2</c:v>
                </c:pt>
                <c:pt idx="19">
                  <c:v>9.1151777579023568E-2</c:v>
                </c:pt>
                <c:pt idx="20">
                  <c:v>0.28696017582077399</c:v>
                </c:pt>
                <c:pt idx="21">
                  <c:v>9.7054140847596698E-2</c:v>
                </c:pt>
                <c:pt idx="22">
                  <c:v>5.3248071393559616E-2</c:v>
                </c:pt>
                <c:pt idx="23">
                  <c:v>9.7101355600959879E-2</c:v>
                </c:pt>
                <c:pt idx="24">
                  <c:v>0.18999471875948548</c:v>
                </c:pt>
                <c:pt idx="25">
                  <c:v>0.29291712120084284</c:v>
                </c:pt>
                <c:pt idx="26">
                  <c:v>0.17369892987273311</c:v>
                </c:pt>
                <c:pt idx="27">
                  <c:v>6.5497364433583949E-2</c:v>
                </c:pt>
                <c:pt idx="28">
                  <c:v>7.6251545818394037E-2</c:v>
                </c:pt>
                <c:pt idx="29">
                  <c:v>5.2721405839042786E-2</c:v>
                </c:pt>
                <c:pt idx="30">
                  <c:v>0.16927965500608885</c:v>
                </c:pt>
                <c:pt idx="31">
                  <c:v>8.6763690056855386E-2</c:v>
                </c:pt>
                <c:pt idx="32">
                  <c:v>0.10016882260385546</c:v>
                </c:pt>
                <c:pt idx="33">
                  <c:v>0.11334549582866051</c:v>
                </c:pt>
                <c:pt idx="34">
                  <c:v>0.12400751442130487</c:v>
                </c:pt>
                <c:pt idx="35">
                  <c:v>0.17176295052642271</c:v>
                </c:pt>
                <c:pt idx="36">
                  <c:v>0.18595375418180343</c:v>
                </c:pt>
                <c:pt idx="37">
                  <c:v>0.13369418486898602</c:v>
                </c:pt>
                <c:pt idx="38">
                  <c:v>4.3035314309669198E-2</c:v>
                </c:pt>
                <c:pt idx="39">
                  <c:v>0.12452638514758195</c:v>
                </c:pt>
                <c:pt idx="40">
                  <c:v>0.12251478316713191</c:v>
                </c:pt>
                <c:pt idx="41">
                  <c:v>0.33104442166783032</c:v>
                </c:pt>
                <c:pt idx="42">
                  <c:v>2.5012539126946752E-2</c:v>
                </c:pt>
                <c:pt idx="43">
                  <c:v>0.36439145459337696</c:v>
                </c:pt>
                <c:pt idx="44">
                  <c:v>0.17113977814246797</c:v>
                </c:pt>
                <c:pt idx="45">
                  <c:v>6.2064089910257907E-2</c:v>
                </c:pt>
                <c:pt idx="46">
                  <c:v>7.2669107176395728E-2</c:v>
                </c:pt>
                <c:pt idx="47">
                  <c:v>0.11311464709562943</c:v>
                </c:pt>
                <c:pt idx="48">
                  <c:v>8.8539895136358696E-2</c:v>
                </c:pt>
                <c:pt idx="49">
                  <c:v>0.10132526843137067</c:v>
                </c:pt>
                <c:pt idx="50">
                  <c:v>0.40472678284159969</c:v>
                </c:pt>
                <c:pt idx="51">
                  <c:v>0.13414301823574637</c:v>
                </c:pt>
                <c:pt idx="52">
                  <c:v>0.1667341630388513</c:v>
                </c:pt>
                <c:pt idx="53">
                  <c:v>0.32870620147581092</c:v>
                </c:pt>
                <c:pt idx="54">
                  <c:v>0.17284890319987489</c:v>
                </c:pt>
                <c:pt idx="55">
                  <c:v>0.26619164009598967</c:v>
                </c:pt>
                <c:pt idx="56">
                  <c:v>9.8947566664914804E-2</c:v>
                </c:pt>
                <c:pt idx="57">
                  <c:v>0.1011680572447128</c:v>
                </c:pt>
                <c:pt idx="58">
                  <c:v>6.8818695490915391E-2</c:v>
                </c:pt>
                <c:pt idx="59">
                  <c:v>5.8190882175145953E-2</c:v>
                </c:pt>
                <c:pt idx="60">
                  <c:v>9.3441430532945222E-2</c:v>
                </c:pt>
                <c:pt idx="61">
                  <c:v>8.3359061800341791E-2</c:v>
                </c:pt>
              </c:numCache>
            </c:numRef>
          </c:yVal>
          <c:smooth val="0"/>
          <c:extLst>
            <c:ext xmlns:c16="http://schemas.microsoft.com/office/drawing/2014/chart" uri="{C3380CC4-5D6E-409C-BE32-E72D297353CC}">
              <c16:uniqueId val="{00000000-75FB-459A-844C-1A3A15967DD1}"/>
            </c:ext>
          </c:extLst>
        </c:ser>
        <c:dLbls>
          <c:showLegendKey val="0"/>
          <c:showVal val="0"/>
          <c:showCatName val="0"/>
          <c:showSerName val="0"/>
          <c:showPercent val="0"/>
          <c:showBubbleSize val="0"/>
        </c:dLbls>
        <c:axId val="354681280"/>
        <c:axId val="1"/>
      </c:scatterChart>
      <c:valAx>
        <c:axId val="354681280"/>
        <c:scaling>
          <c:orientation val="minMax"/>
        </c:scaling>
        <c:delete val="0"/>
        <c:axPos val="b"/>
        <c:numFmt formatCode="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numFmt formatCode="0.0"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54681280"/>
        <c:crosses val="autoZero"/>
        <c:crossBetween val="midCat"/>
      </c:valAx>
    </c:plotArea>
    <c:legend>
      <c:legendPos val="r"/>
      <c:layout>
        <c:manualLayout>
          <c:xMode val="edge"/>
          <c:yMode val="edge"/>
          <c:x val="0.47938658611069845"/>
          <c:y val="0.25333508311461067"/>
          <c:w val="0.36408150239081755"/>
          <c:h val="6.6667016622922126E-2"/>
        </c:manualLayout>
      </c:layout>
      <c:overlay val="0"/>
      <c:txPr>
        <a:bodyPr/>
        <a:lstStyle/>
        <a:p>
          <a:pPr>
            <a:defRPr sz="81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5470519847674"/>
          <c:y val="3.2251328061116545E-2"/>
          <c:w val="0.79993889088737002"/>
          <c:h val="0.83337919361387014"/>
        </c:manualLayout>
      </c:layout>
      <c:scatterChart>
        <c:scatterStyle val="lineMarker"/>
        <c:varyColors val="0"/>
        <c:ser>
          <c:idx val="0"/>
          <c:order val="0"/>
          <c:tx>
            <c:v>40 kVp</c:v>
          </c:tx>
          <c:spPr>
            <a:ln w="28575">
              <a:solidFill>
                <a:schemeClr val="accent1"/>
              </a:solidFill>
            </a:ln>
          </c:spPr>
          <c:marker>
            <c:symbol val="diamond"/>
            <c:size val="5"/>
          </c:marker>
          <c:xVal>
            <c:numRef>
              <c:f>MEXtabs!$M$8:$M$10</c:f>
              <c:numCache>
                <c:formatCode>General</c:formatCode>
                <c:ptCount val="3"/>
                <c:pt idx="0">
                  <c:v>40</c:v>
                </c:pt>
                <c:pt idx="1">
                  <c:v>40</c:v>
                </c:pt>
                <c:pt idx="2">
                  <c:v>40</c:v>
                </c:pt>
              </c:numCache>
            </c:numRef>
          </c:xVal>
          <c:yVal>
            <c:numRef>
              <c:f>MEXtabs!$T$8:$T$10</c:f>
              <c:numCache>
                <c:formatCode>0.00</c:formatCode>
                <c:ptCount val="3"/>
                <c:pt idx="0">
                  <c:v>47.693535864374525</c:v>
                </c:pt>
                <c:pt idx="1">
                  <c:v>46.203313821965558</c:v>
                </c:pt>
                <c:pt idx="2">
                  <c:v>44.99892515741616</c:v>
                </c:pt>
              </c:numCache>
            </c:numRef>
          </c:yVal>
          <c:smooth val="0"/>
          <c:extLst>
            <c:ext xmlns:c16="http://schemas.microsoft.com/office/drawing/2014/chart" uri="{C3380CC4-5D6E-409C-BE32-E72D297353CC}">
              <c16:uniqueId val="{00000000-D894-4DE6-90A2-36603F585E65}"/>
            </c:ext>
          </c:extLst>
        </c:ser>
        <c:ser>
          <c:idx val="1"/>
          <c:order val="1"/>
          <c:tx>
            <c:v>50 kVp</c:v>
          </c:tx>
          <c:marker>
            <c:symbol val="diamond"/>
            <c:size val="5"/>
          </c:marker>
          <c:xVal>
            <c:numRef>
              <c:f>MEXtabs!$M$11:$M$14</c:f>
              <c:numCache>
                <c:formatCode>General</c:formatCode>
                <c:ptCount val="4"/>
                <c:pt idx="0">
                  <c:v>50</c:v>
                </c:pt>
                <c:pt idx="1">
                  <c:v>50</c:v>
                </c:pt>
                <c:pt idx="2">
                  <c:v>50</c:v>
                </c:pt>
                <c:pt idx="3">
                  <c:v>50</c:v>
                </c:pt>
              </c:numCache>
            </c:numRef>
          </c:xVal>
          <c:yVal>
            <c:numRef>
              <c:f>MEXtabs!$T$11:$T$14</c:f>
              <c:numCache>
                <c:formatCode>0.00</c:formatCode>
                <c:ptCount val="4"/>
                <c:pt idx="0">
                  <c:v>47.316194322138813</c:v>
                </c:pt>
                <c:pt idx="1">
                  <c:v>45.914809793111083</c:v>
                </c:pt>
                <c:pt idx="2">
                  <c:v>45.021741124033042</c:v>
                </c:pt>
                <c:pt idx="3">
                  <c:v>44.909193923534019</c:v>
                </c:pt>
              </c:numCache>
            </c:numRef>
          </c:yVal>
          <c:smooth val="0"/>
          <c:extLst>
            <c:ext xmlns:c16="http://schemas.microsoft.com/office/drawing/2014/chart" uri="{C3380CC4-5D6E-409C-BE32-E72D297353CC}">
              <c16:uniqueId val="{00000001-D894-4DE6-90A2-36603F585E65}"/>
            </c:ext>
          </c:extLst>
        </c:ser>
        <c:ser>
          <c:idx val="2"/>
          <c:order val="2"/>
          <c:tx>
            <c:v>60 kVp</c:v>
          </c:tx>
          <c:marker>
            <c:symbol val="diamond"/>
            <c:size val="5"/>
          </c:marker>
          <c:xVal>
            <c:numRef>
              <c:f>MEXtabs!$M$15:$M$17</c:f>
              <c:numCache>
                <c:formatCode>General</c:formatCode>
                <c:ptCount val="3"/>
                <c:pt idx="0">
                  <c:v>60</c:v>
                </c:pt>
                <c:pt idx="1">
                  <c:v>60</c:v>
                </c:pt>
                <c:pt idx="2">
                  <c:v>60</c:v>
                </c:pt>
              </c:numCache>
            </c:numRef>
          </c:xVal>
          <c:yVal>
            <c:numRef>
              <c:f>MEXtabs!$T$15:$T$17</c:f>
              <c:numCache>
                <c:formatCode>0.00</c:formatCode>
                <c:ptCount val="3"/>
                <c:pt idx="0">
                  <c:v>46.813271686133454</c:v>
                </c:pt>
                <c:pt idx="1">
                  <c:v>45.792090469114378</c:v>
                </c:pt>
                <c:pt idx="2">
                  <c:v>45.047957186376919</c:v>
                </c:pt>
              </c:numCache>
            </c:numRef>
          </c:yVal>
          <c:smooth val="0"/>
          <c:extLst>
            <c:ext xmlns:c16="http://schemas.microsoft.com/office/drawing/2014/chart" uri="{C3380CC4-5D6E-409C-BE32-E72D297353CC}">
              <c16:uniqueId val="{00000002-D894-4DE6-90A2-36603F585E65}"/>
            </c:ext>
          </c:extLst>
        </c:ser>
        <c:ser>
          <c:idx val="3"/>
          <c:order val="3"/>
          <c:tx>
            <c:v>70 kVp</c:v>
          </c:tx>
          <c:marker>
            <c:symbol val="diamond"/>
            <c:size val="5"/>
          </c:marker>
          <c:xVal>
            <c:numRef>
              <c:f>MEXtabs!$M$18:$M$22</c:f>
              <c:numCache>
                <c:formatCode>General</c:formatCode>
                <c:ptCount val="5"/>
                <c:pt idx="0">
                  <c:v>70</c:v>
                </c:pt>
                <c:pt idx="1">
                  <c:v>70</c:v>
                </c:pt>
                <c:pt idx="2">
                  <c:v>70</c:v>
                </c:pt>
                <c:pt idx="3">
                  <c:v>70</c:v>
                </c:pt>
                <c:pt idx="4">
                  <c:v>70</c:v>
                </c:pt>
              </c:numCache>
            </c:numRef>
          </c:xVal>
          <c:yVal>
            <c:numRef>
              <c:f>MEXtabs!$T$18:$T$22</c:f>
              <c:numCache>
                <c:formatCode>0.00</c:formatCode>
                <c:ptCount val="5"/>
                <c:pt idx="0">
                  <c:v>46.58433497953672</c:v>
                </c:pt>
                <c:pt idx="1">
                  <c:v>45.625916563366793</c:v>
                </c:pt>
                <c:pt idx="2">
                  <c:v>44.974926824133554</c:v>
                </c:pt>
                <c:pt idx="3">
                  <c:v>44.93060349187283</c:v>
                </c:pt>
                <c:pt idx="4">
                  <c:v>44.834642207686024</c:v>
                </c:pt>
              </c:numCache>
            </c:numRef>
          </c:yVal>
          <c:smooth val="0"/>
          <c:extLst>
            <c:ext xmlns:c16="http://schemas.microsoft.com/office/drawing/2014/chart" uri="{C3380CC4-5D6E-409C-BE32-E72D297353CC}">
              <c16:uniqueId val="{00000003-D894-4DE6-90A2-36603F585E65}"/>
            </c:ext>
          </c:extLst>
        </c:ser>
        <c:ser>
          <c:idx val="4"/>
          <c:order val="4"/>
          <c:tx>
            <c:v>80 kVp</c:v>
          </c:tx>
          <c:marker>
            <c:symbol val="diamond"/>
            <c:size val="5"/>
          </c:marker>
          <c:xVal>
            <c:numRef>
              <c:f>MEXtabs!$M$23:$M$25</c:f>
              <c:numCache>
                <c:formatCode>General</c:formatCode>
                <c:ptCount val="3"/>
                <c:pt idx="0">
                  <c:v>80</c:v>
                </c:pt>
                <c:pt idx="1">
                  <c:v>80</c:v>
                </c:pt>
                <c:pt idx="2">
                  <c:v>80</c:v>
                </c:pt>
              </c:numCache>
            </c:numRef>
          </c:xVal>
          <c:yVal>
            <c:numRef>
              <c:f>MEXtabs!$T$23:$T$25</c:f>
              <c:numCache>
                <c:formatCode>0.00</c:formatCode>
                <c:ptCount val="3"/>
                <c:pt idx="0">
                  <c:v>46.356066401222279</c:v>
                </c:pt>
                <c:pt idx="1">
                  <c:v>45.516912000756918</c:v>
                </c:pt>
                <c:pt idx="2">
                  <c:v>44.884206076157788</c:v>
                </c:pt>
              </c:numCache>
            </c:numRef>
          </c:yVal>
          <c:smooth val="0"/>
          <c:extLst>
            <c:ext xmlns:c16="http://schemas.microsoft.com/office/drawing/2014/chart" uri="{C3380CC4-5D6E-409C-BE32-E72D297353CC}">
              <c16:uniqueId val="{00000004-D894-4DE6-90A2-36603F585E65}"/>
            </c:ext>
          </c:extLst>
        </c:ser>
        <c:ser>
          <c:idx val="5"/>
          <c:order val="5"/>
          <c:tx>
            <c:v>90 kVp</c:v>
          </c:tx>
          <c:marker>
            <c:symbol val="diamond"/>
            <c:size val="5"/>
          </c:marker>
          <c:xVal>
            <c:numRef>
              <c:f>MEXtabs!$M$26:$M$28</c:f>
              <c:numCache>
                <c:formatCode>General</c:formatCode>
                <c:ptCount val="3"/>
                <c:pt idx="0">
                  <c:v>90</c:v>
                </c:pt>
                <c:pt idx="1">
                  <c:v>90</c:v>
                </c:pt>
                <c:pt idx="2">
                  <c:v>90</c:v>
                </c:pt>
              </c:numCache>
            </c:numRef>
          </c:xVal>
          <c:yVal>
            <c:numRef>
              <c:f>MEXtabs!$T$26:$T$28</c:f>
              <c:numCache>
                <c:formatCode>0.00</c:formatCode>
                <c:ptCount val="3"/>
                <c:pt idx="0">
                  <c:v>46.158010183854593</c:v>
                </c:pt>
                <c:pt idx="1">
                  <c:v>45.379279329759093</c:v>
                </c:pt>
                <c:pt idx="2">
                  <c:v>44.84083069639663</c:v>
                </c:pt>
              </c:numCache>
            </c:numRef>
          </c:yVal>
          <c:smooth val="0"/>
          <c:extLst>
            <c:ext xmlns:c16="http://schemas.microsoft.com/office/drawing/2014/chart" uri="{C3380CC4-5D6E-409C-BE32-E72D297353CC}">
              <c16:uniqueId val="{00000005-D894-4DE6-90A2-36603F585E65}"/>
            </c:ext>
          </c:extLst>
        </c:ser>
        <c:ser>
          <c:idx val="6"/>
          <c:order val="6"/>
          <c:tx>
            <c:v>100 kVp</c:v>
          </c:tx>
          <c:marker>
            <c:symbol val="diamond"/>
            <c:size val="5"/>
          </c:marker>
          <c:xVal>
            <c:numRef>
              <c:f>MEXtabs!$M$29:$M$33</c:f>
              <c:numCache>
                <c:formatCode>General</c:formatCode>
                <c:ptCount val="5"/>
                <c:pt idx="0">
                  <c:v>100</c:v>
                </c:pt>
                <c:pt idx="1">
                  <c:v>100</c:v>
                </c:pt>
                <c:pt idx="2">
                  <c:v>100</c:v>
                </c:pt>
                <c:pt idx="3">
                  <c:v>100</c:v>
                </c:pt>
                <c:pt idx="4">
                  <c:v>100</c:v>
                </c:pt>
              </c:numCache>
            </c:numRef>
          </c:xVal>
          <c:yVal>
            <c:numRef>
              <c:f>MEXtabs!$T$29:$T$33</c:f>
              <c:numCache>
                <c:formatCode>0.00</c:formatCode>
                <c:ptCount val="5"/>
                <c:pt idx="0">
                  <c:v>45.974847556635403</c:v>
                </c:pt>
                <c:pt idx="1">
                  <c:v>45.340349958431013</c:v>
                </c:pt>
                <c:pt idx="2">
                  <c:v>44.778484986701471</c:v>
                </c:pt>
                <c:pt idx="3">
                  <c:v>44.731165114354809</c:v>
                </c:pt>
                <c:pt idx="4">
                  <c:v>44.632603356945602</c:v>
                </c:pt>
              </c:numCache>
            </c:numRef>
          </c:yVal>
          <c:smooth val="0"/>
          <c:extLst>
            <c:ext xmlns:c16="http://schemas.microsoft.com/office/drawing/2014/chart" uri="{C3380CC4-5D6E-409C-BE32-E72D297353CC}">
              <c16:uniqueId val="{00000006-D894-4DE6-90A2-36603F585E65}"/>
            </c:ext>
          </c:extLst>
        </c:ser>
        <c:ser>
          <c:idx val="7"/>
          <c:order val="7"/>
          <c:tx>
            <c:v>120 kVp</c:v>
          </c:tx>
          <c:marker>
            <c:symbol val="diamond"/>
            <c:size val="5"/>
          </c:marker>
          <c:xVal>
            <c:numRef>
              <c:f>MEXtabs!$M$34:$M$37</c:f>
              <c:numCache>
                <c:formatCode>General</c:formatCode>
                <c:ptCount val="4"/>
                <c:pt idx="0">
                  <c:v>120</c:v>
                </c:pt>
                <c:pt idx="1">
                  <c:v>120</c:v>
                </c:pt>
                <c:pt idx="2">
                  <c:v>120</c:v>
                </c:pt>
                <c:pt idx="3">
                  <c:v>120</c:v>
                </c:pt>
              </c:numCache>
            </c:numRef>
          </c:xVal>
          <c:yVal>
            <c:numRef>
              <c:f>MEXtabs!$T$34:$T$37</c:f>
              <c:numCache>
                <c:formatCode>0.00</c:formatCode>
                <c:ptCount val="4"/>
                <c:pt idx="0">
                  <c:v>44.639950752706113</c:v>
                </c:pt>
                <c:pt idx="1">
                  <c:v>44.596340368679414</c:v>
                </c:pt>
                <c:pt idx="2">
                  <c:v>44.507133371596417</c:v>
                </c:pt>
                <c:pt idx="3">
                  <c:v>44.240487322441858</c:v>
                </c:pt>
              </c:numCache>
            </c:numRef>
          </c:yVal>
          <c:smooth val="0"/>
          <c:extLst>
            <c:ext xmlns:c16="http://schemas.microsoft.com/office/drawing/2014/chart" uri="{C3380CC4-5D6E-409C-BE32-E72D297353CC}">
              <c16:uniqueId val="{00000007-D894-4DE6-90A2-36603F585E65}"/>
            </c:ext>
          </c:extLst>
        </c:ser>
        <c:ser>
          <c:idx val="8"/>
          <c:order val="8"/>
          <c:tx>
            <c:v>140 kVp</c:v>
          </c:tx>
          <c:marker>
            <c:symbol val="diamond"/>
            <c:size val="5"/>
          </c:marker>
          <c:xVal>
            <c:numRef>
              <c:f>MEXtabs!$M$38:$M$42</c:f>
              <c:numCache>
                <c:formatCode>General</c:formatCode>
                <c:ptCount val="5"/>
                <c:pt idx="0">
                  <c:v>140</c:v>
                </c:pt>
                <c:pt idx="1">
                  <c:v>140</c:v>
                </c:pt>
                <c:pt idx="2">
                  <c:v>140</c:v>
                </c:pt>
                <c:pt idx="3">
                  <c:v>140</c:v>
                </c:pt>
                <c:pt idx="4">
                  <c:v>140</c:v>
                </c:pt>
              </c:numCache>
            </c:numRef>
          </c:xVal>
          <c:yVal>
            <c:numRef>
              <c:f>MEXtabs!$T$38:$T$42</c:f>
              <c:numCache>
                <c:formatCode>0.00</c:formatCode>
                <c:ptCount val="5"/>
                <c:pt idx="0">
                  <c:v>44.472387610906146</c:v>
                </c:pt>
                <c:pt idx="1">
                  <c:v>44.43867098352041</c:v>
                </c:pt>
                <c:pt idx="2">
                  <c:v>44.384979291011668</c:v>
                </c:pt>
                <c:pt idx="3">
                  <c:v>44.18764444505527</c:v>
                </c:pt>
                <c:pt idx="4">
                  <c:v>43.911575134422748</c:v>
                </c:pt>
              </c:numCache>
            </c:numRef>
          </c:yVal>
          <c:smooth val="0"/>
          <c:extLst>
            <c:ext xmlns:c16="http://schemas.microsoft.com/office/drawing/2014/chart" uri="{C3380CC4-5D6E-409C-BE32-E72D297353CC}">
              <c16:uniqueId val="{00000008-D894-4DE6-90A2-36603F585E65}"/>
            </c:ext>
          </c:extLst>
        </c:ser>
        <c:ser>
          <c:idx val="9"/>
          <c:order val="9"/>
          <c:tx>
            <c:v>150 kVp</c:v>
          </c:tx>
          <c:xVal>
            <c:numRef>
              <c:f>MEXtabs!$M$43:$M$47</c:f>
              <c:numCache>
                <c:formatCode>General</c:formatCode>
                <c:ptCount val="5"/>
                <c:pt idx="0">
                  <c:v>150</c:v>
                </c:pt>
                <c:pt idx="1">
                  <c:v>150</c:v>
                </c:pt>
                <c:pt idx="2">
                  <c:v>150</c:v>
                </c:pt>
                <c:pt idx="3">
                  <c:v>150</c:v>
                </c:pt>
                <c:pt idx="4">
                  <c:v>150</c:v>
                </c:pt>
              </c:numCache>
            </c:numRef>
          </c:xVal>
          <c:yVal>
            <c:numRef>
              <c:f>MEXtabs!$T$43:$T$47</c:f>
              <c:numCache>
                <c:formatCode>0.00</c:formatCode>
                <c:ptCount val="5"/>
                <c:pt idx="0">
                  <c:v>44.399662164670268</c:v>
                </c:pt>
                <c:pt idx="1">
                  <c:v>44.335713004340583</c:v>
                </c:pt>
                <c:pt idx="2">
                  <c:v>44.039866906401102</c:v>
                </c:pt>
                <c:pt idx="3">
                  <c:v>43.934594021953615</c:v>
                </c:pt>
                <c:pt idx="4">
                  <c:v>43.691969444983592</c:v>
                </c:pt>
              </c:numCache>
            </c:numRef>
          </c:yVal>
          <c:smooth val="0"/>
          <c:extLst>
            <c:ext xmlns:c16="http://schemas.microsoft.com/office/drawing/2014/chart" uri="{C3380CC4-5D6E-409C-BE32-E72D297353CC}">
              <c16:uniqueId val="{00000009-D894-4DE6-90A2-36603F585E65}"/>
            </c:ext>
          </c:extLst>
        </c:ser>
        <c:ser>
          <c:idx val="10"/>
          <c:order val="10"/>
          <c:tx>
            <c:v>200 kVp</c:v>
          </c:tx>
          <c:marker>
            <c:symbol val="diamond"/>
            <c:size val="5"/>
          </c:marker>
          <c:xVal>
            <c:numRef>
              <c:f>MEXtabs!$M$48:$M$52</c:f>
              <c:numCache>
                <c:formatCode>General</c:formatCode>
                <c:ptCount val="5"/>
                <c:pt idx="0">
                  <c:v>200</c:v>
                </c:pt>
                <c:pt idx="1">
                  <c:v>200</c:v>
                </c:pt>
                <c:pt idx="2">
                  <c:v>200</c:v>
                </c:pt>
                <c:pt idx="3">
                  <c:v>200</c:v>
                </c:pt>
                <c:pt idx="4">
                  <c:v>200</c:v>
                </c:pt>
              </c:numCache>
            </c:numRef>
          </c:xVal>
          <c:yVal>
            <c:numRef>
              <c:f>MEXtabs!$T$48:$T$52</c:f>
              <c:numCache>
                <c:formatCode>0.00</c:formatCode>
                <c:ptCount val="5"/>
                <c:pt idx="0">
                  <c:v>44.064629911769998</c:v>
                </c:pt>
                <c:pt idx="1">
                  <c:v>43.783577929116746</c:v>
                </c:pt>
                <c:pt idx="2">
                  <c:v>43.690424941977597</c:v>
                </c:pt>
                <c:pt idx="3">
                  <c:v>43.576098970172843</c:v>
                </c:pt>
                <c:pt idx="4">
                  <c:v>43.485617129878449</c:v>
                </c:pt>
              </c:numCache>
            </c:numRef>
          </c:yVal>
          <c:smooth val="0"/>
          <c:extLst>
            <c:ext xmlns:c16="http://schemas.microsoft.com/office/drawing/2014/chart" uri="{C3380CC4-5D6E-409C-BE32-E72D297353CC}">
              <c16:uniqueId val="{0000000A-D894-4DE6-90A2-36603F585E65}"/>
            </c:ext>
          </c:extLst>
        </c:ser>
        <c:ser>
          <c:idx val="11"/>
          <c:order val="11"/>
          <c:tx>
            <c:v>250 kVp</c:v>
          </c:tx>
          <c:marker>
            <c:symbol val="diamond"/>
            <c:size val="5"/>
          </c:marker>
          <c:xVal>
            <c:numRef>
              <c:f>MEXtabs!$M$53:$M$57</c:f>
              <c:numCache>
                <c:formatCode>General</c:formatCode>
                <c:ptCount val="5"/>
                <c:pt idx="0">
                  <c:v>250</c:v>
                </c:pt>
                <c:pt idx="1">
                  <c:v>250</c:v>
                </c:pt>
                <c:pt idx="2">
                  <c:v>250</c:v>
                </c:pt>
                <c:pt idx="3">
                  <c:v>250</c:v>
                </c:pt>
                <c:pt idx="4">
                  <c:v>250</c:v>
                </c:pt>
              </c:numCache>
            </c:numRef>
          </c:xVal>
          <c:yVal>
            <c:numRef>
              <c:f>MEXtabs!$T$53:$T$57</c:f>
              <c:numCache>
                <c:formatCode>0.00</c:formatCode>
                <c:ptCount val="5"/>
                <c:pt idx="0">
                  <c:v>43.729792205959406</c:v>
                </c:pt>
                <c:pt idx="1">
                  <c:v>43.548136413860959</c:v>
                </c:pt>
                <c:pt idx="2">
                  <c:v>43.515276381229619</c:v>
                </c:pt>
                <c:pt idx="3">
                  <c:v>43.394068454781625</c:v>
                </c:pt>
                <c:pt idx="4">
                  <c:v>43.262222819513056</c:v>
                </c:pt>
              </c:numCache>
            </c:numRef>
          </c:yVal>
          <c:smooth val="0"/>
          <c:extLst>
            <c:ext xmlns:c16="http://schemas.microsoft.com/office/drawing/2014/chart" uri="{C3380CC4-5D6E-409C-BE32-E72D297353CC}">
              <c16:uniqueId val="{0000000B-D894-4DE6-90A2-36603F585E65}"/>
            </c:ext>
          </c:extLst>
        </c:ser>
        <c:ser>
          <c:idx val="12"/>
          <c:order val="12"/>
          <c:tx>
            <c:v>280 kVp</c:v>
          </c:tx>
          <c:marker>
            <c:symbol val="diamond"/>
            <c:size val="5"/>
          </c:marker>
          <c:xVal>
            <c:numRef>
              <c:f>MEXtabs!$M$58:$M$61</c:f>
              <c:numCache>
                <c:formatCode>General</c:formatCode>
                <c:ptCount val="4"/>
                <c:pt idx="0">
                  <c:v>280</c:v>
                </c:pt>
                <c:pt idx="1">
                  <c:v>280</c:v>
                </c:pt>
                <c:pt idx="2">
                  <c:v>280</c:v>
                </c:pt>
                <c:pt idx="3">
                  <c:v>280</c:v>
                </c:pt>
              </c:numCache>
            </c:numRef>
          </c:xVal>
          <c:yVal>
            <c:numRef>
              <c:f>MEXtabs!$T$58:$T$61</c:f>
              <c:numCache>
                <c:formatCode>0.00</c:formatCode>
                <c:ptCount val="4"/>
                <c:pt idx="0">
                  <c:v>43.547872255342405</c:v>
                </c:pt>
                <c:pt idx="1">
                  <c:v>43.417032551541674</c:v>
                </c:pt>
                <c:pt idx="2">
                  <c:v>43.332123291107912</c:v>
                </c:pt>
                <c:pt idx="3">
                  <c:v>43.249584769166603</c:v>
                </c:pt>
              </c:numCache>
            </c:numRef>
          </c:yVal>
          <c:smooth val="0"/>
          <c:extLst>
            <c:ext xmlns:c16="http://schemas.microsoft.com/office/drawing/2014/chart" uri="{C3380CC4-5D6E-409C-BE32-E72D297353CC}">
              <c16:uniqueId val="{0000000C-D894-4DE6-90A2-36603F585E65}"/>
            </c:ext>
          </c:extLst>
        </c:ser>
        <c:ser>
          <c:idx val="13"/>
          <c:order val="13"/>
          <c:tx>
            <c:v>300 kVp</c:v>
          </c:tx>
          <c:marker>
            <c:symbol val="diamond"/>
            <c:size val="5"/>
          </c:marker>
          <c:xVal>
            <c:numRef>
              <c:f>MEXtabs!$M$62:$M$64</c:f>
              <c:numCache>
                <c:formatCode>General</c:formatCode>
                <c:ptCount val="3"/>
                <c:pt idx="0">
                  <c:v>300</c:v>
                </c:pt>
                <c:pt idx="1">
                  <c:v>300</c:v>
                </c:pt>
                <c:pt idx="2">
                  <c:v>300</c:v>
                </c:pt>
              </c:numCache>
            </c:numRef>
          </c:xVal>
          <c:yVal>
            <c:numRef>
              <c:f>MEXtabs!$T$62:$T$64</c:f>
              <c:numCache>
                <c:formatCode>0.00</c:formatCode>
                <c:ptCount val="3"/>
                <c:pt idx="0">
                  <c:v>43.359289173851359</c:v>
                </c:pt>
                <c:pt idx="1">
                  <c:v>43.270125968459105</c:v>
                </c:pt>
                <c:pt idx="2">
                  <c:v>43.133978014768623</c:v>
                </c:pt>
              </c:numCache>
            </c:numRef>
          </c:yVal>
          <c:smooth val="0"/>
          <c:extLst>
            <c:ext xmlns:c16="http://schemas.microsoft.com/office/drawing/2014/chart" uri="{C3380CC4-5D6E-409C-BE32-E72D297353CC}">
              <c16:uniqueId val="{0000000D-D894-4DE6-90A2-36603F585E65}"/>
            </c:ext>
          </c:extLst>
        </c:ser>
        <c:ser>
          <c:idx val="14"/>
          <c:order val="14"/>
          <c:tx>
            <c:v>320 kVp</c:v>
          </c:tx>
          <c:marker>
            <c:symbol val="diamond"/>
            <c:size val="5"/>
          </c:marker>
          <c:xVal>
            <c:numRef>
              <c:f>MEXtabs!$M$65:$M$66</c:f>
              <c:numCache>
                <c:formatCode>General</c:formatCode>
                <c:ptCount val="2"/>
                <c:pt idx="0">
                  <c:v>320</c:v>
                </c:pt>
                <c:pt idx="1">
                  <c:v>320</c:v>
                </c:pt>
              </c:numCache>
            </c:numRef>
          </c:xVal>
          <c:yVal>
            <c:numRef>
              <c:f>MEXtabs!$T$65:$T$66</c:f>
              <c:numCache>
                <c:formatCode>0.00</c:formatCode>
                <c:ptCount val="2"/>
                <c:pt idx="0">
                  <c:v>43.131780217598909</c:v>
                </c:pt>
                <c:pt idx="1">
                  <c:v>43.048524810446899</c:v>
                </c:pt>
              </c:numCache>
            </c:numRef>
          </c:yVal>
          <c:smooth val="0"/>
          <c:extLst>
            <c:ext xmlns:c16="http://schemas.microsoft.com/office/drawing/2014/chart" uri="{C3380CC4-5D6E-409C-BE32-E72D297353CC}">
              <c16:uniqueId val="{0000000E-D894-4DE6-90A2-36603F585E65}"/>
            </c:ext>
          </c:extLst>
        </c:ser>
        <c:dLbls>
          <c:showLegendKey val="0"/>
          <c:showVal val="0"/>
          <c:showCatName val="0"/>
          <c:showSerName val="0"/>
          <c:showPercent val="0"/>
          <c:showBubbleSize val="0"/>
        </c:dLbls>
        <c:axId val="354272760"/>
        <c:axId val="1"/>
      </c:scatterChart>
      <c:valAx>
        <c:axId val="354272760"/>
        <c:scaling>
          <c:orientation val="minMax"/>
        </c:scaling>
        <c:delete val="0"/>
        <c:axPos val="b"/>
        <c:title>
          <c:tx>
            <c:rich>
              <a:bodyPr/>
              <a:lstStyle/>
              <a:p>
                <a:pPr>
                  <a:defRPr sz="1100" b="1" i="0" u="none" strike="noStrike" baseline="0">
                    <a:solidFill>
                      <a:srgbClr val="000000"/>
                    </a:solidFill>
                    <a:latin typeface="Calibri"/>
                    <a:ea typeface="Calibri"/>
                    <a:cs typeface="Calibri"/>
                  </a:defRPr>
                </a:pPr>
                <a:r>
                  <a:rPr lang="en-AU"/>
                  <a:t>kVp</a:t>
                </a:r>
              </a:p>
            </c:rich>
          </c:tx>
          <c:overlay val="0"/>
        </c:title>
        <c:numFmt formatCode="General" sourceLinked="1"/>
        <c:majorTickMark val="out"/>
        <c:minorTickMark val="none"/>
        <c:tickLblPos val="nextTo"/>
        <c:spPr>
          <a:ln>
            <a:solidFill>
              <a:schemeClr val="tx1"/>
            </a:solidFill>
          </a:ln>
        </c:spPr>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a:prstDash val="dash"/>
            </a:ln>
          </c:spPr>
        </c:majorGridlines>
        <c:title>
          <c:tx>
            <c:rich>
              <a:bodyPr/>
              <a:lstStyle/>
              <a:p>
                <a:pPr>
                  <a:defRPr sz="1100" b="0" i="0" u="none" strike="noStrike" baseline="0">
                    <a:solidFill>
                      <a:srgbClr val="000000"/>
                    </a:solidFill>
                    <a:latin typeface="Calibri"/>
                    <a:ea typeface="Calibri"/>
                    <a:cs typeface="Calibri"/>
                  </a:defRPr>
                </a:pPr>
                <a:r>
                  <a:rPr lang="en-AU" sz="1100" b="1" i="1" u="none" strike="noStrike" baseline="0">
                    <a:solidFill>
                      <a:srgbClr val="000000"/>
                    </a:solidFill>
                    <a:latin typeface="Calibri"/>
                    <a:cs typeface="Calibri"/>
                  </a:rPr>
                  <a:t>N</a:t>
                </a:r>
                <a:r>
                  <a:rPr lang="en-AU" sz="1100" b="1" i="0" u="none" strike="noStrike" baseline="-25000">
                    <a:solidFill>
                      <a:srgbClr val="000000"/>
                    </a:solidFill>
                    <a:latin typeface="Calibri"/>
                    <a:cs typeface="Calibri"/>
                  </a:rPr>
                  <a:t>K</a:t>
                </a:r>
                <a:r>
                  <a:rPr lang="en-AU" sz="1100" b="1" i="0" u="none" strike="noStrike" baseline="0">
                    <a:solidFill>
                      <a:srgbClr val="000000"/>
                    </a:solidFill>
                    <a:latin typeface="Calibri"/>
                    <a:cs typeface="Calibri"/>
                  </a:rPr>
                  <a:t> (mGy/nC)</a:t>
                </a:r>
              </a:p>
            </c:rich>
          </c:tx>
          <c:overlay val="0"/>
        </c:title>
        <c:numFmt formatCode="#,##0.0" sourceLinked="0"/>
        <c:majorTickMark val="out"/>
        <c:minorTickMark val="none"/>
        <c:tickLblPos val="nextTo"/>
        <c:spPr>
          <a:ln>
            <a:solidFill>
              <a:schemeClr val="tx1"/>
            </a:solidFill>
          </a:ln>
        </c:spPr>
        <c:txPr>
          <a:bodyPr rot="0" vert="horz"/>
          <a:lstStyle/>
          <a:p>
            <a:pPr>
              <a:defRPr sz="1000" b="0" i="0" u="none" strike="noStrike" baseline="0">
                <a:solidFill>
                  <a:srgbClr val="000000"/>
                </a:solidFill>
                <a:latin typeface="Calibri"/>
                <a:ea typeface="Calibri"/>
                <a:cs typeface="Calibri"/>
              </a:defRPr>
            </a:pPr>
            <a:endParaRPr lang="en-US"/>
          </a:p>
        </c:txPr>
        <c:crossAx val="354272760"/>
        <c:crosses val="autoZero"/>
        <c:crossBetween val="midCat"/>
      </c:valAx>
      <c:spPr>
        <a:ln>
          <a:solidFill>
            <a:schemeClr val="tx1"/>
          </a:solidFill>
        </a:ln>
      </c:spPr>
    </c:plotArea>
    <c:legend>
      <c:legendPos val="r"/>
      <c:layout>
        <c:manualLayout>
          <c:xMode val="edge"/>
          <c:yMode val="edge"/>
          <c:x val="0.58564488574327889"/>
          <c:y val="5.0991501416430593E-2"/>
          <c:w val="0.31321387436684611"/>
          <c:h val="0.39093484419263458"/>
        </c:manualLayout>
      </c:layout>
      <c:overlay val="0"/>
      <c:spPr>
        <a:solidFill>
          <a:schemeClr val="bg1"/>
        </a:solidFill>
        <a:ln>
          <a:solidFill>
            <a:schemeClr val="accent1"/>
          </a:solidFill>
        </a:ln>
      </c:spPr>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5470519847674"/>
          <c:y val="3.2251328061116545E-2"/>
          <c:w val="0.79993889088737002"/>
          <c:h val="0.83337919361387014"/>
        </c:manualLayout>
      </c:layout>
      <c:scatterChart>
        <c:scatterStyle val="lineMarker"/>
        <c:varyColors val="0"/>
        <c:ser>
          <c:idx val="0"/>
          <c:order val="0"/>
          <c:tx>
            <c:v>40 kVp</c:v>
          </c:tx>
          <c:spPr>
            <a:ln w="28575">
              <a:solidFill>
                <a:schemeClr val="accent1"/>
              </a:solidFill>
            </a:ln>
          </c:spPr>
          <c:marker>
            <c:symbol val="diamond"/>
            <c:size val="5"/>
          </c:marker>
          <c:xVal>
            <c:numRef>
              <c:f>MEXtabs!$P$8:$P$10</c:f>
              <c:numCache>
                <c:formatCode>0.00</c:formatCode>
                <c:ptCount val="3"/>
                <c:pt idx="0">
                  <c:v>0.57492783060838692</c:v>
                </c:pt>
                <c:pt idx="1">
                  <c:v>0.9258920135550176</c:v>
                </c:pt>
                <c:pt idx="2">
                  <c:v>1.8978864505991633</c:v>
                </c:pt>
              </c:numCache>
            </c:numRef>
          </c:xVal>
          <c:yVal>
            <c:numRef>
              <c:f>MEXtabs!$T$8:$T$10</c:f>
              <c:numCache>
                <c:formatCode>0.00</c:formatCode>
                <c:ptCount val="3"/>
                <c:pt idx="0">
                  <c:v>47.693535864374525</c:v>
                </c:pt>
                <c:pt idx="1">
                  <c:v>46.203313821965558</c:v>
                </c:pt>
                <c:pt idx="2">
                  <c:v>44.99892515741616</c:v>
                </c:pt>
              </c:numCache>
            </c:numRef>
          </c:yVal>
          <c:smooth val="0"/>
          <c:extLst>
            <c:ext xmlns:c16="http://schemas.microsoft.com/office/drawing/2014/chart" uri="{C3380CC4-5D6E-409C-BE32-E72D297353CC}">
              <c16:uniqueId val="{00000000-A302-4D14-AC51-831F2A7E01A8}"/>
            </c:ext>
          </c:extLst>
        </c:ser>
        <c:ser>
          <c:idx val="1"/>
          <c:order val="1"/>
          <c:tx>
            <c:v>50 kVp</c:v>
          </c:tx>
          <c:marker>
            <c:symbol val="diamond"/>
            <c:size val="5"/>
          </c:marker>
          <c:xVal>
            <c:numRef>
              <c:f>MEXtabs!$P$11:$P$14</c:f>
              <c:numCache>
                <c:formatCode>0.00</c:formatCode>
                <c:ptCount val="4"/>
                <c:pt idx="0">
                  <c:v>0.68410318438743511</c:v>
                </c:pt>
                <c:pt idx="1">
                  <c:v>1.1174180366661788</c:v>
                </c:pt>
                <c:pt idx="2">
                  <c:v>2.3884184190002435</c:v>
                </c:pt>
                <c:pt idx="3">
                  <c:v>2.5292585864499295</c:v>
                </c:pt>
              </c:numCache>
            </c:numRef>
          </c:xVal>
          <c:yVal>
            <c:numRef>
              <c:f>MEXtabs!$T$11:$T$14</c:f>
              <c:numCache>
                <c:formatCode>0.00</c:formatCode>
                <c:ptCount val="4"/>
                <c:pt idx="0">
                  <c:v>47.316194322138813</c:v>
                </c:pt>
                <c:pt idx="1">
                  <c:v>45.914809793111083</c:v>
                </c:pt>
                <c:pt idx="2">
                  <c:v>45.021741124033042</c:v>
                </c:pt>
                <c:pt idx="3">
                  <c:v>44.909193923534019</c:v>
                </c:pt>
              </c:numCache>
            </c:numRef>
          </c:yVal>
          <c:smooth val="0"/>
          <c:extLst>
            <c:ext xmlns:c16="http://schemas.microsoft.com/office/drawing/2014/chart" uri="{C3380CC4-5D6E-409C-BE32-E72D297353CC}">
              <c16:uniqueId val="{00000001-A302-4D14-AC51-831F2A7E01A8}"/>
            </c:ext>
          </c:extLst>
        </c:ser>
        <c:ser>
          <c:idx val="2"/>
          <c:order val="2"/>
          <c:tx>
            <c:v>60 kVp</c:v>
          </c:tx>
          <c:marker>
            <c:symbol val="diamond"/>
            <c:size val="5"/>
          </c:marker>
          <c:xVal>
            <c:numRef>
              <c:f>MEXtabs!$P$15:$P$17</c:f>
              <c:numCache>
                <c:formatCode>0.00</c:formatCode>
                <c:ptCount val="3"/>
                <c:pt idx="0">
                  <c:v>0.78881379165109278</c:v>
                </c:pt>
                <c:pt idx="1">
                  <c:v>1.2886011015031504</c:v>
                </c:pt>
                <c:pt idx="2">
                  <c:v>2.8058625894538358</c:v>
                </c:pt>
              </c:numCache>
            </c:numRef>
          </c:xVal>
          <c:yVal>
            <c:numRef>
              <c:f>MEXtabs!$T$15:$T$17</c:f>
              <c:numCache>
                <c:formatCode>0.00</c:formatCode>
                <c:ptCount val="3"/>
                <c:pt idx="0">
                  <c:v>46.813271686133454</c:v>
                </c:pt>
                <c:pt idx="1">
                  <c:v>45.792090469114378</c:v>
                </c:pt>
                <c:pt idx="2">
                  <c:v>45.047957186376919</c:v>
                </c:pt>
              </c:numCache>
            </c:numRef>
          </c:yVal>
          <c:smooth val="0"/>
          <c:extLst>
            <c:ext xmlns:c16="http://schemas.microsoft.com/office/drawing/2014/chart" uri="{C3380CC4-5D6E-409C-BE32-E72D297353CC}">
              <c16:uniqueId val="{00000002-A302-4D14-AC51-831F2A7E01A8}"/>
            </c:ext>
          </c:extLst>
        </c:ser>
        <c:ser>
          <c:idx val="3"/>
          <c:order val="3"/>
          <c:tx>
            <c:v>70 kVp</c:v>
          </c:tx>
          <c:marker>
            <c:symbol val="diamond"/>
            <c:size val="5"/>
          </c:marker>
          <c:xVal>
            <c:numRef>
              <c:f>MEXtabs!$P$18:$P$22</c:f>
              <c:numCache>
                <c:formatCode>0.00</c:formatCode>
                <c:ptCount val="5"/>
                <c:pt idx="0">
                  <c:v>0.89521104032277998</c:v>
                </c:pt>
                <c:pt idx="1">
                  <c:v>1.4584444510077763</c:v>
                </c:pt>
                <c:pt idx="2">
                  <c:v>3.1929733252964523</c:v>
                </c:pt>
                <c:pt idx="3">
                  <c:v>3.3915742452383575</c:v>
                </c:pt>
                <c:pt idx="4">
                  <c:v>3.9520687461764625</c:v>
                </c:pt>
              </c:numCache>
            </c:numRef>
          </c:xVal>
          <c:yVal>
            <c:numRef>
              <c:f>MEXtabs!$T$18:$T$22</c:f>
              <c:numCache>
                <c:formatCode>0.00</c:formatCode>
                <c:ptCount val="5"/>
                <c:pt idx="0">
                  <c:v>46.58433497953672</c:v>
                </c:pt>
                <c:pt idx="1">
                  <c:v>45.625916563366793</c:v>
                </c:pt>
                <c:pt idx="2">
                  <c:v>44.974926824133554</c:v>
                </c:pt>
                <c:pt idx="3">
                  <c:v>44.93060349187283</c:v>
                </c:pt>
                <c:pt idx="4">
                  <c:v>44.834642207686024</c:v>
                </c:pt>
              </c:numCache>
            </c:numRef>
          </c:yVal>
          <c:smooth val="0"/>
          <c:extLst>
            <c:ext xmlns:c16="http://schemas.microsoft.com/office/drawing/2014/chart" uri="{C3380CC4-5D6E-409C-BE32-E72D297353CC}">
              <c16:uniqueId val="{00000003-A302-4D14-AC51-831F2A7E01A8}"/>
            </c:ext>
          </c:extLst>
        </c:ser>
        <c:ser>
          <c:idx val="4"/>
          <c:order val="4"/>
          <c:tx>
            <c:v>80 kVp</c:v>
          </c:tx>
          <c:marker>
            <c:symbol val="diamond"/>
            <c:size val="5"/>
          </c:marker>
          <c:xVal>
            <c:numRef>
              <c:f>MEXtabs!$P$23:$P$25</c:f>
              <c:numCache>
                <c:formatCode>0.00</c:formatCode>
                <c:ptCount val="3"/>
                <c:pt idx="0">
                  <c:v>1.0168942180395382</c:v>
                </c:pt>
                <c:pt idx="1">
                  <c:v>1.6431678445072386</c:v>
                </c:pt>
                <c:pt idx="2">
                  <c:v>3.6197123995759788</c:v>
                </c:pt>
              </c:numCache>
            </c:numRef>
          </c:xVal>
          <c:yVal>
            <c:numRef>
              <c:f>MEXtabs!$T$23:$T$25</c:f>
              <c:numCache>
                <c:formatCode>0.00</c:formatCode>
                <c:ptCount val="3"/>
                <c:pt idx="0">
                  <c:v>46.356066401222279</c:v>
                </c:pt>
                <c:pt idx="1">
                  <c:v>45.516912000756918</c:v>
                </c:pt>
                <c:pt idx="2">
                  <c:v>44.884206076157788</c:v>
                </c:pt>
              </c:numCache>
            </c:numRef>
          </c:yVal>
          <c:smooth val="0"/>
          <c:extLst>
            <c:ext xmlns:c16="http://schemas.microsoft.com/office/drawing/2014/chart" uri="{C3380CC4-5D6E-409C-BE32-E72D297353CC}">
              <c16:uniqueId val="{00000004-A302-4D14-AC51-831F2A7E01A8}"/>
            </c:ext>
          </c:extLst>
        </c:ser>
        <c:ser>
          <c:idx val="5"/>
          <c:order val="5"/>
          <c:tx>
            <c:v>90 kVp</c:v>
          </c:tx>
          <c:marker>
            <c:symbol val="diamond"/>
            <c:size val="5"/>
          </c:marker>
          <c:xVal>
            <c:numRef>
              <c:f>MEXtabs!$P$26:$P$28</c:f>
              <c:numCache>
                <c:formatCode>0.00</c:formatCode>
                <c:ptCount val="3"/>
                <c:pt idx="0">
                  <c:v>1.1524525686905205</c:v>
                </c:pt>
                <c:pt idx="1">
                  <c:v>1.8393319677543469</c:v>
                </c:pt>
                <c:pt idx="2">
                  <c:v>4.0393687541302778</c:v>
                </c:pt>
              </c:numCache>
            </c:numRef>
          </c:xVal>
          <c:yVal>
            <c:numRef>
              <c:f>MEXtabs!$T$26:$T$28</c:f>
              <c:numCache>
                <c:formatCode>0.00</c:formatCode>
                <c:ptCount val="3"/>
                <c:pt idx="0">
                  <c:v>46.158010183854593</c:v>
                </c:pt>
                <c:pt idx="1">
                  <c:v>45.379279329759093</c:v>
                </c:pt>
                <c:pt idx="2">
                  <c:v>44.84083069639663</c:v>
                </c:pt>
              </c:numCache>
            </c:numRef>
          </c:yVal>
          <c:smooth val="0"/>
          <c:extLst>
            <c:ext xmlns:c16="http://schemas.microsoft.com/office/drawing/2014/chart" uri="{C3380CC4-5D6E-409C-BE32-E72D297353CC}">
              <c16:uniqueId val="{00000005-A302-4D14-AC51-831F2A7E01A8}"/>
            </c:ext>
          </c:extLst>
        </c:ser>
        <c:ser>
          <c:idx val="6"/>
          <c:order val="6"/>
          <c:tx>
            <c:v>100 kVp</c:v>
          </c:tx>
          <c:marker>
            <c:symbol val="diamond"/>
            <c:size val="5"/>
          </c:marker>
          <c:xVal>
            <c:numRef>
              <c:f>MEXtabs!$P$29:$P$33</c:f>
              <c:numCache>
                <c:formatCode>0.00</c:formatCode>
                <c:ptCount val="5"/>
                <c:pt idx="0">
                  <c:v>1.3031305701207649</c:v>
                </c:pt>
                <c:pt idx="1">
                  <c:v>2.0480553989194346</c:v>
                </c:pt>
                <c:pt idx="2">
                  <c:v>4.7352150332082985</c:v>
                </c:pt>
                <c:pt idx="3">
                  <c:v>5.4850226957751094</c:v>
                </c:pt>
                <c:pt idx="4">
                  <c:v>6.6136409012352111</c:v>
                </c:pt>
              </c:numCache>
            </c:numRef>
          </c:xVal>
          <c:yVal>
            <c:numRef>
              <c:f>MEXtabs!$T$29:$T$33</c:f>
              <c:numCache>
                <c:formatCode>0.00</c:formatCode>
                <c:ptCount val="5"/>
                <c:pt idx="0">
                  <c:v>45.974847556635403</c:v>
                </c:pt>
                <c:pt idx="1">
                  <c:v>45.340349958431013</c:v>
                </c:pt>
                <c:pt idx="2">
                  <c:v>44.778484986701471</c:v>
                </c:pt>
                <c:pt idx="3">
                  <c:v>44.731165114354809</c:v>
                </c:pt>
                <c:pt idx="4">
                  <c:v>44.632603356945602</c:v>
                </c:pt>
              </c:numCache>
            </c:numRef>
          </c:yVal>
          <c:smooth val="0"/>
          <c:extLst>
            <c:ext xmlns:c16="http://schemas.microsoft.com/office/drawing/2014/chart" uri="{C3380CC4-5D6E-409C-BE32-E72D297353CC}">
              <c16:uniqueId val="{00000006-A302-4D14-AC51-831F2A7E01A8}"/>
            </c:ext>
          </c:extLst>
        </c:ser>
        <c:ser>
          <c:idx val="7"/>
          <c:order val="7"/>
          <c:tx>
            <c:v>120 kVp</c:v>
          </c:tx>
          <c:marker>
            <c:symbol val="diamond"/>
            <c:size val="5"/>
          </c:marker>
          <c:xVal>
            <c:numRef>
              <c:f>MEXtabs!$P$34:$P$37</c:f>
              <c:numCache>
                <c:formatCode>0.00</c:formatCode>
                <c:ptCount val="4"/>
                <c:pt idx="0">
                  <c:v>5.5559969759148071</c:v>
                </c:pt>
                <c:pt idx="1">
                  <c:v>6.3769778478391608</c:v>
                </c:pt>
                <c:pt idx="2">
                  <c:v>7.588179482309295</c:v>
                </c:pt>
                <c:pt idx="3">
                  <c:v>10.310491894063471</c:v>
                </c:pt>
              </c:numCache>
            </c:numRef>
          </c:xVal>
          <c:yVal>
            <c:numRef>
              <c:f>MEXtabs!$T$34:$T$37</c:f>
              <c:numCache>
                <c:formatCode>0.00</c:formatCode>
                <c:ptCount val="4"/>
                <c:pt idx="0">
                  <c:v>44.639950752706113</c:v>
                </c:pt>
                <c:pt idx="1">
                  <c:v>44.596340368679414</c:v>
                </c:pt>
                <c:pt idx="2">
                  <c:v>44.507133371596417</c:v>
                </c:pt>
                <c:pt idx="3">
                  <c:v>44.240487322441858</c:v>
                </c:pt>
              </c:numCache>
            </c:numRef>
          </c:yVal>
          <c:smooth val="0"/>
          <c:extLst>
            <c:ext xmlns:c16="http://schemas.microsoft.com/office/drawing/2014/chart" uri="{C3380CC4-5D6E-409C-BE32-E72D297353CC}">
              <c16:uniqueId val="{00000007-A302-4D14-AC51-831F2A7E01A8}"/>
            </c:ext>
          </c:extLst>
        </c:ser>
        <c:ser>
          <c:idx val="8"/>
          <c:order val="8"/>
          <c:tx>
            <c:v>140kVp</c:v>
          </c:tx>
          <c:marker>
            <c:symbol val="diamond"/>
            <c:size val="5"/>
          </c:marker>
          <c:xVal>
            <c:numRef>
              <c:f>MEXtabs!$P$38:$P$42</c:f>
              <c:numCache>
                <c:formatCode>0.00</c:formatCode>
                <c:ptCount val="5"/>
                <c:pt idx="0">
                  <c:v>6.3330445132980557</c:v>
                </c:pt>
                <c:pt idx="1">
                  <c:v>7.1952322413084104</c:v>
                </c:pt>
                <c:pt idx="2">
                  <c:v>8.4359614589862257</c:v>
                </c:pt>
              </c:numCache>
            </c:numRef>
          </c:xVal>
          <c:yVal>
            <c:numRef>
              <c:f>MEXtabs!$T$38:$T$42</c:f>
              <c:numCache>
                <c:formatCode>0.00</c:formatCode>
                <c:ptCount val="5"/>
                <c:pt idx="0">
                  <c:v>44.472387610906146</c:v>
                </c:pt>
                <c:pt idx="1">
                  <c:v>44.43867098352041</c:v>
                </c:pt>
                <c:pt idx="2">
                  <c:v>44.384979291011668</c:v>
                </c:pt>
                <c:pt idx="3">
                  <c:v>44.18764444505527</c:v>
                </c:pt>
                <c:pt idx="4">
                  <c:v>43.911575134422748</c:v>
                </c:pt>
              </c:numCache>
            </c:numRef>
          </c:yVal>
          <c:smooth val="0"/>
          <c:extLst>
            <c:ext xmlns:c16="http://schemas.microsoft.com/office/drawing/2014/chart" uri="{C3380CC4-5D6E-409C-BE32-E72D297353CC}">
              <c16:uniqueId val="{00000008-A302-4D14-AC51-831F2A7E01A8}"/>
            </c:ext>
          </c:extLst>
        </c:ser>
        <c:ser>
          <c:idx val="9"/>
          <c:order val="9"/>
          <c:tx>
            <c:v>150 kVp</c:v>
          </c:tx>
          <c:marker>
            <c:symbol val="diamond"/>
            <c:size val="5"/>
          </c:marker>
          <c:xVal>
            <c:numRef>
              <c:f>MEXtabs!$P$43:$P$47</c:f>
              <c:numCache>
                <c:formatCode>0.00</c:formatCode>
                <c:ptCount val="5"/>
                <c:pt idx="0">
                  <c:v>7.58221629670666</c:v>
                </c:pt>
                <c:pt idx="1">
                  <c:v>8.831676949720114</c:v>
                </c:pt>
              </c:numCache>
            </c:numRef>
          </c:xVal>
          <c:yVal>
            <c:numRef>
              <c:f>MEXtabs!$T$43:$T$47</c:f>
              <c:numCache>
                <c:formatCode>0.00</c:formatCode>
                <c:ptCount val="5"/>
                <c:pt idx="0">
                  <c:v>44.399662164670268</c:v>
                </c:pt>
                <c:pt idx="1">
                  <c:v>44.335713004340583</c:v>
                </c:pt>
                <c:pt idx="2">
                  <c:v>44.039866906401102</c:v>
                </c:pt>
                <c:pt idx="3">
                  <c:v>43.934594021953615</c:v>
                </c:pt>
                <c:pt idx="4">
                  <c:v>43.691969444983592</c:v>
                </c:pt>
              </c:numCache>
            </c:numRef>
          </c:yVal>
          <c:smooth val="0"/>
          <c:extLst>
            <c:ext xmlns:c16="http://schemas.microsoft.com/office/drawing/2014/chart" uri="{C3380CC4-5D6E-409C-BE32-E72D297353CC}">
              <c16:uniqueId val="{00000009-A302-4D14-AC51-831F2A7E01A8}"/>
            </c:ext>
          </c:extLst>
        </c:ser>
        <c:dLbls>
          <c:showLegendKey val="0"/>
          <c:showVal val="0"/>
          <c:showCatName val="0"/>
          <c:showSerName val="0"/>
          <c:showPercent val="0"/>
          <c:showBubbleSize val="0"/>
        </c:dLbls>
        <c:axId val="354277024"/>
        <c:axId val="1"/>
      </c:scatterChart>
      <c:valAx>
        <c:axId val="354277024"/>
        <c:scaling>
          <c:orientation val="minMax"/>
        </c:scaling>
        <c:delete val="0"/>
        <c:axPos val="b"/>
        <c:title>
          <c:tx>
            <c:rich>
              <a:bodyPr/>
              <a:lstStyle/>
              <a:p>
                <a:pPr>
                  <a:defRPr sz="1100" b="1" i="0" u="none" strike="noStrike" baseline="0">
                    <a:solidFill>
                      <a:srgbClr val="000000"/>
                    </a:solidFill>
                    <a:latin typeface="Calibri"/>
                    <a:ea typeface="Calibri"/>
                    <a:cs typeface="Calibri"/>
                  </a:defRPr>
                </a:pPr>
                <a:r>
                  <a:rPr lang="en-AU"/>
                  <a:t>HVL (mm Al)</a:t>
                </a:r>
              </a:p>
            </c:rich>
          </c:tx>
          <c:overlay val="0"/>
        </c:title>
        <c:numFmt formatCode="0.00" sourceLinked="1"/>
        <c:majorTickMark val="out"/>
        <c:minorTickMark val="none"/>
        <c:tickLblPos val="nextTo"/>
        <c:spPr>
          <a:ln>
            <a:solidFill>
              <a:schemeClr val="tx1"/>
            </a:solidFill>
          </a:ln>
        </c:spPr>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a:prstDash val="dash"/>
            </a:ln>
          </c:spPr>
        </c:majorGridlines>
        <c:title>
          <c:tx>
            <c:rich>
              <a:bodyPr/>
              <a:lstStyle/>
              <a:p>
                <a:pPr>
                  <a:defRPr sz="1100" b="0" i="0" u="none" strike="noStrike" baseline="0">
                    <a:solidFill>
                      <a:srgbClr val="000000"/>
                    </a:solidFill>
                    <a:latin typeface="Calibri"/>
                    <a:ea typeface="Calibri"/>
                    <a:cs typeface="Calibri"/>
                  </a:defRPr>
                </a:pPr>
                <a:r>
                  <a:rPr lang="en-AU" sz="1100" b="1" i="1" u="none" strike="noStrike" baseline="0">
                    <a:solidFill>
                      <a:srgbClr val="000000"/>
                    </a:solidFill>
                    <a:latin typeface="Calibri"/>
                    <a:cs typeface="Calibri"/>
                  </a:rPr>
                  <a:t>N</a:t>
                </a:r>
                <a:r>
                  <a:rPr lang="en-AU" sz="1100" b="1" i="0" u="none" strike="noStrike" baseline="-25000">
                    <a:solidFill>
                      <a:srgbClr val="000000"/>
                    </a:solidFill>
                    <a:latin typeface="Calibri"/>
                    <a:cs typeface="Calibri"/>
                  </a:rPr>
                  <a:t>K</a:t>
                </a:r>
                <a:r>
                  <a:rPr lang="en-AU" sz="1100" b="1" i="0" u="none" strike="noStrike" baseline="0">
                    <a:solidFill>
                      <a:srgbClr val="000000"/>
                    </a:solidFill>
                    <a:latin typeface="Calibri"/>
                    <a:cs typeface="Calibri"/>
                  </a:rPr>
                  <a:t> (mGy/nC)</a:t>
                </a:r>
              </a:p>
            </c:rich>
          </c:tx>
          <c:overlay val="0"/>
        </c:title>
        <c:numFmt formatCode="#,##0.0" sourceLinked="0"/>
        <c:majorTickMark val="out"/>
        <c:minorTickMark val="none"/>
        <c:tickLblPos val="nextTo"/>
        <c:spPr>
          <a:ln>
            <a:solidFill>
              <a:schemeClr val="tx1"/>
            </a:solidFill>
          </a:ln>
        </c:spPr>
        <c:txPr>
          <a:bodyPr rot="0" vert="horz"/>
          <a:lstStyle/>
          <a:p>
            <a:pPr>
              <a:defRPr sz="1000" b="0" i="0" u="none" strike="noStrike" baseline="0">
                <a:solidFill>
                  <a:srgbClr val="000000"/>
                </a:solidFill>
                <a:latin typeface="Calibri"/>
                <a:ea typeface="Calibri"/>
                <a:cs typeface="Calibri"/>
              </a:defRPr>
            </a:pPr>
            <a:endParaRPr lang="en-US"/>
          </a:p>
        </c:txPr>
        <c:crossAx val="354277024"/>
        <c:crosses val="autoZero"/>
        <c:crossBetween val="midCat"/>
      </c:valAx>
      <c:spPr>
        <a:ln>
          <a:solidFill>
            <a:schemeClr val="tx1"/>
          </a:solidFill>
        </a:ln>
      </c:spPr>
    </c:plotArea>
    <c:legend>
      <c:legendPos val="r"/>
      <c:layout>
        <c:manualLayout>
          <c:xMode val="edge"/>
          <c:yMode val="edge"/>
          <c:x val="0.58238224300265895"/>
          <c:y val="4.8158640226628892E-2"/>
          <c:w val="0.31973915984808587"/>
          <c:h val="0.35694050991501414"/>
        </c:manualLayout>
      </c:layout>
      <c:overlay val="0"/>
      <c:spPr>
        <a:solidFill>
          <a:schemeClr val="bg1"/>
        </a:solidFill>
        <a:ln>
          <a:solidFill>
            <a:schemeClr val="accent1"/>
          </a:solidFill>
        </a:ln>
      </c:spPr>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5470519847674"/>
          <c:y val="3.2251328061116545E-2"/>
          <c:w val="0.79993889088737002"/>
          <c:h val="0.83337919361387014"/>
        </c:manualLayout>
      </c:layout>
      <c:scatterChart>
        <c:scatterStyle val="lineMarker"/>
        <c:varyColors val="0"/>
        <c:ser>
          <c:idx val="4"/>
          <c:order val="0"/>
          <c:tx>
            <c:v>80 kVp</c:v>
          </c:tx>
          <c:marker>
            <c:symbol val="diamond"/>
            <c:size val="5"/>
          </c:marker>
          <c:xVal>
            <c:numRef>
              <c:f>MEXtabs!$Q$23:$Q$25</c:f>
              <c:numCache>
                <c:formatCode>General</c:formatCode>
                <c:ptCount val="3"/>
                <c:pt idx="2" formatCode="0.00">
                  <c:v>0.12923885884326811</c:v>
                </c:pt>
              </c:numCache>
            </c:numRef>
          </c:xVal>
          <c:yVal>
            <c:numRef>
              <c:f>MEXtabs!$T$23:$T$25</c:f>
              <c:numCache>
                <c:formatCode>0.00</c:formatCode>
                <c:ptCount val="3"/>
                <c:pt idx="0">
                  <c:v>46.356066401222279</c:v>
                </c:pt>
                <c:pt idx="1">
                  <c:v>45.516912000756918</c:v>
                </c:pt>
                <c:pt idx="2">
                  <c:v>44.884206076157788</c:v>
                </c:pt>
              </c:numCache>
            </c:numRef>
          </c:yVal>
          <c:smooth val="0"/>
          <c:extLst>
            <c:ext xmlns:c16="http://schemas.microsoft.com/office/drawing/2014/chart" uri="{C3380CC4-5D6E-409C-BE32-E72D297353CC}">
              <c16:uniqueId val="{00000000-F3F3-4584-9491-7969B9E73248}"/>
            </c:ext>
          </c:extLst>
        </c:ser>
        <c:ser>
          <c:idx val="5"/>
          <c:order val="1"/>
          <c:tx>
            <c:v>90 kVp</c:v>
          </c:tx>
          <c:marker>
            <c:symbol val="diamond"/>
            <c:size val="5"/>
          </c:marker>
          <c:xVal>
            <c:numRef>
              <c:f>MEXtabs!$Q$26:$Q$28</c:f>
              <c:numCache>
                <c:formatCode>General</c:formatCode>
                <c:ptCount val="3"/>
                <c:pt idx="2" formatCode="0.00">
                  <c:v>0.14848211806760514</c:v>
                </c:pt>
              </c:numCache>
            </c:numRef>
          </c:xVal>
          <c:yVal>
            <c:numRef>
              <c:f>MEXtabs!$T$26:$T$28</c:f>
              <c:numCache>
                <c:formatCode>0.00</c:formatCode>
                <c:ptCount val="3"/>
                <c:pt idx="0">
                  <c:v>46.158010183854593</c:v>
                </c:pt>
                <c:pt idx="1">
                  <c:v>45.379279329759093</c:v>
                </c:pt>
                <c:pt idx="2">
                  <c:v>44.84083069639663</c:v>
                </c:pt>
              </c:numCache>
            </c:numRef>
          </c:yVal>
          <c:smooth val="0"/>
          <c:extLst>
            <c:ext xmlns:c16="http://schemas.microsoft.com/office/drawing/2014/chart" uri="{C3380CC4-5D6E-409C-BE32-E72D297353CC}">
              <c16:uniqueId val="{00000001-F3F3-4584-9491-7969B9E73248}"/>
            </c:ext>
          </c:extLst>
        </c:ser>
        <c:ser>
          <c:idx val="6"/>
          <c:order val="2"/>
          <c:tx>
            <c:v>100 kVp</c:v>
          </c:tx>
          <c:marker>
            <c:symbol val="diamond"/>
            <c:size val="5"/>
          </c:marker>
          <c:xVal>
            <c:numRef>
              <c:f>MEXtabs!$Q$29:$Q$33</c:f>
              <c:numCache>
                <c:formatCode>General</c:formatCode>
                <c:ptCount val="5"/>
                <c:pt idx="2" formatCode="0.00">
                  <c:v>0.18268575344478749</c:v>
                </c:pt>
                <c:pt idx="3" formatCode="0.00">
                  <c:v>0.221397651099389</c:v>
                </c:pt>
                <c:pt idx="4" formatCode="0.00">
                  <c:v>0.29051611469154731</c:v>
                </c:pt>
              </c:numCache>
            </c:numRef>
          </c:xVal>
          <c:yVal>
            <c:numRef>
              <c:f>MEXtabs!$T$29:$T$33</c:f>
              <c:numCache>
                <c:formatCode>0.00</c:formatCode>
                <c:ptCount val="5"/>
                <c:pt idx="0">
                  <c:v>45.974847556635403</c:v>
                </c:pt>
                <c:pt idx="1">
                  <c:v>45.340349958431013</c:v>
                </c:pt>
                <c:pt idx="2">
                  <c:v>44.778484986701471</c:v>
                </c:pt>
                <c:pt idx="3">
                  <c:v>44.731165114354809</c:v>
                </c:pt>
                <c:pt idx="4">
                  <c:v>44.632603356945602</c:v>
                </c:pt>
              </c:numCache>
            </c:numRef>
          </c:yVal>
          <c:smooth val="0"/>
          <c:extLst>
            <c:ext xmlns:c16="http://schemas.microsoft.com/office/drawing/2014/chart" uri="{C3380CC4-5D6E-409C-BE32-E72D297353CC}">
              <c16:uniqueId val="{00000002-F3F3-4584-9491-7969B9E73248}"/>
            </c:ext>
          </c:extLst>
        </c:ser>
        <c:ser>
          <c:idx val="7"/>
          <c:order val="3"/>
          <c:tx>
            <c:v>120 kVp</c:v>
          </c:tx>
          <c:marker>
            <c:symbol val="diamond"/>
            <c:size val="5"/>
          </c:marker>
          <c:xVal>
            <c:numRef>
              <c:f>MEXtabs!$Q$34:$Q$37</c:f>
              <c:numCache>
                <c:formatCode>0.00</c:formatCode>
                <c:ptCount val="4"/>
                <c:pt idx="0">
                  <c:v>0.22971681375447262</c:v>
                </c:pt>
                <c:pt idx="1">
                  <c:v>0.28062311390349393</c:v>
                </c:pt>
                <c:pt idx="2">
                  <c:v>0.36809931938124019</c:v>
                </c:pt>
                <c:pt idx="3">
                  <c:v>0.6348381723836316</c:v>
                </c:pt>
              </c:numCache>
            </c:numRef>
          </c:xVal>
          <c:yVal>
            <c:numRef>
              <c:f>MEXtabs!$T$34:$T$37</c:f>
              <c:numCache>
                <c:formatCode>0.00</c:formatCode>
                <c:ptCount val="4"/>
                <c:pt idx="0">
                  <c:v>44.639950752706113</c:v>
                </c:pt>
                <c:pt idx="1">
                  <c:v>44.596340368679414</c:v>
                </c:pt>
                <c:pt idx="2">
                  <c:v>44.507133371596417</c:v>
                </c:pt>
                <c:pt idx="3">
                  <c:v>44.240487322441858</c:v>
                </c:pt>
              </c:numCache>
            </c:numRef>
          </c:yVal>
          <c:smooth val="0"/>
          <c:extLst>
            <c:ext xmlns:c16="http://schemas.microsoft.com/office/drawing/2014/chart" uri="{C3380CC4-5D6E-409C-BE32-E72D297353CC}">
              <c16:uniqueId val="{00000003-F3F3-4584-9491-7969B9E73248}"/>
            </c:ext>
          </c:extLst>
        </c:ser>
        <c:ser>
          <c:idx val="8"/>
          <c:order val="4"/>
          <c:tx>
            <c:v>140 kVp</c:v>
          </c:tx>
          <c:marker>
            <c:symbol val="diamond"/>
            <c:size val="5"/>
          </c:marker>
          <c:xVal>
            <c:numRef>
              <c:f>MEXtabs!$Q$38:$Q$42</c:f>
              <c:numCache>
                <c:formatCode>0.00</c:formatCode>
                <c:ptCount val="5"/>
                <c:pt idx="0">
                  <c:v>0.28214314856452327</c:v>
                </c:pt>
                <c:pt idx="1">
                  <c:v>0.34467534185441145</c:v>
                </c:pt>
                <c:pt idx="2">
                  <c:v>0.45081671702125536</c:v>
                </c:pt>
                <c:pt idx="3">
                  <c:v>0.76915213495507195</c:v>
                </c:pt>
                <c:pt idx="4">
                  <c:v>1.0269176732121137</c:v>
                </c:pt>
              </c:numCache>
            </c:numRef>
          </c:xVal>
          <c:yVal>
            <c:numRef>
              <c:f>MEXtabs!$T$38:$T$42</c:f>
              <c:numCache>
                <c:formatCode>0.00</c:formatCode>
                <c:ptCount val="5"/>
                <c:pt idx="0">
                  <c:v>44.472387610906146</c:v>
                </c:pt>
                <c:pt idx="1">
                  <c:v>44.43867098352041</c:v>
                </c:pt>
                <c:pt idx="2">
                  <c:v>44.384979291011668</c:v>
                </c:pt>
                <c:pt idx="3">
                  <c:v>44.18764444505527</c:v>
                </c:pt>
                <c:pt idx="4">
                  <c:v>43.911575134422748</c:v>
                </c:pt>
              </c:numCache>
            </c:numRef>
          </c:yVal>
          <c:smooth val="0"/>
          <c:extLst>
            <c:ext xmlns:c16="http://schemas.microsoft.com/office/drawing/2014/chart" uri="{C3380CC4-5D6E-409C-BE32-E72D297353CC}">
              <c16:uniqueId val="{00000004-F3F3-4584-9491-7969B9E73248}"/>
            </c:ext>
          </c:extLst>
        </c:ser>
        <c:ser>
          <c:idx val="9"/>
          <c:order val="5"/>
          <c:tx>
            <c:v>150 kVp</c:v>
          </c:tx>
          <c:xVal>
            <c:numRef>
              <c:f>MEXtabs!$Q$43:$Q$47</c:f>
              <c:numCache>
                <c:formatCode>0.00</c:formatCode>
                <c:ptCount val="5"/>
                <c:pt idx="0">
                  <c:v>0.37860748947727846</c:v>
                </c:pt>
                <c:pt idx="1">
                  <c:v>0.49291798086961647</c:v>
                </c:pt>
                <c:pt idx="2">
                  <c:v>0.83812332024006297</c:v>
                </c:pt>
                <c:pt idx="3">
                  <c:v>1.1251186734176981</c:v>
                </c:pt>
                <c:pt idx="4">
                  <c:v>1.3834337181000833</c:v>
                </c:pt>
              </c:numCache>
            </c:numRef>
          </c:xVal>
          <c:yVal>
            <c:numRef>
              <c:f>MEXtabs!$T$43:$T$47</c:f>
              <c:numCache>
                <c:formatCode>0.00</c:formatCode>
                <c:ptCount val="5"/>
                <c:pt idx="0">
                  <c:v>44.399662164670268</c:v>
                </c:pt>
                <c:pt idx="1">
                  <c:v>44.335713004340583</c:v>
                </c:pt>
                <c:pt idx="2">
                  <c:v>44.039866906401102</c:v>
                </c:pt>
                <c:pt idx="3">
                  <c:v>43.934594021953615</c:v>
                </c:pt>
                <c:pt idx="4">
                  <c:v>43.691969444983592</c:v>
                </c:pt>
              </c:numCache>
            </c:numRef>
          </c:yVal>
          <c:smooth val="0"/>
          <c:extLst>
            <c:ext xmlns:c16="http://schemas.microsoft.com/office/drawing/2014/chart" uri="{C3380CC4-5D6E-409C-BE32-E72D297353CC}">
              <c16:uniqueId val="{00000005-F3F3-4584-9491-7969B9E73248}"/>
            </c:ext>
          </c:extLst>
        </c:ser>
        <c:ser>
          <c:idx val="10"/>
          <c:order val="6"/>
          <c:tx>
            <c:v>200 kVp</c:v>
          </c:tx>
          <c:marker>
            <c:symbol val="diamond"/>
            <c:size val="5"/>
          </c:marker>
          <c:xVal>
            <c:numRef>
              <c:f>MEXtabs!$Q$48:$Q$52</c:f>
              <c:numCache>
                <c:formatCode>0.00</c:formatCode>
                <c:ptCount val="5"/>
                <c:pt idx="0">
                  <c:v>0.73230337407773993</c:v>
                </c:pt>
                <c:pt idx="1">
                  <c:v>1.2072306039939562</c:v>
                </c:pt>
                <c:pt idx="2">
                  <c:v>1.6296937192778045</c:v>
                </c:pt>
                <c:pt idx="3">
                  <c:v>2.0015314501377075</c:v>
                </c:pt>
                <c:pt idx="4">
                  <c:v>2.5415199349414408</c:v>
                </c:pt>
              </c:numCache>
            </c:numRef>
          </c:xVal>
          <c:yVal>
            <c:numRef>
              <c:f>MEXtabs!$T$48:$T$52</c:f>
              <c:numCache>
                <c:formatCode>0.00</c:formatCode>
                <c:ptCount val="5"/>
                <c:pt idx="0">
                  <c:v>44.064629911769998</c:v>
                </c:pt>
                <c:pt idx="1">
                  <c:v>43.783577929116746</c:v>
                </c:pt>
                <c:pt idx="2">
                  <c:v>43.690424941977597</c:v>
                </c:pt>
                <c:pt idx="3">
                  <c:v>43.576098970172843</c:v>
                </c:pt>
                <c:pt idx="4">
                  <c:v>43.485617129878449</c:v>
                </c:pt>
              </c:numCache>
            </c:numRef>
          </c:yVal>
          <c:smooth val="0"/>
          <c:extLst>
            <c:ext xmlns:c16="http://schemas.microsoft.com/office/drawing/2014/chart" uri="{C3380CC4-5D6E-409C-BE32-E72D297353CC}">
              <c16:uniqueId val="{00000006-F3F3-4584-9491-7969B9E73248}"/>
            </c:ext>
          </c:extLst>
        </c:ser>
        <c:ser>
          <c:idx val="11"/>
          <c:order val="7"/>
          <c:tx>
            <c:v>250 kVp</c:v>
          </c:tx>
          <c:marker>
            <c:symbol val="diamond"/>
            <c:size val="5"/>
          </c:marker>
          <c:xVal>
            <c:numRef>
              <c:f>MEXtabs!$Q$53:$Q$57</c:f>
              <c:numCache>
                <c:formatCode>0.00</c:formatCode>
                <c:ptCount val="5"/>
                <c:pt idx="0">
                  <c:v>1.6128041668984248</c:v>
                </c:pt>
                <c:pt idx="1">
                  <c:v>2.1356721844076167</c:v>
                </c:pt>
                <c:pt idx="2">
                  <c:v>2.5711570771389516</c:v>
                </c:pt>
                <c:pt idx="3">
                  <c:v>3.1622519161675675</c:v>
                </c:pt>
                <c:pt idx="4">
                  <c:v>3.5951513428636979</c:v>
                </c:pt>
              </c:numCache>
            </c:numRef>
          </c:xVal>
          <c:yVal>
            <c:numRef>
              <c:f>MEXtabs!$T$53:$T$57</c:f>
              <c:numCache>
                <c:formatCode>0.00</c:formatCode>
                <c:ptCount val="5"/>
                <c:pt idx="0">
                  <c:v>43.729792205959406</c:v>
                </c:pt>
                <c:pt idx="1">
                  <c:v>43.548136413860959</c:v>
                </c:pt>
                <c:pt idx="2">
                  <c:v>43.515276381229619</c:v>
                </c:pt>
                <c:pt idx="3">
                  <c:v>43.394068454781625</c:v>
                </c:pt>
                <c:pt idx="4">
                  <c:v>43.262222819513056</c:v>
                </c:pt>
              </c:numCache>
            </c:numRef>
          </c:yVal>
          <c:smooth val="0"/>
          <c:extLst>
            <c:ext xmlns:c16="http://schemas.microsoft.com/office/drawing/2014/chart" uri="{C3380CC4-5D6E-409C-BE32-E72D297353CC}">
              <c16:uniqueId val="{00000007-F3F3-4584-9491-7969B9E73248}"/>
            </c:ext>
          </c:extLst>
        </c:ser>
        <c:ser>
          <c:idx val="12"/>
          <c:order val="8"/>
          <c:tx>
            <c:v>280 kVp</c:v>
          </c:tx>
          <c:marker>
            <c:symbol val="diamond"/>
            <c:size val="5"/>
          </c:marker>
          <c:xVal>
            <c:numRef>
              <c:f>MEXtabs!$Q$58:$Q$61</c:f>
              <c:numCache>
                <c:formatCode>0.00</c:formatCode>
                <c:ptCount val="4"/>
                <c:pt idx="0">
                  <c:v>2.4331518775712206</c:v>
                </c:pt>
                <c:pt idx="1">
                  <c:v>2.8808623211292477</c:v>
                </c:pt>
                <c:pt idx="2">
                  <c:v>3.5006101210159413</c:v>
                </c:pt>
                <c:pt idx="3">
                  <c:v>3.9334817438945446</c:v>
                </c:pt>
              </c:numCache>
            </c:numRef>
          </c:xVal>
          <c:yVal>
            <c:numRef>
              <c:f>MEXtabs!$T$58:$T$61</c:f>
              <c:numCache>
                <c:formatCode>0.00</c:formatCode>
                <c:ptCount val="4"/>
                <c:pt idx="0">
                  <c:v>43.547872255342405</c:v>
                </c:pt>
                <c:pt idx="1">
                  <c:v>43.417032551541674</c:v>
                </c:pt>
                <c:pt idx="2">
                  <c:v>43.332123291107912</c:v>
                </c:pt>
                <c:pt idx="3">
                  <c:v>43.249584769166603</c:v>
                </c:pt>
              </c:numCache>
            </c:numRef>
          </c:yVal>
          <c:smooth val="0"/>
          <c:extLst>
            <c:ext xmlns:c16="http://schemas.microsoft.com/office/drawing/2014/chart" uri="{C3380CC4-5D6E-409C-BE32-E72D297353CC}">
              <c16:uniqueId val="{00000008-F3F3-4584-9491-7969B9E73248}"/>
            </c:ext>
          </c:extLst>
        </c:ser>
        <c:ser>
          <c:idx val="13"/>
          <c:order val="9"/>
          <c:tx>
            <c:v>300 kVp</c:v>
          </c:tx>
          <c:marker>
            <c:symbol val="diamond"/>
            <c:size val="5"/>
          </c:marker>
          <c:xVal>
            <c:numRef>
              <c:f>MEXtabs!$Q$62:$Q$64</c:f>
              <c:numCache>
                <c:formatCode>0.00</c:formatCode>
                <c:ptCount val="3"/>
                <c:pt idx="0">
                  <c:v>3.0951576375640011</c:v>
                </c:pt>
                <c:pt idx="1">
                  <c:v>3.7047905897248823</c:v>
                </c:pt>
                <c:pt idx="2">
                  <c:v>4.1453765509423093</c:v>
                </c:pt>
              </c:numCache>
            </c:numRef>
          </c:xVal>
          <c:yVal>
            <c:numRef>
              <c:f>MEXtabs!$T$62:$T$64</c:f>
              <c:numCache>
                <c:formatCode>0.00</c:formatCode>
                <c:ptCount val="3"/>
                <c:pt idx="0">
                  <c:v>43.359289173851359</c:v>
                </c:pt>
                <c:pt idx="1">
                  <c:v>43.270125968459105</c:v>
                </c:pt>
                <c:pt idx="2">
                  <c:v>43.133978014768623</c:v>
                </c:pt>
              </c:numCache>
            </c:numRef>
          </c:yVal>
          <c:smooth val="0"/>
          <c:extLst>
            <c:ext xmlns:c16="http://schemas.microsoft.com/office/drawing/2014/chart" uri="{C3380CC4-5D6E-409C-BE32-E72D297353CC}">
              <c16:uniqueId val="{00000009-F3F3-4584-9491-7969B9E73248}"/>
            </c:ext>
          </c:extLst>
        </c:ser>
        <c:ser>
          <c:idx val="14"/>
          <c:order val="10"/>
          <c:tx>
            <c:v>320 kVp</c:v>
          </c:tx>
          <c:marker>
            <c:symbol val="diamond"/>
            <c:size val="5"/>
          </c:marker>
          <c:xVal>
            <c:numRef>
              <c:f>MEXtabs!$Q$65:$Q$66</c:f>
              <c:numCache>
                <c:formatCode>0.00</c:formatCode>
                <c:ptCount val="2"/>
                <c:pt idx="0">
                  <c:v>3.8972650748324895</c:v>
                </c:pt>
                <c:pt idx="1">
                  <c:v>4.335531420085327</c:v>
                </c:pt>
              </c:numCache>
            </c:numRef>
          </c:xVal>
          <c:yVal>
            <c:numRef>
              <c:f>MEXtabs!$T$65:$T$66</c:f>
              <c:numCache>
                <c:formatCode>0.00</c:formatCode>
                <c:ptCount val="2"/>
                <c:pt idx="0">
                  <c:v>43.131780217598909</c:v>
                </c:pt>
                <c:pt idx="1">
                  <c:v>43.048524810446899</c:v>
                </c:pt>
              </c:numCache>
            </c:numRef>
          </c:yVal>
          <c:smooth val="0"/>
          <c:extLst>
            <c:ext xmlns:c16="http://schemas.microsoft.com/office/drawing/2014/chart" uri="{C3380CC4-5D6E-409C-BE32-E72D297353CC}">
              <c16:uniqueId val="{0000000A-F3F3-4584-9491-7969B9E73248}"/>
            </c:ext>
          </c:extLst>
        </c:ser>
        <c:dLbls>
          <c:showLegendKey val="0"/>
          <c:showVal val="0"/>
          <c:showCatName val="0"/>
          <c:showSerName val="0"/>
          <c:showPercent val="0"/>
          <c:showBubbleSize val="0"/>
        </c:dLbls>
        <c:axId val="354687512"/>
        <c:axId val="1"/>
      </c:scatterChart>
      <c:valAx>
        <c:axId val="354687512"/>
        <c:scaling>
          <c:orientation val="minMax"/>
        </c:scaling>
        <c:delete val="0"/>
        <c:axPos val="b"/>
        <c:title>
          <c:tx>
            <c:rich>
              <a:bodyPr/>
              <a:lstStyle/>
              <a:p>
                <a:pPr>
                  <a:defRPr sz="1100" b="1" i="0" u="none" strike="noStrike" baseline="0">
                    <a:solidFill>
                      <a:srgbClr val="000000"/>
                    </a:solidFill>
                    <a:latin typeface="Calibri"/>
                    <a:ea typeface="Calibri"/>
                    <a:cs typeface="Calibri"/>
                  </a:defRPr>
                </a:pPr>
                <a:r>
                  <a:rPr lang="en-AU"/>
                  <a:t>HVL (mm Cu)</a:t>
                </a:r>
              </a:p>
            </c:rich>
          </c:tx>
          <c:overlay val="0"/>
        </c:title>
        <c:numFmt formatCode="0.00" sourceLinked="1"/>
        <c:majorTickMark val="out"/>
        <c:minorTickMark val="none"/>
        <c:tickLblPos val="nextTo"/>
        <c:spPr>
          <a:ln>
            <a:solidFill>
              <a:schemeClr val="tx1"/>
            </a:solidFill>
          </a:ln>
        </c:spPr>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scaling>
        <c:delete val="0"/>
        <c:axPos val="l"/>
        <c:majorGridlines>
          <c:spPr>
            <a:ln>
              <a:prstDash val="dash"/>
            </a:ln>
          </c:spPr>
        </c:majorGridlines>
        <c:title>
          <c:tx>
            <c:rich>
              <a:bodyPr/>
              <a:lstStyle/>
              <a:p>
                <a:pPr>
                  <a:defRPr sz="1100" b="0" i="0" u="none" strike="noStrike" baseline="0">
                    <a:solidFill>
                      <a:srgbClr val="000000"/>
                    </a:solidFill>
                    <a:latin typeface="Calibri"/>
                    <a:ea typeface="Calibri"/>
                    <a:cs typeface="Calibri"/>
                  </a:defRPr>
                </a:pPr>
                <a:r>
                  <a:rPr lang="en-AU" sz="1100" b="1" i="1" u="none" strike="noStrike" baseline="0">
                    <a:solidFill>
                      <a:srgbClr val="000000"/>
                    </a:solidFill>
                    <a:latin typeface="Calibri"/>
                    <a:cs typeface="Calibri"/>
                  </a:rPr>
                  <a:t>N</a:t>
                </a:r>
                <a:r>
                  <a:rPr lang="en-AU" sz="1100" b="1" i="0" u="none" strike="noStrike" baseline="-25000">
                    <a:solidFill>
                      <a:srgbClr val="000000"/>
                    </a:solidFill>
                    <a:latin typeface="Calibri"/>
                    <a:cs typeface="Calibri"/>
                  </a:rPr>
                  <a:t>K</a:t>
                </a:r>
                <a:r>
                  <a:rPr lang="en-AU" sz="1100" b="1" i="0" u="none" strike="noStrike" baseline="0">
                    <a:solidFill>
                      <a:srgbClr val="000000"/>
                    </a:solidFill>
                    <a:latin typeface="Calibri"/>
                    <a:cs typeface="Calibri"/>
                  </a:rPr>
                  <a:t> (mGy/nC)</a:t>
                </a:r>
              </a:p>
            </c:rich>
          </c:tx>
          <c:overlay val="0"/>
        </c:title>
        <c:numFmt formatCode="#,##0.0" sourceLinked="0"/>
        <c:majorTickMark val="out"/>
        <c:minorTickMark val="none"/>
        <c:tickLblPos val="nextTo"/>
        <c:spPr>
          <a:ln>
            <a:solidFill>
              <a:schemeClr val="tx1"/>
            </a:solidFill>
          </a:ln>
        </c:spPr>
        <c:txPr>
          <a:bodyPr rot="0" vert="horz"/>
          <a:lstStyle/>
          <a:p>
            <a:pPr>
              <a:defRPr sz="1000" b="0" i="0" u="none" strike="noStrike" baseline="0">
                <a:solidFill>
                  <a:srgbClr val="000000"/>
                </a:solidFill>
                <a:latin typeface="Calibri"/>
                <a:ea typeface="Calibri"/>
                <a:cs typeface="Calibri"/>
              </a:defRPr>
            </a:pPr>
            <a:endParaRPr lang="en-US"/>
          </a:p>
        </c:txPr>
        <c:crossAx val="354687512"/>
        <c:crosses val="autoZero"/>
        <c:crossBetween val="midCat"/>
      </c:valAx>
      <c:spPr>
        <a:ln>
          <a:solidFill>
            <a:schemeClr val="tx1"/>
          </a:solidFill>
        </a:ln>
      </c:spPr>
    </c:plotArea>
    <c:legend>
      <c:legendPos val="r"/>
      <c:layout>
        <c:manualLayout>
          <c:xMode val="edge"/>
          <c:yMode val="edge"/>
          <c:x val="0.58401356437296892"/>
          <c:y val="5.3824362606232294E-2"/>
          <c:w val="0.313213874366846"/>
          <c:h val="0.39093484419263458"/>
        </c:manualLayout>
      </c:layout>
      <c:overlay val="0"/>
      <c:spPr>
        <a:solidFill>
          <a:schemeClr val="bg1"/>
        </a:solidFill>
        <a:ln>
          <a:solidFill>
            <a:schemeClr val="accent1"/>
          </a:solidFill>
        </a:ln>
      </c:spPr>
      <c:txPr>
        <a:bodyPr/>
        <a:lstStyle/>
        <a:p>
          <a:pPr>
            <a:defRPr sz="1000" b="0" i="0" u="none" strike="noStrike" baseline="0">
              <a:solidFill>
                <a:srgbClr val="000000"/>
              </a:solidFill>
              <a:latin typeface="Calibri"/>
              <a:ea typeface="Calibri"/>
              <a:cs typeface="Calibri"/>
            </a:defRPr>
          </a:pPr>
          <a:endParaRPr lang="en-US"/>
        </a:p>
      </c:txPr>
    </c:legend>
    <c:plotVisOnly val="1"/>
    <c:dispBlanksAs val="gap"/>
    <c:showDLblsOverMax val="0"/>
  </c:chart>
  <c:spPr>
    <a:ln>
      <a:noFill/>
    </a:ln>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454551255410631"/>
          <c:y val="9.0615173111262104E-2"/>
          <c:w val="0.57954577611515457"/>
          <c:h val="0.71521261634246169"/>
        </c:manualLayout>
      </c:layout>
      <c:scatterChart>
        <c:scatterStyle val="smoothMarker"/>
        <c:varyColors val="0"/>
        <c:ser>
          <c:idx val="1"/>
          <c:order val="0"/>
          <c:tx>
            <c:strRef>
              <c:f>LEX!$R$33</c:f>
              <c:strCache>
                <c:ptCount val="1"/>
                <c:pt idx="0">
                  <c:v>CAL11957 Set 1</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xVal>
            <c:numRef>
              <c:f>LEX!$C$12:$C$19</c:f>
              <c:numCache>
                <c:formatCode>0</c:formatCode>
                <c:ptCount val="8"/>
                <c:pt idx="0">
                  <c:v>10.715034633700199</c:v>
                </c:pt>
                <c:pt idx="1">
                  <c:v>13.045582615844445</c:v>
                </c:pt>
                <c:pt idx="2">
                  <c:v>15.536348350319368</c:v>
                </c:pt>
                <c:pt idx="3">
                  <c:v>18.073668611174138</c:v>
                </c:pt>
                <c:pt idx="4">
                  <c:v>20.944048859773055</c:v>
                </c:pt>
                <c:pt idx="5">
                  <c:v>24.888652342138169</c:v>
                </c:pt>
                <c:pt idx="6">
                  <c:v>30.042011022245948</c:v>
                </c:pt>
                <c:pt idx="7">
                  <c:v>49</c:v>
                </c:pt>
              </c:numCache>
            </c:numRef>
          </c:xVal>
          <c:yVal>
            <c:numRef>
              <c:f>LEX!$D$12:$D$19</c:f>
              <c:numCache>
                <c:formatCode>0.0</c:formatCode>
                <c:ptCount val="8"/>
              </c:numCache>
            </c:numRef>
          </c:yVal>
          <c:smooth val="0"/>
          <c:extLst>
            <c:ext xmlns:c16="http://schemas.microsoft.com/office/drawing/2014/chart" uri="{C3380CC4-5D6E-409C-BE32-E72D297353CC}">
              <c16:uniqueId val="{00000000-9E2B-49AE-8F43-9C0533FFAEAA}"/>
            </c:ext>
          </c:extLst>
        </c:ser>
        <c:ser>
          <c:idx val="2"/>
          <c:order val="1"/>
          <c:tx>
            <c:strRef>
              <c:f>LEX!$R$34</c:f>
              <c:strCache>
                <c:ptCount val="1"/>
                <c:pt idx="0">
                  <c:v>CAL11957 Set 2</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xVal>
            <c:numRef>
              <c:f>LEX!$C$12:$C$19</c:f>
              <c:numCache>
                <c:formatCode>0</c:formatCode>
                <c:ptCount val="8"/>
                <c:pt idx="0">
                  <c:v>10.715034633700199</c:v>
                </c:pt>
                <c:pt idx="1">
                  <c:v>13.045582615844445</c:v>
                </c:pt>
                <c:pt idx="2">
                  <c:v>15.536348350319368</c:v>
                </c:pt>
                <c:pt idx="3">
                  <c:v>18.073668611174138</c:v>
                </c:pt>
                <c:pt idx="4">
                  <c:v>20.944048859773055</c:v>
                </c:pt>
                <c:pt idx="5">
                  <c:v>24.888652342138169</c:v>
                </c:pt>
                <c:pt idx="6">
                  <c:v>30.042011022245948</c:v>
                </c:pt>
                <c:pt idx="7">
                  <c:v>49</c:v>
                </c:pt>
              </c:numCache>
            </c:numRef>
          </c:xVal>
          <c:yVal>
            <c:numRef>
              <c:f>LEX!$E$12:$E$19</c:f>
              <c:numCache>
                <c:formatCode>0.0</c:formatCode>
                <c:ptCount val="8"/>
              </c:numCache>
            </c:numRef>
          </c:yVal>
          <c:smooth val="0"/>
          <c:extLst>
            <c:ext xmlns:c16="http://schemas.microsoft.com/office/drawing/2014/chart" uri="{C3380CC4-5D6E-409C-BE32-E72D297353CC}">
              <c16:uniqueId val="{00000001-9E2B-49AE-8F43-9C0533FFAEAA}"/>
            </c:ext>
          </c:extLst>
        </c:ser>
        <c:ser>
          <c:idx val="3"/>
          <c:order val="2"/>
          <c:tx>
            <c:strRef>
              <c:f>LEX!$R$35</c:f>
              <c:strCache>
                <c:ptCount val="1"/>
                <c:pt idx="0">
                  <c:v>CAL11957 Set 3</c:v>
                </c:pt>
              </c:strCache>
            </c:strRef>
          </c:tx>
          <c:spPr>
            <a:ln w="12700">
              <a:solidFill>
                <a:srgbClr val="00FFFF"/>
              </a:solidFill>
              <a:prstDash val="solid"/>
            </a:ln>
          </c:spPr>
          <c:marker>
            <c:symbol val="x"/>
            <c:size val="5"/>
            <c:spPr>
              <a:noFill/>
              <a:ln>
                <a:solidFill>
                  <a:srgbClr val="00FFFF"/>
                </a:solidFill>
                <a:prstDash val="solid"/>
              </a:ln>
            </c:spPr>
          </c:marker>
          <c:xVal>
            <c:numRef>
              <c:f>LEX!$C$12:$C$19</c:f>
              <c:numCache>
                <c:formatCode>0</c:formatCode>
                <c:ptCount val="8"/>
                <c:pt idx="0">
                  <c:v>10.715034633700199</c:v>
                </c:pt>
                <c:pt idx="1">
                  <c:v>13.045582615844445</c:v>
                </c:pt>
                <c:pt idx="2">
                  <c:v>15.536348350319368</c:v>
                </c:pt>
                <c:pt idx="3">
                  <c:v>18.073668611174138</c:v>
                </c:pt>
                <c:pt idx="4">
                  <c:v>20.944048859773055</c:v>
                </c:pt>
                <c:pt idx="5">
                  <c:v>24.888652342138169</c:v>
                </c:pt>
                <c:pt idx="6">
                  <c:v>30.042011022245948</c:v>
                </c:pt>
                <c:pt idx="7">
                  <c:v>49</c:v>
                </c:pt>
              </c:numCache>
            </c:numRef>
          </c:xVal>
          <c:yVal>
            <c:numRef>
              <c:f>LEX!$G$12:$G$19</c:f>
              <c:numCache>
                <c:formatCode>0.0</c:formatCode>
                <c:ptCount val="8"/>
              </c:numCache>
            </c:numRef>
          </c:yVal>
          <c:smooth val="0"/>
          <c:extLst>
            <c:ext xmlns:c16="http://schemas.microsoft.com/office/drawing/2014/chart" uri="{C3380CC4-5D6E-409C-BE32-E72D297353CC}">
              <c16:uniqueId val="{00000002-9E2B-49AE-8F43-9C0533FFAEAA}"/>
            </c:ext>
          </c:extLst>
        </c:ser>
        <c:ser>
          <c:idx val="5"/>
          <c:order val="3"/>
          <c:tx>
            <c:strRef>
              <c:f>LEX!$R$36</c:f>
              <c:strCache>
                <c:ptCount val="1"/>
                <c:pt idx="0">
                  <c:v>CAL11957 Set 4</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xVal>
            <c:numRef>
              <c:f>LEX!$C$12:$C$19</c:f>
              <c:numCache>
                <c:formatCode>0</c:formatCode>
                <c:ptCount val="8"/>
                <c:pt idx="0">
                  <c:v>10.715034633700199</c:v>
                </c:pt>
                <c:pt idx="1">
                  <c:v>13.045582615844445</c:v>
                </c:pt>
                <c:pt idx="2">
                  <c:v>15.536348350319368</c:v>
                </c:pt>
                <c:pt idx="3">
                  <c:v>18.073668611174138</c:v>
                </c:pt>
                <c:pt idx="4">
                  <c:v>20.944048859773055</c:v>
                </c:pt>
                <c:pt idx="5">
                  <c:v>24.888652342138169</c:v>
                </c:pt>
                <c:pt idx="6">
                  <c:v>30.042011022245948</c:v>
                </c:pt>
                <c:pt idx="7">
                  <c:v>49</c:v>
                </c:pt>
              </c:numCache>
            </c:numRef>
          </c:xVal>
          <c:yVal>
            <c:numRef>
              <c:f>LEX!$I$12:$I$19</c:f>
              <c:numCache>
                <c:formatCode>0.0</c:formatCode>
                <c:ptCount val="8"/>
              </c:numCache>
            </c:numRef>
          </c:yVal>
          <c:smooth val="0"/>
          <c:extLst>
            <c:ext xmlns:c16="http://schemas.microsoft.com/office/drawing/2014/chart" uri="{C3380CC4-5D6E-409C-BE32-E72D297353CC}">
              <c16:uniqueId val="{00000003-9E2B-49AE-8F43-9C0533FFAEAA}"/>
            </c:ext>
          </c:extLst>
        </c:ser>
        <c:ser>
          <c:idx val="0"/>
          <c:order val="4"/>
          <c:tx>
            <c:strRef>
              <c:f>LEX!$R$37</c:f>
              <c:strCache>
                <c:ptCount val="1"/>
                <c:pt idx="0">
                  <c:v>Previous ()</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xVal>
            <c:numRef>
              <c:f>LEX!$C$12:$C$19</c:f>
              <c:numCache>
                <c:formatCode>0</c:formatCode>
                <c:ptCount val="8"/>
                <c:pt idx="0">
                  <c:v>10.715034633700199</c:v>
                </c:pt>
                <c:pt idx="1">
                  <c:v>13.045582615844445</c:v>
                </c:pt>
                <c:pt idx="2">
                  <c:v>15.536348350319368</c:v>
                </c:pt>
                <c:pt idx="3">
                  <c:v>18.073668611174138</c:v>
                </c:pt>
                <c:pt idx="4">
                  <c:v>20.944048859773055</c:v>
                </c:pt>
                <c:pt idx="5">
                  <c:v>24.888652342138169</c:v>
                </c:pt>
                <c:pt idx="6">
                  <c:v>30.042011022245948</c:v>
                </c:pt>
                <c:pt idx="7">
                  <c:v>49</c:v>
                </c:pt>
              </c:numCache>
            </c:numRef>
          </c:xVal>
          <c:yVal>
            <c:numRef>
              <c:f>LEX!$P$12:$P$19</c:f>
              <c:numCache>
                <c:formatCode>0.0</c:formatCode>
                <c:ptCount val="8"/>
              </c:numCache>
            </c:numRef>
          </c:yVal>
          <c:smooth val="0"/>
          <c:extLst>
            <c:ext xmlns:c16="http://schemas.microsoft.com/office/drawing/2014/chart" uri="{C3380CC4-5D6E-409C-BE32-E72D297353CC}">
              <c16:uniqueId val="{00000004-9E2B-49AE-8F43-9C0533FFAEAA}"/>
            </c:ext>
          </c:extLst>
        </c:ser>
        <c:ser>
          <c:idx val="4"/>
          <c:order val="5"/>
          <c:tx>
            <c:strRef>
              <c:f>LEX!$R$38</c:f>
              <c:strCache>
                <c:ptCount val="1"/>
                <c:pt idx="0">
                  <c:v>QA chamber </c:v>
                </c:pt>
              </c:strCache>
            </c:strRef>
          </c:tx>
          <c:spPr>
            <a:ln w="12700">
              <a:solidFill>
                <a:srgbClr val="800080"/>
              </a:solidFill>
              <a:prstDash val="solid"/>
            </a:ln>
          </c:spPr>
          <c:marker>
            <c:symbol val="star"/>
            <c:size val="5"/>
            <c:spPr>
              <a:noFill/>
              <a:ln>
                <a:solidFill>
                  <a:srgbClr val="800080"/>
                </a:solidFill>
                <a:prstDash val="solid"/>
              </a:ln>
            </c:spPr>
          </c:marker>
          <c:xVal>
            <c:numRef>
              <c:f>LEX!$C$12:$C$19</c:f>
              <c:numCache>
                <c:formatCode>0</c:formatCode>
                <c:ptCount val="8"/>
                <c:pt idx="0">
                  <c:v>10.715034633700199</c:v>
                </c:pt>
                <c:pt idx="1">
                  <c:v>13.045582615844445</c:v>
                </c:pt>
                <c:pt idx="2">
                  <c:v>15.536348350319368</c:v>
                </c:pt>
                <c:pt idx="3">
                  <c:v>18.073668611174138</c:v>
                </c:pt>
                <c:pt idx="4">
                  <c:v>20.944048859773055</c:v>
                </c:pt>
                <c:pt idx="5">
                  <c:v>24.888652342138169</c:v>
                </c:pt>
                <c:pt idx="6">
                  <c:v>30.042011022245948</c:v>
                </c:pt>
                <c:pt idx="7">
                  <c:v>49</c:v>
                </c:pt>
              </c:numCache>
            </c:numRef>
          </c:xVal>
          <c:yVal>
            <c:numRef>
              <c:f>LEX!$S$12:$S$19</c:f>
              <c:numCache>
                <c:formatCode>0.0</c:formatCode>
                <c:ptCount val="8"/>
              </c:numCache>
            </c:numRef>
          </c:yVal>
          <c:smooth val="0"/>
          <c:extLst>
            <c:ext xmlns:c16="http://schemas.microsoft.com/office/drawing/2014/chart" uri="{C3380CC4-5D6E-409C-BE32-E72D297353CC}">
              <c16:uniqueId val="{00000005-9E2B-49AE-8F43-9C0533FFAEAA}"/>
            </c:ext>
          </c:extLst>
        </c:ser>
        <c:dLbls>
          <c:showLegendKey val="0"/>
          <c:showVal val="0"/>
          <c:showCatName val="0"/>
          <c:showSerName val="0"/>
          <c:showPercent val="0"/>
          <c:showBubbleSize val="0"/>
        </c:dLbls>
        <c:axId val="348581824"/>
        <c:axId val="1"/>
      </c:scatterChart>
      <c:valAx>
        <c:axId val="348581824"/>
        <c:scaling>
          <c:orientation val="minMax"/>
        </c:scaling>
        <c:delete val="0"/>
        <c:axPos val="b"/>
        <c:title>
          <c:tx>
            <c:rich>
              <a:bodyPr/>
              <a:lstStyle/>
              <a:p>
                <a:pPr>
                  <a:defRPr sz="1200" b="1" i="0" u="none" strike="noStrike" baseline="0">
                    <a:solidFill>
                      <a:srgbClr val="000000"/>
                    </a:solidFill>
                    <a:latin typeface="Arial"/>
                    <a:ea typeface="Arial"/>
                    <a:cs typeface="Arial"/>
                  </a:defRPr>
                </a:pPr>
                <a:r>
                  <a:rPr lang="en-AU"/>
                  <a:t>Effective Energy (keV)</a:t>
                </a:r>
              </a:p>
            </c:rich>
          </c:tx>
          <c:layout>
            <c:manualLayout>
              <c:xMode val="edge"/>
              <c:yMode val="edge"/>
              <c:x val="0.2954546157920736"/>
              <c:y val="0.89320644522083747"/>
            </c:manualLayout>
          </c:layout>
          <c:overlay val="0"/>
          <c:spPr>
            <a:noFill/>
            <a:ln w="25400">
              <a:noFill/>
            </a:ln>
          </c:spPr>
        </c:title>
        <c:numFmt formatCode="0"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max val="1227.3634651603277"/>
          <c:min val="979"/>
        </c:scaling>
        <c:delete val="0"/>
        <c:axPos val="l"/>
        <c:majorGridlines>
          <c:spPr>
            <a:ln w="3175">
              <a:solidFill>
                <a:srgbClr val="000000"/>
              </a:solidFill>
              <a:prstDash val="sysDash"/>
            </a:ln>
          </c:spPr>
        </c:majorGridlines>
        <c:title>
          <c:tx>
            <c:rich>
              <a:bodyPr/>
              <a:lstStyle/>
              <a:p>
                <a:pPr>
                  <a:defRPr sz="1200" b="1" i="0" u="none" strike="noStrike" baseline="0">
                    <a:solidFill>
                      <a:srgbClr val="000000"/>
                    </a:solidFill>
                    <a:latin typeface="Arial"/>
                    <a:ea typeface="Arial"/>
                    <a:cs typeface="Arial"/>
                  </a:defRPr>
                </a:pPr>
                <a:r>
                  <a:rPr lang="en-AU"/>
                  <a:t>Calibration factor (mGy/nC)</a:t>
                </a:r>
              </a:p>
            </c:rich>
          </c:tx>
          <c:layout>
            <c:manualLayout>
              <c:xMode val="edge"/>
              <c:yMode val="edge"/>
              <c:x val="1.8181774897185473E-2"/>
              <c:y val="0.10356016756183622"/>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348581824"/>
        <c:crosses val="autoZero"/>
        <c:crossBetween val="midCat"/>
      </c:valAx>
      <c:spPr>
        <a:noFill/>
        <a:ln w="12700">
          <a:solidFill>
            <a:srgbClr val="808080"/>
          </a:solidFill>
          <a:prstDash val="solid"/>
        </a:ln>
      </c:spPr>
    </c:plotArea>
    <c:legend>
      <c:legendPos val="r"/>
      <c:layout>
        <c:manualLayout>
          <c:xMode val="edge"/>
          <c:yMode val="edge"/>
          <c:x val="0.76704590497616376"/>
          <c:y val="8.0906293998018464E-2"/>
          <c:w val="0.20795471994572101"/>
          <c:h val="0.83495402478663672"/>
        </c:manualLayout>
      </c:layout>
      <c:overlay val="0"/>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verticalDpi="2"/>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1891891891891893"/>
          <c:y val="4.9713239529718428E-2"/>
          <c:w val="0.83783783783783783"/>
          <c:h val="0.80879616619503447"/>
        </c:manualLayout>
      </c:layout>
      <c:scatterChart>
        <c:scatterStyle val="lineMarker"/>
        <c:varyColors val="0"/>
        <c:ser>
          <c:idx val="0"/>
          <c:order val="0"/>
          <c:tx>
            <c:v>ARPANSA qualities</c:v>
          </c:tx>
          <c:spPr>
            <a:ln w="12700">
              <a:solidFill>
                <a:srgbClr val="000080"/>
              </a:solidFill>
              <a:prstDash val="solid"/>
            </a:ln>
          </c:spPr>
          <c:marker>
            <c:symbol val="diamond"/>
            <c:size val="5"/>
            <c:spPr>
              <a:solidFill>
                <a:srgbClr val="000080"/>
              </a:solidFill>
              <a:ln>
                <a:solidFill>
                  <a:srgbClr val="000080"/>
                </a:solidFill>
                <a:prstDash val="solid"/>
              </a:ln>
            </c:spPr>
          </c:marker>
          <c:xVal>
            <c:numRef>
              <c:f>'MV-P'!$P$13:$P$16</c:f>
              <c:numCache>
                <c:formatCode>General</c:formatCode>
                <c:ptCount val="4"/>
                <c:pt idx="0">
                  <c:v>0.56899999999999995</c:v>
                </c:pt>
                <c:pt idx="1">
                  <c:v>0.68400000000000005</c:v>
                </c:pt>
                <c:pt idx="2">
                  <c:v>0.73299999999999998</c:v>
                </c:pt>
                <c:pt idx="3">
                  <c:v>0.77900000000000003</c:v>
                </c:pt>
              </c:numCache>
            </c:numRef>
          </c:xVal>
          <c:yVal>
            <c:numRef>
              <c:f>'MV-P'!$Q$13:$Q$16</c:f>
              <c:numCache>
                <c:formatCode>0.00</c:formatCode>
                <c:ptCount val="4"/>
                <c:pt idx="0" formatCode="0.000">
                  <c:v>0</c:v>
                </c:pt>
                <c:pt idx="1">
                  <c:v>0</c:v>
                </c:pt>
                <c:pt idx="2">
                  <c:v>0</c:v>
                </c:pt>
                <c:pt idx="3">
                  <c:v>0</c:v>
                </c:pt>
              </c:numCache>
            </c:numRef>
          </c:yVal>
          <c:smooth val="0"/>
          <c:extLst>
            <c:ext xmlns:c16="http://schemas.microsoft.com/office/drawing/2014/chart" uri="{C3380CC4-5D6E-409C-BE32-E72D297353CC}">
              <c16:uniqueId val="{00000000-A5CE-48E9-9449-83FB9418C0A9}"/>
            </c:ext>
          </c:extLst>
        </c:ser>
        <c:ser>
          <c:idx val="1"/>
          <c:order val="1"/>
          <c:tx>
            <c:v>Client qualities</c:v>
          </c:tx>
          <c:spPr>
            <a:ln w="12700">
              <a:solidFill>
                <a:srgbClr val="FF00FF"/>
              </a:solidFill>
              <a:prstDash val="solid"/>
            </a:ln>
          </c:spPr>
          <c:marker>
            <c:symbol val="square"/>
            <c:size val="5"/>
            <c:spPr>
              <a:solidFill>
                <a:srgbClr val="FF00FF"/>
              </a:solidFill>
              <a:ln>
                <a:solidFill>
                  <a:srgbClr val="FF00FF"/>
                </a:solidFill>
                <a:prstDash val="solid"/>
              </a:ln>
            </c:spPr>
          </c:marker>
          <c:xVal>
            <c:numRef>
              <c:f>'MV-P'!$L$22:$L$25</c:f>
              <c:numCache>
                <c:formatCode>General</c:formatCode>
                <c:ptCount val="4"/>
                <c:pt idx="0">
                  <c:v>0.68400000000000005</c:v>
                </c:pt>
                <c:pt idx="1">
                  <c:v>0.73299999999999998</c:v>
                </c:pt>
                <c:pt idx="2">
                  <c:v>0.77900000000000003</c:v>
                </c:pt>
              </c:numCache>
            </c:numRef>
          </c:xVal>
          <c:yVal>
            <c:numRef>
              <c:f>'MV-P'!$M$22:$M$25</c:f>
              <c:numCache>
                <c:formatCode>0.00</c:formatCode>
                <c:ptCount val="4"/>
                <c:pt idx="0">
                  <c:v>0</c:v>
                </c:pt>
                <c:pt idx="1">
                  <c:v>0</c:v>
                </c:pt>
                <c:pt idx="2">
                  <c:v>0</c:v>
                </c:pt>
              </c:numCache>
            </c:numRef>
          </c:yVal>
          <c:smooth val="0"/>
          <c:extLst>
            <c:ext xmlns:c16="http://schemas.microsoft.com/office/drawing/2014/chart" uri="{C3380CC4-5D6E-409C-BE32-E72D297353CC}">
              <c16:uniqueId val="{00000001-A5CE-48E9-9449-83FB9418C0A9}"/>
            </c:ext>
          </c:extLst>
        </c:ser>
        <c:ser>
          <c:idx val="2"/>
          <c:order val="2"/>
          <c:tx>
            <c:v>Muir MC kQ</c:v>
          </c:tx>
          <c:spPr>
            <a:ln w="12700">
              <a:solidFill>
                <a:srgbClr val="FF6600"/>
              </a:solidFill>
              <a:prstDash val="solid"/>
            </a:ln>
          </c:spPr>
          <c:marker>
            <c:symbol val="triangle"/>
            <c:size val="5"/>
            <c:spPr>
              <a:solidFill>
                <a:srgbClr val="FF6600"/>
              </a:solidFill>
              <a:ln>
                <a:solidFill>
                  <a:srgbClr val="FF6600"/>
                </a:solidFill>
                <a:prstDash val="solid"/>
              </a:ln>
            </c:spPr>
          </c:marker>
          <c:xVal>
            <c:numRef>
              <c:f>'MV-P'!$L$22:$L$25</c:f>
              <c:numCache>
                <c:formatCode>General</c:formatCode>
                <c:ptCount val="4"/>
                <c:pt idx="0">
                  <c:v>0.68400000000000005</c:v>
                </c:pt>
                <c:pt idx="1">
                  <c:v>0.73299999999999998</c:v>
                </c:pt>
                <c:pt idx="2">
                  <c:v>0.77900000000000003</c:v>
                </c:pt>
              </c:numCache>
            </c:numRef>
          </c:xVal>
          <c:yVal>
            <c:numRef>
              <c:f>'MV-P'!$O$22:$O$25</c:f>
              <c:numCache>
                <c:formatCode>0.00</c:formatCode>
                <c:ptCount val="4"/>
                <c:pt idx="0">
                  <c:v>0</c:v>
                </c:pt>
                <c:pt idx="1">
                  <c:v>0</c:v>
                </c:pt>
                <c:pt idx="2">
                  <c:v>0</c:v>
                </c:pt>
              </c:numCache>
            </c:numRef>
          </c:yVal>
          <c:smooth val="0"/>
          <c:extLst>
            <c:ext xmlns:c16="http://schemas.microsoft.com/office/drawing/2014/chart" uri="{C3380CC4-5D6E-409C-BE32-E72D297353CC}">
              <c16:uniqueId val="{00000002-A5CE-48E9-9449-83FB9418C0A9}"/>
            </c:ext>
          </c:extLst>
        </c:ser>
        <c:ser>
          <c:idx val="3"/>
          <c:order val="3"/>
          <c:tx>
            <c:v>TRS-398</c:v>
          </c:tx>
          <c:spPr>
            <a:ln w="12700">
              <a:solidFill>
                <a:srgbClr val="008000"/>
              </a:solidFill>
              <a:prstDash val="solid"/>
            </a:ln>
          </c:spPr>
          <c:marker>
            <c:symbol val="x"/>
            <c:size val="4"/>
            <c:spPr>
              <a:solidFill>
                <a:srgbClr val="008000"/>
              </a:solidFill>
              <a:ln>
                <a:solidFill>
                  <a:srgbClr val="008000"/>
                </a:solidFill>
                <a:prstDash val="solid"/>
              </a:ln>
            </c:spPr>
          </c:marker>
          <c:xVal>
            <c:numRef>
              <c:f>'MV-P'!$L$22:$L$25</c:f>
              <c:numCache>
                <c:formatCode>General</c:formatCode>
                <c:ptCount val="4"/>
                <c:pt idx="0">
                  <c:v>0.68400000000000005</c:v>
                </c:pt>
                <c:pt idx="1">
                  <c:v>0.73299999999999998</c:v>
                </c:pt>
                <c:pt idx="2">
                  <c:v>0.77900000000000003</c:v>
                </c:pt>
              </c:numCache>
            </c:numRef>
          </c:xVal>
          <c:yVal>
            <c:numRef>
              <c:f>'MV-P'!$Q$22:$Q$25</c:f>
              <c:numCache>
                <c:formatCode>0.00</c:formatCode>
                <c:ptCount val="4"/>
                <c:pt idx="0">
                  <c:v>0</c:v>
                </c:pt>
                <c:pt idx="1">
                  <c:v>0</c:v>
                </c:pt>
                <c:pt idx="2">
                  <c:v>0</c:v>
                </c:pt>
              </c:numCache>
            </c:numRef>
          </c:yVal>
          <c:smooth val="0"/>
          <c:extLst>
            <c:ext xmlns:c16="http://schemas.microsoft.com/office/drawing/2014/chart" uri="{C3380CC4-5D6E-409C-BE32-E72D297353CC}">
              <c16:uniqueId val="{00000003-A5CE-48E9-9449-83FB9418C0A9}"/>
            </c:ext>
          </c:extLst>
        </c:ser>
        <c:dLbls>
          <c:showLegendKey val="0"/>
          <c:showVal val="0"/>
          <c:showCatName val="0"/>
          <c:showSerName val="0"/>
          <c:showPercent val="0"/>
          <c:showBubbleSize val="0"/>
        </c:dLbls>
        <c:axId val="354684560"/>
        <c:axId val="1"/>
      </c:scatterChart>
      <c:valAx>
        <c:axId val="354684560"/>
        <c:scaling>
          <c:orientation val="minMax"/>
          <c:min val="0.55000000000000004"/>
        </c:scaling>
        <c:delete val="0"/>
        <c:axPos val="b"/>
        <c:title>
          <c:tx>
            <c:rich>
              <a:bodyPr/>
              <a:lstStyle/>
              <a:p>
                <a:pPr>
                  <a:defRPr sz="1000" b="1" i="0" u="none" strike="noStrike" baseline="0">
                    <a:solidFill>
                      <a:srgbClr val="000000"/>
                    </a:solidFill>
                    <a:latin typeface="Arial"/>
                    <a:ea typeface="Arial"/>
                    <a:cs typeface="Arial"/>
                  </a:defRPr>
                </a:pPr>
                <a:r>
                  <a:rPr lang="en-AU"/>
                  <a:t>TPR20,10</a:t>
                </a:r>
              </a:p>
            </c:rich>
          </c:tx>
          <c:layout>
            <c:manualLayout>
              <c:xMode val="edge"/>
              <c:yMode val="edge"/>
              <c:x val="0.49594600674915634"/>
              <c:y val="0.91778273984408665"/>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
        <c:crosses val="autoZero"/>
        <c:crossBetween val="midCat"/>
      </c:valAx>
      <c:valAx>
        <c:axId val="1"/>
        <c:scaling>
          <c:orientation val="minMax"/>
          <c:min val="41"/>
        </c:scaling>
        <c:delete val="0"/>
        <c:axPos val="l"/>
        <c:majorGridlines>
          <c:spPr>
            <a:ln w="3175">
              <a:solidFill>
                <a:srgbClr val="000000"/>
              </a:solidFill>
              <a:prstDash val="solid"/>
            </a:ln>
          </c:spPr>
        </c:majorGridlines>
        <c:title>
          <c:tx>
            <c:rich>
              <a:bodyPr/>
              <a:lstStyle/>
              <a:p>
                <a:pPr>
                  <a:defRPr sz="1000" b="1" i="0" u="none" strike="noStrike" baseline="0">
                    <a:solidFill>
                      <a:srgbClr val="000000"/>
                    </a:solidFill>
                    <a:latin typeface="Arial"/>
                    <a:ea typeface="Arial"/>
                    <a:cs typeface="Arial"/>
                  </a:defRPr>
                </a:pPr>
                <a:r>
                  <a:rPr lang="en-AU"/>
                  <a:t>ND,w,Q (mGy/nC)</a:t>
                </a:r>
              </a:p>
            </c:rich>
          </c:tx>
          <c:layout>
            <c:manualLayout>
              <c:xMode val="edge"/>
              <c:yMode val="edge"/>
              <c:x val="2.8378309854125379E-2"/>
              <c:y val="0.34608062051944999"/>
            </c:manualLayout>
          </c:layout>
          <c:overlay val="0"/>
          <c:spPr>
            <a:noFill/>
            <a:ln w="25400">
              <a:noFill/>
            </a:ln>
          </c:spPr>
        </c:title>
        <c:numFmt formatCode="0.000"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354684560"/>
        <c:crosses val="autoZero"/>
        <c:crossBetween val="midCat"/>
      </c:valAx>
      <c:spPr>
        <a:solidFill>
          <a:srgbClr val="C0C0C0"/>
        </a:solidFill>
        <a:ln w="12700">
          <a:solidFill>
            <a:srgbClr val="808080"/>
          </a:solidFill>
          <a:prstDash val="solid"/>
        </a:ln>
      </c:spPr>
    </c:plotArea>
    <c:legend>
      <c:legendPos val="r"/>
      <c:layout>
        <c:manualLayout>
          <c:xMode val="edge"/>
          <c:yMode val="edge"/>
          <c:x val="0.21904790472619493"/>
          <c:y val="0.54328405218004472"/>
          <c:w val="0.29251743532058483"/>
          <c:h val="0.1970150820699651"/>
        </c:manualLayout>
      </c:layout>
      <c:overlay val="0"/>
      <c:spPr>
        <a:solidFill>
          <a:srgbClr val="FFFFFF"/>
        </a:solidFill>
        <a:ln w="3175">
          <a:solidFill>
            <a:srgbClr val="000000"/>
          </a:solidFill>
          <a:prstDash val="solid"/>
        </a:ln>
      </c:spPr>
      <c:txPr>
        <a:bodyPr/>
        <a:lstStyle/>
        <a:p>
          <a:pPr>
            <a:defRPr sz="35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paperSize="9" orientation="landscape"/>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02179618851991"/>
          <c:y val="2.925565134397726E-2"/>
          <c:w val="0.84456582478382347"/>
          <c:h val="0.84885582978017071"/>
        </c:manualLayout>
      </c:layout>
      <c:scatterChart>
        <c:scatterStyle val="lineMarker"/>
        <c:varyColors val="0"/>
        <c:ser>
          <c:idx val="0"/>
          <c:order val="0"/>
          <c:tx>
            <c:v>ARPANSA Qualities</c:v>
          </c:tx>
          <c:spPr>
            <a:ln w="28575">
              <a:noFill/>
            </a:ln>
          </c:spPr>
          <c:marker>
            <c:spPr>
              <a:noFill/>
              <a:ln w="19050">
                <a:solidFill>
                  <a:schemeClr val="tx1"/>
                </a:solidFill>
              </a:ln>
            </c:spPr>
          </c:marker>
          <c:trendline>
            <c:trendlineType val="poly"/>
            <c:order val="2"/>
            <c:dispRSqr val="0"/>
            <c:dispEq val="1"/>
            <c:trendlineLbl>
              <c:layout>
                <c:manualLayout>
                  <c:x val="-0.46956017946597056"/>
                  <c:y val="0.53826315849447903"/>
                </c:manualLayout>
              </c:layout>
              <c:numFmt formatCode="General" sourceLinked="0"/>
              <c:spPr>
                <a:ln>
                  <a:solidFill>
                    <a:srgbClr val="FF0000"/>
                  </a:solidFill>
                </a:ln>
              </c:spPr>
              <c:txPr>
                <a:bodyPr/>
                <a:lstStyle/>
                <a:p>
                  <a:pPr>
                    <a:defRPr sz="1400" b="1" i="0" u="none" strike="noStrike" baseline="0">
                      <a:solidFill>
                        <a:srgbClr val="FF0000"/>
                      </a:solidFill>
                      <a:latin typeface="Calibri"/>
                      <a:ea typeface="Calibri"/>
                      <a:cs typeface="Calibri"/>
                    </a:defRPr>
                  </a:pPr>
                  <a:endParaRPr lang="en-US"/>
                </a:p>
              </c:txPr>
            </c:trendlineLbl>
          </c:trendline>
          <c:xVal>
            <c:numRef>
              <c:f>'MV-P'!$P$13:$P$16</c:f>
              <c:numCache>
                <c:formatCode>General</c:formatCode>
                <c:ptCount val="4"/>
                <c:pt idx="0">
                  <c:v>0.56899999999999995</c:v>
                </c:pt>
                <c:pt idx="1">
                  <c:v>0.68400000000000005</c:v>
                </c:pt>
                <c:pt idx="2">
                  <c:v>0.73299999999999998</c:v>
                </c:pt>
                <c:pt idx="3">
                  <c:v>0.77900000000000003</c:v>
                </c:pt>
              </c:numCache>
            </c:numRef>
          </c:xVal>
          <c:yVal>
            <c:numRef>
              <c:f>'MV-P'!$R$13:$R$16</c:f>
              <c:numCache>
                <c:formatCode>0.000</c:formatCode>
                <c:ptCount val="4"/>
                <c:pt idx="0">
                  <c:v>0</c:v>
                </c:pt>
                <c:pt idx="1">
                  <c:v>0</c:v>
                </c:pt>
                <c:pt idx="2">
                  <c:v>0</c:v>
                </c:pt>
                <c:pt idx="3">
                  <c:v>0</c:v>
                </c:pt>
              </c:numCache>
            </c:numRef>
          </c:yVal>
          <c:smooth val="0"/>
          <c:extLst>
            <c:ext xmlns:c16="http://schemas.microsoft.com/office/drawing/2014/chart" uri="{C3380CC4-5D6E-409C-BE32-E72D297353CC}">
              <c16:uniqueId val="{00000000-81D4-4DD1-AFE0-7C5ECC4E027D}"/>
            </c:ext>
          </c:extLst>
        </c:ser>
        <c:ser>
          <c:idx val="1"/>
          <c:order val="1"/>
          <c:tx>
            <c:v>Interpolated kQ</c:v>
          </c:tx>
          <c:spPr>
            <a:ln w="28575">
              <a:noFill/>
            </a:ln>
          </c:spPr>
          <c:marker>
            <c:spPr>
              <a:noFill/>
              <a:ln w="19050"/>
            </c:spPr>
          </c:marker>
          <c:xVal>
            <c:numRef>
              <c:f>'MV-P'!$L$22:$L$25</c:f>
              <c:numCache>
                <c:formatCode>General</c:formatCode>
                <c:ptCount val="4"/>
                <c:pt idx="0">
                  <c:v>0.68400000000000005</c:v>
                </c:pt>
                <c:pt idx="1">
                  <c:v>0.73299999999999998</c:v>
                </c:pt>
                <c:pt idx="2">
                  <c:v>0.77900000000000003</c:v>
                </c:pt>
              </c:numCache>
            </c:numRef>
          </c:xVal>
          <c:yVal>
            <c:numRef>
              <c:f>'MV-P'!$N$22:$N$25</c:f>
              <c:numCache>
                <c:formatCode>0.000</c:formatCode>
                <c:ptCount val="4"/>
                <c:pt idx="0">
                  <c:v>0</c:v>
                </c:pt>
                <c:pt idx="1">
                  <c:v>0</c:v>
                </c:pt>
                <c:pt idx="2">
                  <c:v>0</c:v>
                </c:pt>
              </c:numCache>
            </c:numRef>
          </c:yVal>
          <c:smooth val="0"/>
          <c:extLst>
            <c:ext xmlns:c16="http://schemas.microsoft.com/office/drawing/2014/chart" uri="{C3380CC4-5D6E-409C-BE32-E72D297353CC}">
              <c16:uniqueId val="{00000001-81D4-4DD1-AFE0-7C5ECC4E027D}"/>
            </c:ext>
          </c:extLst>
        </c:ser>
        <c:ser>
          <c:idx val="3"/>
          <c:order val="2"/>
          <c:tx>
            <c:v>Extrapolated fit</c:v>
          </c:tx>
          <c:spPr>
            <a:ln w="28575">
              <a:solidFill>
                <a:srgbClr val="000000">
                  <a:alpha val="18000"/>
                </a:srgbClr>
              </a:solidFill>
            </a:ln>
          </c:spPr>
          <c:marker>
            <c:symbol val="none"/>
          </c:marker>
          <c:xVal>
            <c:numRef>
              <c:f>'MV-P'!$N$29:$N$41</c:f>
              <c:numCache>
                <c:formatCode>0.000</c:formatCode>
                <c:ptCount val="13"/>
                <c:pt idx="0">
                  <c:v>0.55000000000000004</c:v>
                </c:pt>
                <c:pt idx="1">
                  <c:v>0.57499999999999996</c:v>
                </c:pt>
                <c:pt idx="2">
                  <c:v>0.6</c:v>
                </c:pt>
                <c:pt idx="3">
                  <c:v>0.625</c:v>
                </c:pt>
                <c:pt idx="4">
                  <c:v>0.65</c:v>
                </c:pt>
                <c:pt idx="5">
                  <c:v>0.67500000000000004</c:v>
                </c:pt>
                <c:pt idx="6">
                  <c:v>0.69999999999999896</c:v>
                </c:pt>
                <c:pt idx="7">
                  <c:v>0.72499999999999898</c:v>
                </c:pt>
                <c:pt idx="8">
                  <c:v>0.749999999999999</c:v>
                </c:pt>
                <c:pt idx="9">
                  <c:v>0.77499999999999902</c:v>
                </c:pt>
                <c:pt idx="10">
                  <c:v>0.79999999999999905</c:v>
                </c:pt>
                <c:pt idx="11">
                  <c:v>0.82499999999999896</c:v>
                </c:pt>
                <c:pt idx="12">
                  <c:v>0.84999999999999898</c:v>
                </c:pt>
              </c:numCache>
            </c:numRef>
          </c:xVal>
          <c:yVal>
            <c:numRef>
              <c:f>'MV-P'!$O$29:$O$41</c:f>
              <c:numCache>
                <c:formatCode>0.0000</c:formatCode>
                <c:ptCount val="13"/>
                <c:pt idx="0">
                  <c:v>0</c:v>
                </c:pt>
                <c:pt idx="1">
                  <c:v>0</c:v>
                </c:pt>
                <c:pt idx="2">
                  <c:v>0</c:v>
                </c:pt>
                <c:pt idx="3">
                  <c:v>0</c:v>
                </c:pt>
                <c:pt idx="4">
                  <c:v>0</c:v>
                </c:pt>
                <c:pt idx="5">
                  <c:v>0</c:v>
                </c:pt>
                <c:pt idx="6">
                  <c:v>0</c:v>
                </c:pt>
                <c:pt idx="7">
                  <c:v>0</c:v>
                </c:pt>
                <c:pt idx="8">
                  <c:v>0</c:v>
                </c:pt>
                <c:pt idx="9">
                  <c:v>0</c:v>
                </c:pt>
                <c:pt idx="10">
                  <c:v>0</c:v>
                </c:pt>
                <c:pt idx="11">
                  <c:v>0</c:v>
                </c:pt>
                <c:pt idx="12">
                  <c:v>0</c:v>
                </c:pt>
              </c:numCache>
            </c:numRef>
          </c:yVal>
          <c:smooth val="0"/>
          <c:extLst>
            <c:ext xmlns:c16="http://schemas.microsoft.com/office/drawing/2014/chart" uri="{C3380CC4-5D6E-409C-BE32-E72D297353CC}">
              <c16:uniqueId val="{00000002-81D4-4DD1-AFE0-7C5ECC4E027D}"/>
            </c:ext>
          </c:extLst>
        </c:ser>
        <c:ser>
          <c:idx val="2"/>
          <c:order val="3"/>
          <c:tx>
            <c:v>cubic spline</c:v>
          </c:tx>
          <c:spPr>
            <a:ln w="28575">
              <a:noFill/>
            </a:ln>
          </c:spPr>
          <c:xVal>
            <c:numRef>
              <c:f>'MV-P'!$T$21:$T$41</c:f>
              <c:numCache>
                <c:formatCode>0.0</c:formatCode>
                <c:ptCount val="21"/>
                <c:pt idx="1">
                  <c:v>0</c:v>
                </c:pt>
                <c:pt idx="2">
                  <c:v>0</c:v>
                </c:pt>
                <c:pt idx="3">
                  <c:v>0</c:v>
                </c:pt>
              </c:numCache>
            </c:numRef>
          </c:xVal>
          <c:yVal>
            <c:numRef>
              <c:f>'MV-P'!$U$21:$U$41</c:f>
              <c:numCache>
                <c:formatCode>General</c:formatCode>
                <c:ptCount val="21"/>
              </c:numCache>
            </c:numRef>
          </c:yVal>
          <c:smooth val="0"/>
          <c:extLst>
            <c:ext xmlns:c16="http://schemas.microsoft.com/office/drawing/2014/chart" uri="{C3380CC4-5D6E-409C-BE32-E72D297353CC}">
              <c16:uniqueId val="{00000003-81D4-4DD1-AFE0-7C5ECC4E027D}"/>
            </c:ext>
          </c:extLst>
        </c:ser>
        <c:dLbls>
          <c:showLegendKey val="0"/>
          <c:showVal val="0"/>
          <c:showCatName val="0"/>
          <c:showSerName val="0"/>
          <c:showPercent val="0"/>
          <c:showBubbleSize val="0"/>
        </c:dLbls>
        <c:axId val="348586416"/>
        <c:axId val="1"/>
      </c:scatterChart>
      <c:valAx>
        <c:axId val="348586416"/>
        <c:scaling>
          <c:orientation val="minMax"/>
          <c:max val="0.8"/>
          <c:min val="0.55000000000000004"/>
        </c:scaling>
        <c:delete val="0"/>
        <c:axPos val="b"/>
        <c:majorGridlines>
          <c:spPr>
            <a:ln>
              <a:prstDash val="sysDot"/>
            </a:ln>
          </c:spPr>
        </c:majorGridlines>
        <c:minorGridlines/>
        <c:title>
          <c:tx>
            <c:rich>
              <a:bodyPr/>
              <a:lstStyle/>
              <a:p>
                <a:pPr>
                  <a:defRPr sz="1100" b="0" i="0" u="none" strike="noStrike" baseline="0">
                    <a:solidFill>
                      <a:srgbClr val="000000"/>
                    </a:solidFill>
                    <a:latin typeface="Calibri"/>
                    <a:ea typeface="Calibri"/>
                    <a:cs typeface="Calibri"/>
                  </a:defRPr>
                </a:pPr>
                <a:r>
                  <a:rPr lang="en-AU" sz="1000" b="1" i="1" u="none" strike="noStrike" baseline="0">
                    <a:solidFill>
                      <a:srgbClr val="000000"/>
                    </a:solidFill>
                    <a:latin typeface="Calibri"/>
                    <a:cs typeface="Calibri"/>
                  </a:rPr>
                  <a:t>TPR</a:t>
                </a:r>
                <a:r>
                  <a:rPr lang="en-AU" sz="1000" b="1" i="1" u="none" strike="noStrike" baseline="-25000">
                    <a:solidFill>
                      <a:srgbClr val="000000"/>
                    </a:solidFill>
                    <a:latin typeface="Calibri"/>
                    <a:cs typeface="Calibri"/>
                  </a:rPr>
                  <a:t>20,10</a:t>
                </a:r>
              </a:p>
            </c:rich>
          </c:tx>
          <c:overlay val="0"/>
        </c:title>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min val="0.9"/>
        </c:scaling>
        <c:delete val="0"/>
        <c:axPos val="l"/>
        <c:majorGridlines>
          <c:spPr>
            <a:ln>
              <a:prstDash val="sysDot"/>
            </a:ln>
          </c:spPr>
        </c:majorGridlines>
        <c:minorGridlines/>
        <c:title>
          <c:tx>
            <c:rich>
              <a:bodyPr/>
              <a:lstStyle/>
              <a:p>
                <a:pPr>
                  <a:defRPr sz="1100" b="0" i="0" u="none" strike="noStrike" baseline="0">
                    <a:solidFill>
                      <a:srgbClr val="000000"/>
                    </a:solidFill>
                    <a:latin typeface="Calibri"/>
                    <a:ea typeface="Calibri"/>
                    <a:cs typeface="Calibri"/>
                  </a:defRPr>
                </a:pPr>
                <a:r>
                  <a:rPr lang="en-AU" sz="1000" b="1" i="1" u="none" strike="noStrike" baseline="0">
                    <a:solidFill>
                      <a:srgbClr val="000000"/>
                    </a:solidFill>
                    <a:latin typeface="Calibri"/>
                    <a:cs typeface="Calibri"/>
                  </a:rPr>
                  <a:t>k</a:t>
                </a:r>
                <a:r>
                  <a:rPr lang="en-AU" sz="1000" b="1" i="1" u="none" strike="noStrike" baseline="-25000">
                    <a:solidFill>
                      <a:srgbClr val="000000"/>
                    </a:solidFill>
                    <a:latin typeface="Calibri"/>
                    <a:cs typeface="Calibri"/>
                  </a:rPr>
                  <a:t>Q</a:t>
                </a:r>
              </a:p>
            </c:rich>
          </c:tx>
          <c:overlay val="0"/>
        </c:title>
        <c:numFmt formatCode="0.00" sourceLinked="0"/>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348586416"/>
        <c:crosses val="autoZero"/>
        <c:crossBetween val="midCat"/>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02179618851991"/>
          <c:y val="2.925565134397726E-2"/>
          <c:w val="0.84456582478382347"/>
          <c:h val="0.84885582978017071"/>
        </c:manualLayout>
      </c:layout>
      <c:scatterChart>
        <c:scatterStyle val="lineMarker"/>
        <c:varyColors val="0"/>
        <c:ser>
          <c:idx val="1"/>
          <c:order val="0"/>
          <c:tx>
            <c:v>TRS-398 Table 6.III</c:v>
          </c:tx>
          <c:spPr>
            <a:ln w="19050">
              <a:solidFill>
                <a:schemeClr val="tx1"/>
              </a:solidFill>
              <a:prstDash val="dash"/>
            </a:ln>
          </c:spPr>
          <c:marker>
            <c:symbol val="none"/>
          </c:marker>
          <c:xVal>
            <c:numRef>
              <c:f>'MV-P'!$A$70:$A$84</c:f>
              <c:numCache>
                <c:formatCode>0.00</c:formatCode>
                <c:ptCount val="15"/>
                <c:pt idx="0">
                  <c:v>0.5</c:v>
                </c:pt>
                <c:pt idx="1">
                  <c:v>0.53</c:v>
                </c:pt>
                <c:pt idx="2">
                  <c:v>0.56000000000000005</c:v>
                </c:pt>
                <c:pt idx="3">
                  <c:v>0.59</c:v>
                </c:pt>
                <c:pt idx="4">
                  <c:v>0.62</c:v>
                </c:pt>
                <c:pt idx="5">
                  <c:v>0.65</c:v>
                </c:pt>
                <c:pt idx="6">
                  <c:v>0.68</c:v>
                </c:pt>
                <c:pt idx="7">
                  <c:v>0.7</c:v>
                </c:pt>
                <c:pt idx="8">
                  <c:v>0.72</c:v>
                </c:pt>
                <c:pt idx="9">
                  <c:v>0.74</c:v>
                </c:pt>
                <c:pt idx="10">
                  <c:v>0.76</c:v>
                </c:pt>
                <c:pt idx="11">
                  <c:v>0.78</c:v>
                </c:pt>
                <c:pt idx="12">
                  <c:v>0.8</c:v>
                </c:pt>
                <c:pt idx="13">
                  <c:v>0.82</c:v>
                </c:pt>
                <c:pt idx="14">
                  <c:v>0.84</c:v>
                </c:pt>
              </c:numCache>
            </c:numRef>
          </c:xVal>
          <c:yVal>
            <c:numRef>
              <c:f>'MV-P'!$L$70:$L$84</c:f>
              <c:numCache>
                <c:formatCode>0.000</c:formatCode>
                <c:ptCount val="15"/>
                <c:pt idx="0">
                  <c:v>1.0049999999999999</c:v>
                </c:pt>
                <c:pt idx="1">
                  <c:v>1.004</c:v>
                </c:pt>
                <c:pt idx="2">
                  <c:v>1.002</c:v>
                </c:pt>
                <c:pt idx="3">
                  <c:v>1</c:v>
                </c:pt>
                <c:pt idx="4">
                  <c:v>0.998</c:v>
                </c:pt>
                <c:pt idx="5">
                  <c:v>0.997</c:v>
                </c:pt>
                <c:pt idx="6">
                  <c:v>0.995</c:v>
                </c:pt>
                <c:pt idx="7">
                  <c:v>0.99199999999999999</c:v>
                </c:pt>
                <c:pt idx="8">
                  <c:v>0.98899999999999999</c:v>
                </c:pt>
                <c:pt idx="9">
                  <c:v>0.98499999999999999</c:v>
                </c:pt>
                <c:pt idx="10">
                  <c:v>0.98099999999999998</c:v>
                </c:pt>
                <c:pt idx="11">
                  <c:v>0.97299999999999998</c:v>
                </c:pt>
                <c:pt idx="12">
                  <c:v>0.96599999999999997</c:v>
                </c:pt>
                <c:pt idx="13">
                  <c:v>0.95799999999999996</c:v>
                </c:pt>
                <c:pt idx="14">
                  <c:v>0.94699999999999995</c:v>
                </c:pt>
              </c:numCache>
            </c:numRef>
          </c:yVal>
          <c:smooth val="0"/>
          <c:extLst>
            <c:ext xmlns:c16="http://schemas.microsoft.com/office/drawing/2014/chart" uri="{C3380CC4-5D6E-409C-BE32-E72D297353CC}">
              <c16:uniqueId val="{00000000-E633-4941-8BEC-512D776B3FCE}"/>
            </c:ext>
          </c:extLst>
        </c:ser>
        <c:ser>
          <c:idx val="0"/>
          <c:order val="1"/>
          <c:tx>
            <c:v>Measured kQ</c:v>
          </c:tx>
          <c:spPr>
            <a:ln w="28575">
              <a:noFill/>
            </a:ln>
          </c:spPr>
          <c:marker>
            <c:spPr>
              <a:solidFill>
                <a:schemeClr val="tx1"/>
              </a:solidFill>
              <a:ln w="19050">
                <a:solidFill>
                  <a:schemeClr val="tx1"/>
                </a:solidFill>
              </a:ln>
            </c:spPr>
          </c:marker>
          <c:trendline>
            <c:name>Quadratic fit</c:name>
            <c:trendlineType val="poly"/>
            <c:order val="2"/>
            <c:dispRSqr val="0"/>
            <c:dispEq val="0"/>
          </c:trendline>
          <c:xVal>
            <c:numRef>
              <c:f>'MV-P'!$P$13:$P$16</c:f>
              <c:numCache>
                <c:formatCode>General</c:formatCode>
                <c:ptCount val="4"/>
                <c:pt idx="0">
                  <c:v>0.56899999999999995</c:v>
                </c:pt>
                <c:pt idx="1">
                  <c:v>0.68400000000000005</c:v>
                </c:pt>
                <c:pt idx="2">
                  <c:v>0.73299999999999998</c:v>
                </c:pt>
                <c:pt idx="3">
                  <c:v>0.77900000000000003</c:v>
                </c:pt>
              </c:numCache>
            </c:numRef>
          </c:xVal>
          <c:yVal>
            <c:numRef>
              <c:f>'MV-P'!$R$13:$R$16</c:f>
              <c:numCache>
                <c:formatCode>0.000</c:formatCode>
                <c:ptCount val="4"/>
                <c:pt idx="0">
                  <c:v>0</c:v>
                </c:pt>
                <c:pt idx="1">
                  <c:v>0</c:v>
                </c:pt>
                <c:pt idx="2">
                  <c:v>0</c:v>
                </c:pt>
                <c:pt idx="3">
                  <c:v>0</c:v>
                </c:pt>
              </c:numCache>
            </c:numRef>
          </c:yVal>
          <c:smooth val="0"/>
          <c:extLst>
            <c:ext xmlns:c16="http://schemas.microsoft.com/office/drawing/2014/chart" uri="{C3380CC4-5D6E-409C-BE32-E72D297353CC}">
              <c16:uniqueId val="{00000001-E633-4941-8BEC-512D776B3FCE}"/>
            </c:ext>
          </c:extLst>
        </c:ser>
        <c:dLbls>
          <c:showLegendKey val="0"/>
          <c:showVal val="0"/>
          <c:showCatName val="0"/>
          <c:showSerName val="0"/>
          <c:showPercent val="0"/>
          <c:showBubbleSize val="0"/>
        </c:dLbls>
        <c:axId val="247396664"/>
        <c:axId val="1"/>
      </c:scatterChart>
      <c:valAx>
        <c:axId val="247396664"/>
        <c:scaling>
          <c:orientation val="minMax"/>
          <c:max val="0.8"/>
          <c:min val="0.55000000000000004"/>
        </c:scaling>
        <c:delete val="0"/>
        <c:axPos val="b"/>
        <c:majorGridlines>
          <c:spPr>
            <a:ln>
              <a:prstDash val="sysDot"/>
            </a:ln>
          </c:spPr>
        </c:majorGridlines>
        <c:minorGridlines/>
        <c:title>
          <c:tx>
            <c:rich>
              <a:bodyPr/>
              <a:lstStyle/>
              <a:p>
                <a:pPr>
                  <a:defRPr sz="1100" b="0" i="0" u="none" strike="noStrike" baseline="0">
                    <a:solidFill>
                      <a:srgbClr val="000000"/>
                    </a:solidFill>
                    <a:latin typeface="Calibri"/>
                    <a:ea typeface="Calibri"/>
                    <a:cs typeface="Calibri"/>
                  </a:defRPr>
                </a:pPr>
                <a:r>
                  <a:rPr lang="en-AU" sz="1400" b="1" i="1" u="none" strike="noStrike" baseline="0">
                    <a:solidFill>
                      <a:srgbClr val="000000"/>
                    </a:solidFill>
                    <a:latin typeface="Calibri"/>
                    <a:cs typeface="Calibri"/>
                  </a:rPr>
                  <a:t>TPR</a:t>
                </a:r>
                <a:r>
                  <a:rPr lang="en-AU" sz="1400" b="1" i="1" u="none" strike="noStrike" baseline="-25000">
                    <a:solidFill>
                      <a:srgbClr val="000000"/>
                    </a:solidFill>
                    <a:latin typeface="Calibri"/>
                    <a:cs typeface="Calibri"/>
                  </a:rPr>
                  <a:t>20,10</a:t>
                </a:r>
              </a:p>
            </c:rich>
          </c:tx>
          <c:overlay val="0"/>
        </c:title>
        <c:numFmt formatCode="#,##0.00" sourceLinked="0"/>
        <c:majorTickMark val="out"/>
        <c:minorTickMark val="none"/>
        <c:tickLblPos val="nextTo"/>
        <c:txPr>
          <a:bodyPr rot="0" vert="horz"/>
          <a:lstStyle/>
          <a:p>
            <a:pPr>
              <a:defRPr sz="12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min val="0.95000000000000007"/>
        </c:scaling>
        <c:delete val="0"/>
        <c:axPos val="l"/>
        <c:majorGridlines>
          <c:spPr>
            <a:ln>
              <a:prstDash val="sysDot"/>
            </a:ln>
          </c:spPr>
        </c:majorGridlines>
        <c:minorGridlines/>
        <c:title>
          <c:tx>
            <c:rich>
              <a:bodyPr/>
              <a:lstStyle/>
              <a:p>
                <a:pPr>
                  <a:defRPr sz="1100" b="0" i="0" u="none" strike="noStrike" baseline="0">
                    <a:solidFill>
                      <a:srgbClr val="000000"/>
                    </a:solidFill>
                    <a:latin typeface="Calibri"/>
                    <a:ea typeface="Calibri"/>
                    <a:cs typeface="Calibri"/>
                  </a:defRPr>
                </a:pPr>
                <a:r>
                  <a:rPr lang="en-AU" sz="1400" b="1" i="1" u="none" strike="noStrike" baseline="0">
                    <a:solidFill>
                      <a:srgbClr val="000000"/>
                    </a:solidFill>
                    <a:latin typeface="Calibri"/>
                    <a:cs typeface="Calibri"/>
                  </a:rPr>
                  <a:t>k</a:t>
                </a:r>
                <a:r>
                  <a:rPr lang="en-AU" sz="1400" b="1" i="1" u="none" strike="noStrike" baseline="-25000">
                    <a:solidFill>
                      <a:srgbClr val="000000"/>
                    </a:solidFill>
                    <a:latin typeface="Calibri"/>
                    <a:cs typeface="Calibri"/>
                  </a:rPr>
                  <a:t>Q</a:t>
                </a:r>
              </a:p>
            </c:rich>
          </c:tx>
          <c:overlay val="0"/>
        </c:title>
        <c:numFmt formatCode="0.00" sourceLinked="0"/>
        <c:majorTickMark val="out"/>
        <c:minorTickMark val="none"/>
        <c:tickLblPos val="nextTo"/>
        <c:txPr>
          <a:bodyPr rot="0" vert="horz"/>
          <a:lstStyle/>
          <a:p>
            <a:pPr>
              <a:defRPr sz="1200" b="0" i="0" u="none" strike="noStrike" baseline="0">
                <a:solidFill>
                  <a:srgbClr val="000000"/>
                </a:solidFill>
                <a:latin typeface="Calibri"/>
                <a:ea typeface="Calibri"/>
                <a:cs typeface="Calibri"/>
              </a:defRPr>
            </a:pPr>
            <a:endParaRPr lang="en-US"/>
          </a:p>
        </c:txPr>
        <c:crossAx val="247396664"/>
        <c:crosses val="autoZero"/>
        <c:crossBetween val="midCat"/>
      </c:valAx>
    </c:plotArea>
    <c:legend>
      <c:legendPos val="r"/>
      <c:layout>
        <c:manualLayout>
          <c:xMode val="edge"/>
          <c:yMode val="edge"/>
          <c:x val="0.18276047543363705"/>
          <c:y val="0.6066182260305697"/>
          <c:w val="0.35842875572756794"/>
          <c:h val="0.22058842828469971"/>
        </c:manualLayout>
      </c:layout>
      <c:overlay val="0"/>
      <c:spPr>
        <a:solidFill>
          <a:schemeClr val="bg1"/>
        </a:solidFill>
        <a:ln>
          <a:solidFill>
            <a:schemeClr val="tx1"/>
          </a:solidFill>
        </a:ln>
      </c:spPr>
      <c:txPr>
        <a:bodyPr/>
        <a:lstStyle/>
        <a:p>
          <a:pPr>
            <a:defRPr sz="110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302179618851991"/>
          <c:y val="2.925565134397726E-2"/>
          <c:w val="0.84456582478382347"/>
          <c:h val="0.84885582978017071"/>
        </c:manualLayout>
      </c:layout>
      <c:scatterChart>
        <c:scatterStyle val="lineMarker"/>
        <c:varyColors val="0"/>
        <c:ser>
          <c:idx val="1"/>
          <c:order val="0"/>
          <c:tx>
            <c:v>TRS-398 Table 6.III</c:v>
          </c:tx>
          <c:spPr>
            <a:ln w="19050">
              <a:solidFill>
                <a:schemeClr val="tx1"/>
              </a:solidFill>
              <a:prstDash val="dash"/>
            </a:ln>
          </c:spPr>
          <c:marker>
            <c:symbol val="none"/>
          </c:marker>
          <c:xVal>
            <c:numRef>
              <c:f>'MV-P'!$A$70:$A$84</c:f>
              <c:numCache>
                <c:formatCode>0.00</c:formatCode>
                <c:ptCount val="15"/>
                <c:pt idx="0">
                  <c:v>0.5</c:v>
                </c:pt>
                <c:pt idx="1">
                  <c:v>0.53</c:v>
                </c:pt>
                <c:pt idx="2">
                  <c:v>0.56000000000000005</c:v>
                </c:pt>
                <c:pt idx="3">
                  <c:v>0.59</c:v>
                </c:pt>
                <c:pt idx="4">
                  <c:v>0.62</c:v>
                </c:pt>
                <c:pt idx="5">
                  <c:v>0.65</c:v>
                </c:pt>
                <c:pt idx="6">
                  <c:v>0.68</c:v>
                </c:pt>
                <c:pt idx="7">
                  <c:v>0.7</c:v>
                </c:pt>
                <c:pt idx="8">
                  <c:v>0.72</c:v>
                </c:pt>
                <c:pt idx="9">
                  <c:v>0.74</c:v>
                </c:pt>
                <c:pt idx="10">
                  <c:v>0.76</c:v>
                </c:pt>
                <c:pt idx="11">
                  <c:v>0.78</c:v>
                </c:pt>
                <c:pt idx="12">
                  <c:v>0.8</c:v>
                </c:pt>
                <c:pt idx="13">
                  <c:v>0.82</c:v>
                </c:pt>
                <c:pt idx="14">
                  <c:v>0.84</c:v>
                </c:pt>
              </c:numCache>
            </c:numRef>
          </c:xVal>
          <c:yVal>
            <c:numRef>
              <c:f>'MV-P'!$L$70:$L$84</c:f>
              <c:numCache>
                <c:formatCode>0.000</c:formatCode>
                <c:ptCount val="15"/>
                <c:pt idx="0">
                  <c:v>1.0049999999999999</c:v>
                </c:pt>
                <c:pt idx="1">
                  <c:v>1.004</c:v>
                </c:pt>
                <c:pt idx="2">
                  <c:v>1.002</c:v>
                </c:pt>
                <c:pt idx="3">
                  <c:v>1</c:v>
                </c:pt>
                <c:pt idx="4">
                  <c:v>0.998</c:v>
                </c:pt>
                <c:pt idx="5">
                  <c:v>0.997</c:v>
                </c:pt>
                <c:pt idx="6">
                  <c:v>0.995</c:v>
                </c:pt>
                <c:pt idx="7">
                  <c:v>0.99199999999999999</c:v>
                </c:pt>
                <c:pt idx="8">
                  <c:v>0.98899999999999999</c:v>
                </c:pt>
                <c:pt idx="9">
                  <c:v>0.98499999999999999</c:v>
                </c:pt>
                <c:pt idx="10">
                  <c:v>0.98099999999999998</c:v>
                </c:pt>
                <c:pt idx="11">
                  <c:v>0.97299999999999998</c:v>
                </c:pt>
                <c:pt idx="12">
                  <c:v>0.96599999999999997</c:v>
                </c:pt>
                <c:pt idx="13">
                  <c:v>0.95799999999999996</c:v>
                </c:pt>
                <c:pt idx="14">
                  <c:v>0.94699999999999995</c:v>
                </c:pt>
              </c:numCache>
            </c:numRef>
          </c:yVal>
          <c:smooth val="0"/>
          <c:extLst>
            <c:ext xmlns:c16="http://schemas.microsoft.com/office/drawing/2014/chart" uri="{C3380CC4-5D6E-409C-BE32-E72D297353CC}">
              <c16:uniqueId val="{00000000-D2AF-40A6-9A55-D3DADEE505A6}"/>
            </c:ext>
          </c:extLst>
        </c:ser>
        <c:ser>
          <c:idx val="0"/>
          <c:order val="1"/>
          <c:tx>
            <c:v>Measured kQ</c:v>
          </c:tx>
          <c:spPr>
            <a:ln w="28575">
              <a:noFill/>
            </a:ln>
          </c:spPr>
          <c:marker>
            <c:spPr>
              <a:solidFill>
                <a:schemeClr val="tx1"/>
              </a:solidFill>
              <a:ln w="19050">
                <a:solidFill>
                  <a:schemeClr val="tx1"/>
                </a:solidFill>
              </a:ln>
            </c:spPr>
          </c:marker>
          <c:trendline>
            <c:name>Quadratic fit</c:name>
            <c:trendlineType val="poly"/>
            <c:order val="2"/>
            <c:dispRSqr val="0"/>
            <c:dispEq val="0"/>
          </c:trendline>
          <c:xVal>
            <c:numRef>
              <c:f>'MV-P'!$P$13:$P$16</c:f>
              <c:numCache>
                <c:formatCode>General</c:formatCode>
                <c:ptCount val="4"/>
                <c:pt idx="0">
                  <c:v>0.56899999999999995</c:v>
                </c:pt>
                <c:pt idx="1">
                  <c:v>0.68400000000000005</c:v>
                </c:pt>
                <c:pt idx="2">
                  <c:v>0.73299999999999998</c:v>
                </c:pt>
                <c:pt idx="3">
                  <c:v>0.77900000000000003</c:v>
                </c:pt>
              </c:numCache>
            </c:numRef>
          </c:xVal>
          <c:yVal>
            <c:numRef>
              <c:f>'MV-P'!$R$13:$R$16</c:f>
              <c:numCache>
                <c:formatCode>0.000</c:formatCode>
                <c:ptCount val="4"/>
                <c:pt idx="0">
                  <c:v>0</c:v>
                </c:pt>
                <c:pt idx="1">
                  <c:v>0</c:v>
                </c:pt>
                <c:pt idx="2">
                  <c:v>0</c:v>
                </c:pt>
                <c:pt idx="3">
                  <c:v>0</c:v>
                </c:pt>
              </c:numCache>
            </c:numRef>
          </c:yVal>
          <c:smooth val="0"/>
          <c:extLst>
            <c:ext xmlns:c16="http://schemas.microsoft.com/office/drawing/2014/chart" uri="{C3380CC4-5D6E-409C-BE32-E72D297353CC}">
              <c16:uniqueId val="{00000001-D2AF-40A6-9A55-D3DADEE505A6}"/>
            </c:ext>
          </c:extLst>
        </c:ser>
        <c:dLbls>
          <c:showLegendKey val="0"/>
          <c:showVal val="0"/>
          <c:showCatName val="0"/>
          <c:showSerName val="0"/>
          <c:showPercent val="0"/>
          <c:showBubbleSize val="0"/>
        </c:dLbls>
        <c:axId val="247396336"/>
        <c:axId val="1"/>
      </c:scatterChart>
      <c:valAx>
        <c:axId val="247396336"/>
        <c:scaling>
          <c:orientation val="minMax"/>
          <c:max val="0.8"/>
          <c:min val="0.55000000000000004"/>
        </c:scaling>
        <c:delete val="0"/>
        <c:axPos val="b"/>
        <c:majorGridlines>
          <c:spPr>
            <a:ln>
              <a:prstDash val="sysDot"/>
            </a:ln>
          </c:spPr>
        </c:majorGridlines>
        <c:minorGridlines/>
        <c:title>
          <c:tx>
            <c:rich>
              <a:bodyPr/>
              <a:lstStyle/>
              <a:p>
                <a:pPr>
                  <a:defRPr sz="1100" b="0" i="0" u="none" strike="noStrike" baseline="0">
                    <a:solidFill>
                      <a:srgbClr val="000000"/>
                    </a:solidFill>
                    <a:latin typeface="Calibri"/>
                    <a:ea typeface="Calibri"/>
                    <a:cs typeface="Calibri"/>
                  </a:defRPr>
                </a:pPr>
                <a:r>
                  <a:rPr lang="en-AU" sz="1100" b="1" i="1" u="none" strike="noStrike" baseline="0">
                    <a:solidFill>
                      <a:srgbClr val="000000"/>
                    </a:solidFill>
                    <a:latin typeface="Calibri"/>
                    <a:cs typeface="Calibri"/>
                  </a:rPr>
                  <a:t>TPR</a:t>
                </a:r>
                <a:r>
                  <a:rPr lang="en-AU" sz="1100" b="1" i="1" u="none" strike="noStrike" baseline="-25000">
                    <a:solidFill>
                      <a:srgbClr val="000000"/>
                    </a:solidFill>
                    <a:latin typeface="Calibri"/>
                    <a:cs typeface="Calibri"/>
                  </a:rPr>
                  <a:t>20,10</a:t>
                </a:r>
              </a:p>
            </c:rich>
          </c:tx>
          <c:overlay val="0"/>
        </c:title>
        <c:numFmt formatCode="#,##0.00" sourceLinked="0"/>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crossBetween val="midCat"/>
      </c:valAx>
      <c:valAx>
        <c:axId val="1"/>
        <c:scaling>
          <c:orientation val="minMax"/>
          <c:min val="0.95000000000000007"/>
        </c:scaling>
        <c:delete val="0"/>
        <c:axPos val="l"/>
        <c:majorGridlines>
          <c:spPr>
            <a:ln>
              <a:prstDash val="sysDot"/>
            </a:ln>
          </c:spPr>
        </c:majorGridlines>
        <c:minorGridlines/>
        <c:title>
          <c:tx>
            <c:rich>
              <a:bodyPr/>
              <a:lstStyle/>
              <a:p>
                <a:pPr>
                  <a:defRPr sz="1100" b="0" i="0" u="none" strike="noStrike" baseline="0">
                    <a:solidFill>
                      <a:srgbClr val="000000"/>
                    </a:solidFill>
                    <a:latin typeface="Calibri"/>
                    <a:ea typeface="Calibri"/>
                    <a:cs typeface="Calibri"/>
                  </a:defRPr>
                </a:pPr>
                <a:r>
                  <a:rPr lang="en-AU" sz="1100" b="1" i="1" u="none" strike="noStrike" baseline="0">
                    <a:solidFill>
                      <a:srgbClr val="000000"/>
                    </a:solidFill>
                    <a:latin typeface="Calibri"/>
                    <a:cs typeface="Calibri"/>
                  </a:rPr>
                  <a:t>k</a:t>
                </a:r>
                <a:r>
                  <a:rPr lang="en-AU" sz="1100" b="1" i="1" u="none" strike="noStrike" baseline="-25000">
                    <a:solidFill>
                      <a:srgbClr val="000000"/>
                    </a:solidFill>
                    <a:latin typeface="Calibri"/>
                    <a:cs typeface="Calibri"/>
                  </a:rPr>
                  <a:t>Q</a:t>
                </a:r>
              </a:p>
            </c:rich>
          </c:tx>
          <c:overlay val="0"/>
        </c:title>
        <c:numFmt formatCode="0.00" sourceLinked="0"/>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247396336"/>
        <c:crosses val="autoZero"/>
        <c:crossBetween val="midCat"/>
      </c:valAx>
    </c:plotArea>
    <c:legend>
      <c:legendPos val="r"/>
      <c:layout>
        <c:manualLayout>
          <c:xMode val="edge"/>
          <c:yMode val="edge"/>
          <c:x val="0.17839607201309329"/>
          <c:y val="0.5625005789717461"/>
          <c:w val="0.35842880523731591"/>
          <c:h val="0.22058842828469971"/>
        </c:manualLayout>
      </c:layout>
      <c:overlay val="0"/>
      <c:spPr>
        <a:solidFill>
          <a:schemeClr val="bg1"/>
        </a:solidFill>
        <a:ln>
          <a:solidFill>
            <a:schemeClr val="tx1"/>
          </a:solidFill>
        </a:ln>
      </c:spPr>
      <c:txPr>
        <a:bodyPr/>
        <a:lstStyle/>
        <a:p>
          <a:pPr>
            <a:defRPr sz="60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orientation="portrait"/>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20" dropStyle="combo" dx="22" fmlaLink="Limits!$G$3" fmlaRange="Limits!$B$10:$B$25" sel="5"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lockText="1"/>
</file>

<file path=xl/ctrlProps/ctrlProp31.xml><?xml version="1.0" encoding="utf-8"?>
<formControlPr xmlns="http://schemas.microsoft.com/office/spreadsheetml/2009/9/main" objectType="CheckBox" lockText="1"/>
</file>

<file path=xl/ctrlProps/ctrlProp32.xml><?xml version="1.0" encoding="utf-8"?>
<formControlPr xmlns="http://schemas.microsoft.com/office/spreadsheetml/2009/9/main" objectType="CheckBox" lockText="1"/>
</file>

<file path=xl/ctrlProps/ctrlProp33.xml><?xml version="1.0" encoding="utf-8"?>
<formControlPr xmlns="http://schemas.microsoft.com/office/spreadsheetml/2009/9/main" objectType="CheckBox" lockText="1"/>
</file>

<file path=xl/ctrlProps/ctrlProp34.xml><?xml version="1.0" encoding="utf-8"?>
<formControlPr xmlns="http://schemas.microsoft.com/office/spreadsheetml/2009/9/main" objectType="CheckBox" lockText="1"/>
</file>

<file path=xl/ctrlProps/ctrlProp35.xml><?xml version="1.0" encoding="utf-8"?>
<formControlPr xmlns="http://schemas.microsoft.com/office/spreadsheetml/2009/9/main" objectType="CheckBox" lockText="1"/>
</file>

<file path=xl/ctrlProps/ctrlProp36.xml><?xml version="1.0" encoding="utf-8"?>
<formControlPr xmlns="http://schemas.microsoft.com/office/spreadsheetml/2009/9/main" objectType="CheckBox" lockText="1"/>
</file>

<file path=xl/ctrlProps/ctrlProp37.xml><?xml version="1.0" encoding="utf-8"?>
<formControlPr xmlns="http://schemas.microsoft.com/office/spreadsheetml/2009/9/main" objectType="CheckBox" lockText="1"/>
</file>

<file path=xl/ctrlProps/ctrlProp38.xml><?xml version="1.0" encoding="utf-8"?>
<formControlPr xmlns="http://schemas.microsoft.com/office/spreadsheetml/2009/9/main" objectType="CheckBox" lockText="1"/>
</file>

<file path=xl/ctrlProps/ctrlProp39.xml><?xml version="1.0" encoding="utf-8"?>
<formControlPr xmlns="http://schemas.microsoft.com/office/spreadsheetml/2009/9/main" objectType="CheckBox" lockText="1"/>
</file>

<file path=xl/ctrlProps/ctrlProp40.xml><?xml version="1.0" encoding="utf-8"?>
<formControlPr xmlns="http://schemas.microsoft.com/office/spreadsheetml/2009/9/main" objectType="CheckBox" lockText="1"/>
</file>

<file path=xl/ctrlProps/ctrlProp41.xml><?xml version="1.0" encoding="utf-8"?>
<formControlPr xmlns="http://schemas.microsoft.com/office/spreadsheetml/2009/9/main" objectType="CheckBox" lockText="1"/>
</file>

<file path=xl/ctrlProps/ctrlProp42.xml><?xml version="1.0" encoding="utf-8"?>
<formControlPr xmlns="http://schemas.microsoft.com/office/spreadsheetml/2009/9/main" objectType="CheckBox" lockText="1"/>
</file>

<file path=xl/ctrlProps/ctrlProp43.xml><?xml version="1.0" encoding="utf-8"?>
<formControlPr xmlns="http://schemas.microsoft.com/office/spreadsheetml/2009/9/main" objectType="CheckBox" lockText="1"/>
</file>

<file path=xl/ctrlProps/ctrlProp44.xml><?xml version="1.0" encoding="utf-8"?>
<formControlPr xmlns="http://schemas.microsoft.com/office/spreadsheetml/2009/9/main" objectType="CheckBox" lockText="1"/>
</file>

<file path=xl/ctrlProps/ctrlProp45.xml><?xml version="1.0" encoding="utf-8"?>
<formControlPr xmlns="http://schemas.microsoft.com/office/spreadsheetml/2009/9/main" objectType="CheckBox" lockText="1"/>
</file>

<file path=xl/ctrlProps/ctrlProp46.xml><?xml version="1.0" encoding="utf-8"?>
<formControlPr xmlns="http://schemas.microsoft.com/office/spreadsheetml/2009/9/main" objectType="CheckBox" lockText="1"/>
</file>

<file path=xl/ctrlProps/ctrlProp47.xml><?xml version="1.0" encoding="utf-8"?>
<formControlPr xmlns="http://schemas.microsoft.com/office/spreadsheetml/2009/9/main" objectType="CheckBox" lockText="1"/>
</file>

<file path=xl/ctrlProps/ctrlProp48.xml><?xml version="1.0" encoding="utf-8"?>
<formControlPr xmlns="http://schemas.microsoft.com/office/spreadsheetml/2009/9/main" objectType="CheckBox" lockText="1"/>
</file>

<file path=xl/ctrlProps/ctrlProp49.xml><?xml version="1.0" encoding="utf-8"?>
<formControlPr xmlns="http://schemas.microsoft.com/office/spreadsheetml/2009/9/main" objectType="CheckBox" lockText="1"/>
</file>

<file path=xl/ctrlProps/ctrlProp50.xml><?xml version="1.0" encoding="utf-8"?>
<formControlPr xmlns="http://schemas.microsoft.com/office/spreadsheetml/2009/9/main" objectType="CheckBox" lockText="1"/>
</file>

<file path=xl/ctrlProps/ctrlProp51.xml><?xml version="1.0" encoding="utf-8"?>
<formControlPr xmlns="http://schemas.microsoft.com/office/spreadsheetml/2009/9/main" objectType="CheckBox" lockText="1"/>
</file>

<file path=xl/ctrlProps/ctrlProp52.xml><?xml version="1.0" encoding="utf-8"?>
<formControlPr xmlns="http://schemas.microsoft.com/office/spreadsheetml/2009/9/main" objectType="CheckBox" lockText="1"/>
</file>

<file path=xl/ctrlProps/ctrlProp53.xml><?xml version="1.0" encoding="utf-8"?>
<formControlPr xmlns="http://schemas.microsoft.com/office/spreadsheetml/2009/9/main" objectType="CheckBox" lockText="1"/>
</file>

<file path=xl/ctrlProps/ctrlProp54.xml><?xml version="1.0" encoding="utf-8"?>
<formControlPr xmlns="http://schemas.microsoft.com/office/spreadsheetml/2009/9/main" objectType="CheckBox" lockText="1"/>
</file>

<file path=xl/ctrlProps/ctrlProp55.xml><?xml version="1.0" encoding="utf-8"?>
<formControlPr xmlns="http://schemas.microsoft.com/office/spreadsheetml/2009/9/main" objectType="CheckBox" lockText="1"/>
</file>

<file path=xl/ctrlProps/ctrlProp56.xml><?xml version="1.0" encoding="utf-8"?>
<formControlPr xmlns="http://schemas.microsoft.com/office/spreadsheetml/2009/9/main" objectType="CheckBox" lockText="1"/>
</file>

<file path=xl/ctrlProps/ctrlProp57.xml><?xml version="1.0" encoding="utf-8"?>
<formControlPr xmlns="http://schemas.microsoft.com/office/spreadsheetml/2009/9/main" objectType="CheckBox" lockText="1"/>
</file>

<file path=xl/ctrlProps/ctrlProp58.xml><?xml version="1.0" encoding="utf-8"?>
<formControlPr xmlns="http://schemas.microsoft.com/office/spreadsheetml/2009/9/main" objectType="CheckBox" lockText="1"/>
</file>

<file path=xl/ctrlProps/ctrlProp59.xml><?xml version="1.0" encoding="utf-8"?>
<formControlPr xmlns="http://schemas.microsoft.com/office/spreadsheetml/2009/9/main" objectType="CheckBox" lockText="1"/>
</file>

<file path=xl/ctrlProps/ctrlProp60.xml><?xml version="1.0" encoding="utf-8"?>
<formControlPr xmlns="http://schemas.microsoft.com/office/spreadsheetml/2009/9/main" objectType="CheckBox" lockText="1"/>
</file>

<file path=xl/ctrlProps/ctrlProp61.xml><?xml version="1.0" encoding="utf-8"?>
<formControlPr xmlns="http://schemas.microsoft.com/office/spreadsheetml/2009/9/main" objectType="CheckBox" lockText="1"/>
</file>

<file path=xl/ctrlProps/ctrlProp62.xml><?xml version="1.0" encoding="utf-8"?>
<formControlPr xmlns="http://schemas.microsoft.com/office/spreadsheetml/2009/9/main" objectType="CheckBox" lockText="1"/>
</file>

<file path=xl/ctrlProps/ctrlProp63.xml><?xml version="1.0" encoding="utf-8"?>
<formControlPr xmlns="http://schemas.microsoft.com/office/spreadsheetml/2009/9/main" objectType="CheckBox" lockText="1"/>
</file>

<file path=xl/ctrlProps/ctrlProp64.xml><?xml version="1.0" encoding="utf-8"?>
<formControlPr xmlns="http://schemas.microsoft.com/office/spreadsheetml/2009/9/main" objectType="CheckBox" lockText="1"/>
</file>

<file path=xl/ctrlProps/ctrlProp65.xml><?xml version="1.0" encoding="utf-8"?>
<formControlPr xmlns="http://schemas.microsoft.com/office/spreadsheetml/2009/9/main" objectType="CheckBox" lockText="1"/>
</file>

<file path=xl/ctrlProps/ctrlProp66.xml><?xml version="1.0" encoding="utf-8"?>
<formControlPr xmlns="http://schemas.microsoft.com/office/spreadsheetml/2009/9/main" objectType="CheckBox" lockText="1"/>
</file>

<file path=xl/ctrlProps/ctrlProp67.xml><?xml version="1.0" encoding="utf-8"?>
<formControlPr xmlns="http://schemas.microsoft.com/office/spreadsheetml/2009/9/main" objectType="CheckBox" lockText="1"/>
</file>

<file path=xl/ctrlProps/ctrlProp68.xml><?xml version="1.0" encoding="utf-8"?>
<formControlPr xmlns="http://schemas.microsoft.com/office/spreadsheetml/2009/9/main" objectType="CheckBox" lockText="1"/>
</file>

<file path=xl/ctrlProps/ctrlProp69.xml><?xml version="1.0" encoding="utf-8"?>
<formControlPr xmlns="http://schemas.microsoft.com/office/spreadsheetml/2009/9/main" objectType="CheckBox"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CheckBox" lockText="1"/>
</file>

<file path=xl/ctrlProps/ctrlProp72.xml><?xml version="1.0" encoding="utf-8"?>
<formControlPr xmlns="http://schemas.microsoft.com/office/spreadsheetml/2009/9/main" objectType="CheckBox" lockText="1"/>
</file>

<file path=xl/ctrlProps/ctrlProp73.xml><?xml version="1.0" encoding="utf-8"?>
<formControlPr xmlns="http://schemas.microsoft.com/office/spreadsheetml/2009/9/main" objectType="CheckBox" lockText="1"/>
</file>

<file path=xl/ctrlProps/ctrlProp74.xml><?xml version="1.0" encoding="utf-8"?>
<formControlPr xmlns="http://schemas.microsoft.com/office/spreadsheetml/2009/9/main" objectType="CheckBox" lockText="1"/>
</file>

<file path=xl/ctrlProps/ctrlProp75.xml><?xml version="1.0" encoding="utf-8"?>
<formControlPr xmlns="http://schemas.microsoft.com/office/spreadsheetml/2009/9/main" objectType="CheckBox" lockText="1"/>
</file>

<file path=xl/ctrlProps/ctrlProp76.xml><?xml version="1.0" encoding="utf-8"?>
<formControlPr xmlns="http://schemas.microsoft.com/office/spreadsheetml/2009/9/main" objectType="CheckBox" lockText="1"/>
</file>

<file path=xl/ctrlProps/ctrlProp77.xml><?xml version="1.0" encoding="utf-8"?>
<formControlPr xmlns="http://schemas.microsoft.com/office/spreadsheetml/2009/9/main" objectType="CheckBox" lockText="1"/>
</file>

<file path=xl/ctrlProps/ctrlProp78.xml><?xml version="1.0" encoding="utf-8"?>
<formControlPr xmlns="http://schemas.microsoft.com/office/spreadsheetml/2009/9/main" objectType="CheckBox" lockText="1"/>
</file>

<file path=xl/ctrlProps/ctrlProp79.xml><?xml version="1.0" encoding="utf-8"?>
<formControlPr xmlns="http://schemas.microsoft.com/office/spreadsheetml/2009/9/main" objectType="CheckBox" lockText="1"/>
</file>

<file path=xl/ctrlProps/ctrlProp80.xml><?xml version="1.0" encoding="utf-8"?>
<formControlPr xmlns="http://schemas.microsoft.com/office/spreadsheetml/2009/9/main" objectType="CheckBox" lockText="1"/>
</file>

<file path=xl/ctrlProps/ctrlProp81.xml><?xml version="1.0" encoding="utf-8"?>
<formControlPr xmlns="http://schemas.microsoft.com/office/spreadsheetml/2009/9/main" objectType="CheckBox" lockText="1"/>
</file>

<file path=xl/ctrlProps/ctrlProp82.xml><?xml version="1.0" encoding="utf-8"?>
<formControlPr xmlns="http://schemas.microsoft.com/office/spreadsheetml/2009/9/main" objectType="CheckBox" lockText="1"/>
</file>

<file path=xl/ctrlProps/ctrlProp83.xml><?xml version="1.0" encoding="utf-8"?>
<formControlPr xmlns="http://schemas.microsoft.com/office/spreadsheetml/2009/9/main" objectType="CheckBox" lockText="1"/>
</file>

<file path=xl/ctrlProps/ctrlProp84.xml><?xml version="1.0" encoding="utf-8"?>
<formControlPr xmlns="http://schemas.microsoft.com/office/spreadsheetml/2009/9/main" objectType="CheckBox" lockText="1"/>
</file>

<file path=xl/ctrlProps/ctrlProp85.xml><?xml version="1.0" encoding="utf-8"?>
<formControlPr xmlns="http://schemas.microsoft.com/office/spreadsheetml/2009/9/main" objectType="CheckBox" lockText="1"/>
</file>

<file path=xl/ctrlProps/ctrlProp86.xml><?xml version="1.0" encoding="utf-8"?>
<formControlPr xmlns="http://schemas.microsoft.com/office/spreadsheetml/2009/9/main" objectType="CheckBox" lockText="1"/>
</file>

<file path=xl/ctrlProps/ctrlProp87.xml><?xml version="1.0" encoding="utf-8"?>
<formControlPr xmlns="http://schemas.microsoft.com/office/spreadsheetml/2009/9/main" objectType="CheckBox" lockText="1"/>
</file>

<file path=xl/ctrlProps/ctrlProp88.xml><?xml version="1.0" encoding="utf-8"?>
<formControlPr xmlns="http://schemas.microsoft.com/office/spreadsheetml/2009/9/main" objectType="CheckBox" lockText="1"/>
</file>

<file path=xl/ctrlProps/ctrlProp89.xml><?xml version="1.0" encoding="utf-8"?>
<formControlPr xmlns="http://schemas.microsoft.com/office/spreadsheetml/2009/9/main" objectType="CheckBox" lockText="1"/>
</file>

<file path=xl/ctrlProps/ctrlProp90.xml><?xml version="1.0" encoding="utf-8"?>
<formControlPr xmlns="http://schemas.microsoft.com/office/spreadsheetml/2009/9/main" objectType="CheckBox" lockText="1"/>
</file>

<file path=xl/ctrlProps/ctrlProp91.xml><?xml version="1.0" encoding="utf-8"?>
<formControlPr xmlns="http://schemas.microsoft.com/office/spreadsheetml/2009/9/main" objectType="CheckBox" lockText="1"/>
</file>

<file path=xl/ctrlProps/ctrlProp92.xml><?xml version="1.0" encoding="utf-8"?>
<formControlPr xmlns="http://schemas.microsoft.com/office/spreadsheetml/2009/9/main" objectType="CheckBox" lockText="1"/>
</file>

<file path=xl/ctrlProps/ctrlProp93.xml><?xml version="1.0" encoding="utf-8"?>
<formControlPr xmlns="http://schemas.microsoft.com/office/spreadsheetml/2009/9/main" objectType="CheckBox" lockText="1"/>
</file>

<file path=xl/ctrlProps/ctrlProp94.xml><?xml version="1.0" encoding="utf-8"?>
<formControlPr xmlns="http://schemas.microsoft.com/office/spreadsheetml/2009/9/main" objectType="CheckBox" lockText="1"/>
</file>

<file path=xl/ctrlProps/ctrlProp95.xml><?xml version="1.0" encoding="utf-8"?>
<formControlPr xmlns="http://schemas.microsoft.com/office/spreadsheetml/2009/9/main" objectType="CheckBox"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4.jpeg"/></Relationships>
</file>

<file path=xl/drawings/_rels/drawing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7.xml.rels><?xml version="1.0" encoding="UTF-8" standalone="yes"?>
<Relationships xmlns="http://schemas.openxmlformats.org/package/2006/relationships"><Relationship Id="rId3" Type="http://schemas.openxmlformats.org/officeDocument/2006/relationships/image" Target="../media/image14.png"/><Relationship Id="rId2" Type="http://schemas.openxmlformats.org/officeDocument/2006/relationships/image" Target="../media/image13.png"/><Relationship Id="rId1" Type="http://schemas.openxmlformats.org/officeDocument/2006/relationships/image" Target="../media/image12.png"/></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15.jpeg"/><Relationship Id="rId6" Type="http://schemas.openxmlformats.org/officeDocument/2006/relationships/chart" Target="../charts/chart9.xml"/><Relationship Id="rId5" Type="http://schemas.openxmlformats.org/officeDocument/2006/relationships/chart" Target="../charts/chart8.xml"/><Relationship Id="rId4"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png"/><Relationship Id="rId1" Type="http://schemas.openxmlformats.org/officeDocument/2006/relationships/image" Target="../media/image4.jpeg"/></Relationships>
</file>

<file path=xl/drawings/_rels/drawing12.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chart" Target="../charts/chart13.xml"/><Relationship Id="rId1"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chart" Target="../charts/chart14.xml"/><Relationship Id="rId1" Type="http://schemas.openxmlformats.org/officeDocument/2006/relationships/image" Target="../media/image2.png"/></Relationships>
</file>

<file path=xl/drawings/_rels/drawing16.xml.rels><?xml version="1.0" encoding="UTF-8" standalone="yes"?>
<Relationships xmlns="http://schemas.openxmlformats.org/package/2006/relationships"><Relationship Id="rId2" Type="http://schemas.openxmlformats.org/officeDocument/2006/relationships/image" Target="../media/image20.jpeg"/><Relationship Id="rId1" Type="http://schemas.openxmlformats.org/officeDocument/2006/relationships/image" Target="../media/image2.png"/></Relationships>
</file>

<file path=xl/drawings/_rels/vmlDrawing3.vml.rels><?xml version="1.0" encoding="UTF-8" standalone="yes"?>
<Relationships xmlns="http://schemas.openxmlformats.org/package/2006/relationships"><Relationship Id="rId3" Type="http://schemas.openxmlformats.org/officeDocument/2006/relationships/image" Target="../media/image7.wmf"/><Relationship Id="rId2" Type="http://schemas.openxmlformats.org/officeDocument/2006/relationships/image" Target="../media/image6.wmf"/><Relationship Id="rId1" Type="http://schemas.openxmlformats.org/officeDocument/2006/relationships/image" Target="../media/image5.wmf"/><Relationship Id="rId6" Type="http://schemas.openxmlformats.org/officeDocument/2006/relationships/image" Target="../media/image10.wmf"/><Relationship Id="rId5" Type="http://schemas.openxmlformats.org/officeDocument/2006/relationships/image" Target="../media/image9.wmf"/><Relationship Id="rId4" Type="http://schemas.openxmlformats.org/officeDocument/2006/relationships/image" Target="../media/image8.w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18.emf"/><Relationship Id="rId1" Type="http://schemas.openxmlformats.org/officeDocument/2006/relationships/image" Target="../media/image17.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6</xdr:row>
          <xdr:rowOff>152400</xdr:rowOff>
        </xdr:from>
        <xdr:to>
          <xdr:col>12</xdr:col>
          <xdr:colOff>476250</xdr:colOff>
          <xdr:row>9</xdr:row>
          <xdr:rowOff>0</xdr:rowOff>
        </xdr:to>
        <xdr:sp macro="" textlink="">
          <xdr:nvSpPr>
            <xdr:cNvPr id="13419528" name="Button 8" hidden="1">
              <a:extLst>
                <a:ext uri="{63B3BB69-23CF-44E3-9099-C40C66FF867C}">
                  <a14:compatExt spid="_x0000_s13419528"/>
                </a:ext>
                <a:ext uri="{FF2B5EF4-FFF2-40B4-BE49-F238E27FC236}">
                  <a16:creationId xmlns:a16="http://schemas.microsoft.com/office/drawing/2014/main" id="{00000000-0008-0000-0200-000008C4CC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Sign ElecReport as Tester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76200</xdr:colOff>
      <xdr:row>42</xdr:row>
      <xdr:rowOff>76200</xdr:rowOff>
    </xdr:from>
    <xdr:to>
      <xdr:col>16</xdr:col>
      <xdr:colOff>28575</xdr:colOff>
      <xdr:row>46</xdr:row>
      <xdr:rowOff>47625</xdr:rowOff>
    </xdr:to>
    <xdr:pic>
      <xdr:nvPicPr>
        <xdr:cNvPr id="13024101" name="Picture 5" descr="CIPM_MRA_Logo-big">
          <a:extLst>
            <a:ext uri="{FF2B5EF4-FFF2-40B4-BE49-F238E27FC236}">
              <a16:creationId xmlns:a16="http://schemas.microsoft.com/office/drawing/2014/main" id="{00000000-0008-0000-0400-000065BBC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57575" y="8477250"/>
          <a:ext cx="14287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123825</xdr:colOff>
      <xdr:row>0</xdr:row>
      <xdr:rowOff>66675</xdr:rowOff>
    </xdr:from>
    <xdr:to>
      <xdr:col>19</xdr:col>
      <xdr:colOff>57150</xdr:colOff>
      <xdr:row>4</xdr:row>
      <xdr:rowOff>161925</xdr:rowOff>
    </xdr:to>
    <xdr:pic>
      <xdr:nvPicPr>
        <xdr:cNvPr id="13024102" name="Picture 6" descr="ARPNSA_strip_blue_16cm">
          <a:extLst>
            <a:ext uri="{FF2B5EF4-FFF2-40B4-BE49-F238E27FC236}">
              <a16:creationId xmlns:a16="http://schemas.microsoft.com/office/drawing/2014/main" id="{00000000-0008-0000-0400-000066BBC6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825" y="66675"/>
          <a:ext cx="567690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180975</xdr:colOff>
      <xdr:row>127</xdr:row>
      <xdr:rowOff>76200</xdr:rowOff>
    </xdr:from>
    <xdr:to>
      <xdr:col>19</xdr:col>
      <xdr:colOff>114300</xdr:colOff>
      <xdr:row>132</xdr:row>
      <xdr:rowOff>0</xdr:rowOff>
    </xdr:to>
    <xdr:pic>
      <xdr:nvPicPr>
        <xdr:cNvPr id="13024103" name="Picture 7" descr="ARPNSA_strip_blue_16cm">
          <a:extLst>
            <a:ext uri="{FF2B5EF4-FFF2-40B4-BE49-F238E27FC236}">
              <a16:creationId xmlns:a16="http://schemas.microsoft.com/office/drawing/2014/main" id="{00000000-0008-0000-0400-000067BBC6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0975" y="31127700"/>
          <a:ext cx="567690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209550</xdr:colOff>
      <xdr:row>42</xdr:row>
      <xdr:rowOff>76200</xdr:rowOff>
    </xdr:from>
    <xdr:to>
      <xdr:col>5</xdr:col>
      <xdr:colOff>95250</xdr:colOff>
      <xdr:row>48</xdr:row>
      <xdr:rowOff>76200</xdr:rowOff>
    </xdr:to>
    <xdr:pic>
      <xdr:nvPicPr>
        <xdr:cNvPr id="6" name="Picture 4" descr="725038">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152525" y="8477250"/>
          <a:ext cx="647700"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11</xdr:col>
      <xdr:colOff>76200</xdr:colOff>
      <xdr:row>42</xdr:row>
      <xdr:rowOff>76200</xdr:rowOff>
    </xdr:from>
    <xdr:to>
      <xdr:col>16</xdr:col>
      <xdr:colOff>28575</xdr:colOff>
      <xdr:row>46</xdr:row>
      <xdr:rowOff>47625</xdr:rowOff>
    </xdr:to>
    <xdr:pic>
      <xdr:nvPicPr>
        <xdr:cNvPr id="15273253" name="Picture 5" descr="CIPM_MRA_Logo-big">
          <a:extLst>
            <a:ext uri="{FF2B5EF4-FFF2-40B4-BE49-F238E27FC236}">
              <a16:creationId xmlns:a16="http://schemas.microsoft.com/office/drawing/2014/main" id="{00000000-0008-0000-0500-0000250DE9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57575" y="8477250"/>
          <a:ext cx="14287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123825</xdr:colOff>
      <xdr:row>0</xdr:row>
      <xdr:rowOff>66675</xdr:rowOff>
    </xdr:from>
    <xdr:to>
      <xdr:col>19</xdr:col>
      <xdr:colOff>57150</xdr:colOff>
      <xdr:row>4</xdr:row>
      <xdr:rowOff>161925</xdr:rowOff>
    </xdr:to>
    <xdr:pic>
      <xdr:nvPicPr>
        <xdr:cNvPr id="15273254" name="Picture 6" descr="ARPNSA_strip_blue_16cm">
          <a:extLst>
            <a:ext uri="{FF2B5EF4-FFF2-40B4-BE49-F238E27FC236}">
              <a16:creationId xmlns:a16="http://schemas.microsoft.com/office/drawing/2014/main" id="{00000000-0008-0000-0500-0000260DE9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3825" y="66675"/>
          <a:ext cx="567690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180975</xdr:colOff>
      <xdr:row>127</xdr:row>
      <xdr:rowOff>76200</xdr:rowOff>
    </xdr:from>
    <xdr:to>
      <xdr:col>19</xdr:col>
      <xdr:colOff>114300</xdr:colOff>
      <xdr:row>132</xdr:row>
      <xdr:rowOff>0</xdr:rowOff>
    </xdr:to>
    <xdr:pic>
      <xdr:nvPicPr>
        <xdr:cNvPr id="15273255" name="Picture 7" descr="ARPNSA_strip_blue_16cm">
          <a:extLst>
            <a:ext uri="{FF2B5EF4-FFF2-40B4-BE49-F238E27FC236}">
              <a16:creationId xmlns:a16="http://schemas.microsoft.com/office/drawing/2014/main" id="{00000000-0008-0000-0500-0000270DE9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0975" y="31175325"/>
          <a:ext cx="567690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180975</xdr:colOff>
      <xdr:row>172</xdr:row>
      <xdr:rowOff>76200</xdr:rowOff>
    </xdr:from>
    <xdr:to>
      <xdr:col>19</xdr:col>
      <xdr:colOff>114300</xdr:colOff>
      <xdr:row>177</xdr:row>
      <xdr:rowOff>0</xdr:rowOff>
    </xdr:to>
    <xdr:pic>
      <xdr:nvPicPr>
        <xdr:cNvPr id="15273256" name="Picture 7" descr="ARPNSA_strip_blue_16cm">
          <a:extLst>
            <a:ext uri="{FF2B5EF4-FFF2-40B4-BE49-F238E27FC236}">
              <a16:creationId xmlns:a16="http://schemas.microsoft.com/office/drawing/2014/main" id="{00000000-0008-0000-0500-0000280DE9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0975" y="41519475"/>
          <a:ext cx="567690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180975</xdr:colOff>
      <xdr:row>42</xdr:row>
      <xdr:rowOff>76200</xdr:rowOff>
    </xdr:from>
    <xdr:to>
      <xdr:col>5</xdr:col>
      <xdr:colOff>104775</xdr:colOff>
      <xdr:row>48</xdr:row>
      <xdr:rowOff>76200</xdr:rowOff>
    </xdr:to>
    <xdr:pic>
      <xdr:nvPicPr>
        <xdr:cNvPr id="7" name="Picture 4" descr="725038">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66800" y="8477250"/>
          <a:ext cx="647700"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590550</xdr:colOff>
          <xdr:row>30</xdr:row>
          <xdr:rowOff>180975</xdr:rowOff>
        </xdr:from>
        <xdr:to>
          <xdr:col>3</xdr:col>
          <xdr:colOff>790575</xdr:colOff>
          <xdr:row>32</xdr:row>
          <xdr:rowOff>19050</xdr:rowOff>
        </xdr:to>
        <xdr:sp macro="" textlink="">
          <xdr:nvSpPr>
            <xdr:cNvPr id="7171" name="Drop Down 3" hidden="1">
              <a:extLst>
                <a:ext uri="{63B3BB69-23CF-44E3-9099-C40C66FF867C}">
                  <a14:compatExt spid="_x0000_s7171"/>
                </a:ext>
                <a:ext uri="{FF2B5EF4-FFF2-40B4-BE49-F238E27FC236}">
                  <a16:creationId xmlns:a16="http://schemas.microsoft.com/office/drawing/2014/main" id="{00000000-0008-0000-0600-00000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11</xdr:col>
          <xdr:colOff>66675</xdr:colOff>
          <xdr:row>8</xdr:row>
          <xdr:rowOff>0</xdr:rowOff>
        </xdr:from>
        <xdr:to>
          <xdr:col>13</xdr:col>
          <xdr:colOff>590550</xdr:colOff>
          <xdr:row>9</xdr:row>
          <xdr:rowOff>66675</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600-000004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Sign as Co Report as Tester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57150</xdr:colOff>
          <xdr:row>9</xdr:row>
          <xdr:rowOff>123825</xdr:rowOff>
        </xdr:from>
        <xdr:to>
          <xdr:col>13</xdr:col>
          <xdr:colOff>581025</xdr:colOff>
          <xdr:row>11</xdr:row>
          <xdr:rowOff>0</xdr:rowOff>
        </xdr:to>
        <xdr:sp macro="" textlink="">
          <xdr:nvSpPr>
            <xdr:cNvPr id="7176" name="Button 8" hidden="1">
              <a:extLst>
                <a:ext uri="{63B3BB69-23CF-44E3-9099-C40C66FF867C}">
                  <a14:compatExt spid="_x0000_s7176"/>
                </a:ext>
                <a:ext uri="{FF2B5EF4-FFF2-40B4-BE49-F238E27FC236}">
                  <a16:creationId xmlns:a16="http://schemas.microsoft.com/office/drawing/2014/main" id="{00000000-0008-0000-0600-000008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Sign MVP report as Co Tester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3</xdr:col>
      <xdr:colOff>104775</xdr:colOff>
      <xdr:row>41</xdr:row>
      <xdr:rowOff>76200</xdr:rowOff>
    </xdr:from>
    <xdr:to>
      <xdr:col>5</xdr:col>
      <xdr:colOff>161925</xdr:colOff>
      <xdr:row>47</xdr:row>
      <xdr:rowOff>76200</xdr:rowOff>
    </xdr:to>
    <xdr:pic>
      <xdr:nvPicPr>
        <xdr:cNvPr id="15199549" name="Picture 4" descr="725038">
          <a:extLst>
            <a:ext uri="{FF2B5EF4-FFF2-40B4-BE49-F238E27FC236}">
              <a16:creationId xmlns:a16="http://schemas.microsoft.com/office/drawing/2014/main" id="{00000000-0008-0000-0700-00003DEDE7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0600" y="8267700"/>
          <a:ext cx="647700"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76200</xdr:colOff>
      <xdr:row>41</xdr:row>
      <xdr:rowOff>76200</xdr:rowOff>
    </xdr:from>
    <xdr:to>
      <xdr:col>16</xdr:col>
      <xdr:colOff>28575</xdr:colOff>
      <xdr:row>45</xdr:row>
      <xdr:rowOff>47625</xdr:rowOff>
    </xdr:to>
    <xdr:pic>
      <xdr:nvPicPr>
        <xdr:cNvPr id="15199550" name="Picture 5" descr="CIPM_MRA_Logo-big">
          <a:extLst>
            <a:ext uri="{FF2B5EF4-FFF2-40B4-BE49-F238E27FC236}">
              <a16:creationId xmlns:a16="http://schemas.microsoft.com/office/drawing/2014/main" id="{00000000-0008-0000-0700-00003EEDE7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4225" y="8267700"/>
          <a:ext cx="14287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123825</xdr:colOff>
      <xdr:row>0</xdr:row>
      <xdr:rowOff>66675</xdr:rowOff>
    </xdr:from>
    <xdr:to>
      <xdr:col>19</xdr:col>
      <xdr:colOff>57150</xdr:colOff>
      <xdr:row>4</xdr:row>
      <xdr:rowOff>161925</xdr:rowOff>
    </xdr:to>
    <xdr:pic>
      <xdr:nvPicPr>
        <xdr:cNvPr id="15199551" name="Picture 6" descr="ARPNSA_strip_blue_16cm">
          <a:extLst>
            <a:ext uri="{FF2B5EF4-FFF2-40B4-BE49-F238E27FC236}">
              <a16:creationId xmlns:a16="http://schemas.microsoft.com/office/drawing/2014/main" id="{00000000-0008-0000-0700-00003FEDE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825" y="66675"/>
          <a:ext cx="554355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161925</xdr:colOff>
      <xdr:row>214</xdr:row>
      <xdr:rowOff>38100</xdr:rowOff>
    </xdr:from>
    <xdr:to>
      <xdr:col>19</xdr:col>
      <xdr:colOff>95250</xdr:colOff>
      <xdr:row>218</xdr:row>
      <xdr:rowOff>123825</xdr:rowOff>
    </xdr:to>
    <xdr:pic>
      <xdr:nvPicPr>
        <xdr:cNvPr id="15199552" name="Picture 7" descr="ARPNSA_strip_blue_16cm">
          <a:extLst>
            <a:ext uri="{FF2B5EF4-FFF2-40B4-BE49-F238E27FC236}">
              <a16:creationId xmlns:a16="http://schemas.microsoft.com/office/drawing/2014/main" id="{00000000-0008-0000-0700-000040EDE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1925" y="51473100"/>
          <a:ext cx="554355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47625</xdr:colOff>
          <xdr:row>104</xdr:row>
          <xdr:rowOff>38100</xdr:rowOff>
        </xdr:from>
        <xdr:to>
          <xdr:col>12</xdr:col>
          <xdr:colOff>47625</xdr:colOff>
          <xdr:row>106</xdr:row>
          <xdr:rowOff>171450</xdr:rowOff>
        </xdr:to>
        <xdr:sp macro="" textlink="">
          <xdr:nvSpPr>
            <xdr:cNvPr id="962599" name="Object 39" hidden="1">
              <a:extLst>
                <a:ext uri="{63B3BB69-23CF-44E3-9099-C40C66FF867C}">
                  <a14:compatExt spid="_x0000_s962599"/>
                </a:ext>
                <a:ext uri="{FF2B5EF4-FFF2-40B4-BE49-F238E27FC236}">
                  <a16:creationId xmlns:a16="http://schemas.microsoft.com/office/drawing/2014/main" id="{00000000-0008-0000-0700-000027B00E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142875</xdr:colOff>
          <xdr:row>112</xdr:row>
          <xdr:rowOff>9525</xdr:rowOff>
        </xdr:from>
        <xdr:to>
          <xdr:col>11</xdr:col>
          <xdr:colOff>180975</xdr:colOff>
          <xdr:row>114</xdr:row>
          <xdr:rowOff>114300</xdr:rowOff>
        </xdr:to>
        <xdr:sp macro="" textlink="">
          <xdr:nvSpPr>
            <xdr:cNvPr id="962605" name="Object 45" hidden="1">
              <a:extLst>
                <a:ext uri="{63B3BB69-23CF-44E3-9099-C40C66FF867C}">
                  <a14:compatExt spid="_x0000_s962605"/>
                </a:ext>
                <a:ext uri="{FF2B5EF4-FFF2-40B4-BE49-F238E27FC236}">
                  <a16:creationId xmlns:a16="http://schemas.microsoft.com/office/drawing/2014/main" id="{00000000-0008-0000-0700-00002DB00E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95250</xdr:colOff>
          <xdr:row>263</xdr:row>
          <xdr:rowOff>123825</xdr:rowOff>
        </xdr:from>
        <xdr:to>
          <xdr:col>13</xdr:col>
          <xdr:colOff>257175</xdr:colOff>
          <xdr:row>264</xdr:row>
          <xdr:rowOff>171450</xdr:rowOff>
        </xdr:to>
        <xdr:sp macro="" textlink="">
          <xdr:nvSpPr>
            <xdr:cNvPr id="962893" name="Object 333" hidden="1">
              <a:extLst>
                <a:ext uri="{63B3BB69-23CF-44E3-9099-C40C66FF867C}">
                  <a14:compatExt spid="_x0000_s962893"/>
                </a:ext>
                <a:ext uri="{FF2B5EF4-FFF2-40B4-BE49-F238E27FC236}">
                  <a16:creationId xmlns:a16="http://schemas.microsoft.com/office/drawing/2014/main" id="{00000000-0008-0000-0700-00004DB10E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270</xdr:row>
          <xdr:rowOff>0</xdr:rowOff>
        </xdr:from>
        <xdr:to>
          <xdr:col>3</xdr:col>
          <xdr:colOff>38100</xdr:colOff>
          <xdr:row>270</xdr:row>
          <xdr:rowOff>257175</xdr:rowOff>
        </xdr:to>
        <xdr:sp macro="" textlink="">
          <xdr:nvSpPr>
            <xdr:cNvPr id="962895" name="Object 335" hidden="1">
              <a:extLst>
                <a:ext uri="{63B3BB69-23CF-44E3-9099-C40C66FF867C}">
                  <a14:compatExt spid="_x0000_s962895"/>
                </a:ext>
                <a:ext uri="{FF2B5EF4-FFF2-40B4-BE49-F238E27FC236}">
                  <a16:creationId xmlns:a16="http://schemas.microsoft.com/office/drawing/2014/main" id="{00000000-0008-0000-0700-00004FB10E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104775</xdr:colOff>
          <xdr:row>277</xdr:row>
          <xdr:rowOff>180975</xdr:rowOff>
        </xdr:from>
        <xdr:to>
          <xdr:col>11</xdr:col>
          <xdr:colOff>285750</xdr:colOff>
          <xdr:row>279</xdr:row>
          <xdr:rowOff>28575</xdr:rowOff>
        </xdr:to>
        <xdr:sp macro="" textlink="">
          <xdr:nvSpPr>
            <xdr:cNvPr id="962901" name="Object 341" hidden="1">
              <a:extLst>
                <a:ext uri="{63B3BB69-23CF-44E3-9099-C40C66FF867C}">
                  <a14:compatExt spid="_x0000_s962901"/>
                </a:ext>
                <a:ext uri="{FF2B5EF4-FFF2-40B4-BE49-F238E27FC236}">
                  <a16:creationId xmlns:a16="http://schemas.microsoft.com/office/drawing/2014/main" id="{00000000-0008-0000-0700-000055B10E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0</xdr:colOff>
          <xdr:row>283</xdr:row>
          <xdr:rowOff>0</xdr:rowOff>
        </xdr:from>
        <xdr:to>
          <xdr:col>3</xdr:col>
          <xdr:colOff>38100</xdr:colOff>
          <xdr:row>283</xdr:row>
          <xdr:rowOff>238125</xdr:rowOff>
        </xdr:to>
        <xdr:sp macro="" textlink="">
          <xdr:nvSpPr>
            <xdr:cNvPr id="962903" name="Object 343" hidden="1">
              <a:extLst>
                <a:ext uri="{63B3BB69-23CF-44E3-9099-C40C66FF867C}">
                  <a14:compatExt spid="_x0000_s962903"/>
                </a:ext>
                <a:ext uri="{FF2B5EF4-FFF2-40B4-BE49-F238E27FC236}">
                  <a16:creationId xmlns:a16="http://schemas.microsoft.com/office/drawing/2014/main" id="{00000000-0008-0000-0700-000057B10E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0</xdr:col>
      <xdr:colOff>219075</xdr:colOff>
      <xdr:row>170</xdr:row>
      <xdr:rowOff>161925</xdr:rowOff>
    </xdr:from>
    <xdr:to>
      <xdr:col>19</xdr:col>
      <xdr:colOff>152400</xdr:colOff>
      <xdr:row>174</xdr:row>
      <xdr:rowOff>133350</xdr:rowOff>
    </xdr:to>
    <xdr:pic>
      <xdr:nvPicPr>
        <xdr:cNvPr id="15199553" name="Picture 7" descr="ARPNSA_strip_blue_16cm">
          <a:extLst>
            <a:ext uri="{FF2B5EF4-FFF2-40B4-BE49-F238E27FC236}">
              <a16:creationId xmlns:a16="http://schemas.microsoft.com/office/drawing/2014/main" id="{00000000-0008-0000-0700-000041EDE7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19075" y="41348025"/>
          <a:ext cx="554355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762000</xdr:colOff>
      <xdr:row>75</xdr:row>
      <xdr:rowOff>142875</xdr:rowOff>
    </xdr:from>
    <xdr:to>
      <xdr:col>13</xdr:col>
      <xdr:colOff>466725</xdr:colOff>
      <xdr:row>105</xdr:row>
      <xdr:rowOff>85725</xdr:rowOff>
    </xdr:to>
    <xdr:graphicFrame macro="">
      <xdr:nvGraphicFramePr>
        <xdr:cNvPr id="13025124" name="Chart 1">
          <a:extLst>
            <a:ext uri="{FF2B5EF4-FFF2-40B4-BE49-F238E27FC236}">
              <a16:creationId xmlns:a16="http://schemas.microsoft.com/office/drawing/2014/main" id="{00000000-0008-0000-0800-000064BFC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16</xdr:col>
          <xdr:colOff>114300</xdr:colOff>
          <xdr:row>75</xdr:row>
          <xdr:rowOff>66675</xdr:rowOff>
        </xdr:from>
        <xdr:to>
          <xdr:col>19</xdr:col>
          <xdr:colOff>0</xdr:colOff>
          <xdr:row>77</xdr:row>
          <xdr:rowOff>114300</xdr:rowOff>
        </xdr:to>
        <xdr:sp macro="" textlink="">
          <xdr:nvSpPr>
            <xdr:cNvPr id="3075" name="CommandButton1" hidden="1">
              <a:extLst>
                <a:ext uri="{63B3BB69-23CF-44E3-9099-C40C66FF867C}">
                  <a14:compatExt spid="_x0000_s3075"/>
                </a:ext>
                <a:ext uri="{FF2B5EF4-FFF2-40B4-BE49-F238E27FC236}">
                  <a16:creationId xmlns:a16="http://schemas.microsoft.com/office/drawing/2014/main" id="{00000000-0008-0000-0800-000003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26</xdr:col>
      <xdr:colOff>0</xdr:colOff>
      <xdr:row>31</xdr:row>
      <xdr:rowOff>0</xdr:rowOff>
    </xdr:from>
    <xdr:to>
      <xdr:col>40</xdr:col>
      <xdr:colOff>285750</xdr:colOff>
      <xdr:row>60</xdr:row>
      <xdr:rowOff>104775</xdr:rowOff>
    </xdr:to>
    <xdr:graphicFrame macro="">
      <xdr:nvGraphicFramePr>
        <xdr:cNvPr id="13025125" name="Chart 1">
          <a:extLst>
            <a:ext uri="{FF2B5EF4-FFF2-40B4-BE49-F238E27FC236}">
              <a16:creationId xmlns:a16="http://schemas.microsoft.com/office/drawing/2014/main" id="{00000000-0008-0000-0800-000065BFC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0</xdr:colOff>
      <xdr:row>65</xdr:row>
      <xdr:rowOff>0</xdr:rowOff>
    </xdr:from>
    <xdr:to>
      <xdr:col>40</xdr:col>
      <xdr:colOff>285750</xdr:colOff>
      <xdr:row>94</xdr:row>
      <xdr:rowOff>104775</xdr:rowOff>
    </xdr:to>
    <xdr:graphicFrame macro="">
      <xdr:nvGraphicFramePr>
        <xdr:cNvPr id="13025126" name="Chart 1">
          <a:extLst>
            <a:ext uri="{FF2B5EF4-FFF2-40B4-BE49-F238E27FC236}">
              <a16:creationId xmlns:a16="http://schemas.microsoft.com/office/drawing/2014/main" id="{00000000-0008-0000-0800-000066BFC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0</xdr:colOff>
      <xdr:row>97</xdr:row>
      <xdr:rowOff>0</xdr:rowOff>
    </xdr:from>
    <xdr:to>
      <xdr:col>40</xdr:col>
      <xdr:colOff>285750</xdr:colOff>
      <xdr:row>126</xdr:row>
      <xdr:rowOff>104775</xdr:rowOff>
    </xdr:to>
    <xdr:graphicFrame macro="">
      <xdr:nvGraphicFramePr>
        <xdr:cNvPr id="13025127" name="Chart 1">
          <a:extLst>
            <a:ext uri="{FF2B5EF4-FFF2-40B4-BE49-F238E27FC236}">
              <a16:creationId xmlns:a16="http://schemas.microsoft.com/office/drawing/2014/main" id="{00000000-0008-0000-0800-000067BFC6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8</xdr:col>
          <xdr:colOff>133350</xdr:colOff>
          <xdr:row>3</xdr:row>
          <xdr:rowOff>66675</xdr:rowOff>
        </xdr:from>
        <xdr:to>
          <xdr:col>11</xdr:col>
          <xdr:colOff>152400</xdr:colOff>
          <xdr:row>5</xdr:row>
          <xdr:rowOff>123825</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800-00000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Sign MEX Report as Tester</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15</xdr:col>
      <xdr:colOff>50800</xdr:colOff>
      <xdr:row>11</xdr:row>
      <xdr:rowOff>25400</xdr:rowOff>
    </xdr:from>
    <xdr:to>
      <xdr:col>17</xdr:col>
      <xdr:colOff>508000</xdr:colOff>
      <xdr:row>13</xdr:row>
      <xdr:rowOff>53975</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906000" y="1879600"/>
          <a:ext cx="1676400" cy="358775"/>
        </a:xfrm>
        <a:prstGeom prst="rect">
          <a:avLst/>
        </a:prstGeom>
        <a:solidFill>
          <a:schemeClr val="bg1"/>
        </a:solidFill>
      </xdr:spPr>
    </xdr:pic>
    <xdr:clientData/>
  </xdr:twoCellAnchor>
  <xdr:twoCellAnchor>
    <xdr:from>
      <xdr:col>15</xdr:col>
      <xdr:colOff>47625</xdr:colOff>
      <xdr:row>13</xdr:row>
      <xdr:rowOff>57150</xdr:rowOff>
    </xdr:from>
    <xdr:to>
      <xdr:col>17</xdr:col>
      <xdr:colOff>485775</xdr:colOff>
      <xdr:row>15</xdr:row>
      <xdr:rowOff>95250</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2">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886950" y="2238375"/>
          <a:ext cx="1657350" cy="361950"/>
        </a:xfrm>
        <a:prstGeom prst="rect">
          <a:avLst/>
        </a:prstGeom>
        <a:solidFill>
          <a:schemeClr val="bg1"/>
        </a:solidFill>
      </xdr:spPr>
    </xdr:pic>
    <xdr:clientData/>
  </xdr:twoCellAnchor>
  <xdr:twoCellAnchor>
    <xdr:from>
      <xdr:col>15</xdr:col>
      <xdr:colOff>38100</xdr:colOff>
      <xdr:row>17</xdr:row>
      <xdr:rowOff>0</xdr:rowOff>
    </xdr:from>
    <xdr:to>
      <xdr:col>18</xdr:col>
      <xdr:colOff>66675</xdr:colOff>
      <xdr:row>20</xdr:row>
      <xdr:rowOff>19050</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3">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9877425" y="2828925"/>
          <a:ext cx="1857375" cy="504825"/>
        </a:xfrm>
        <a:prstGeom prst="rect">
          <a:avLst/>
        </a:prstGeom>
        <a:solidFill>
          <a:schemeClr val="bg1"/>
        </a:solidFill>
      </xdr:spPr>
    </xdr:pic>
    <xdr:clientData/>
  </xdr:twoCellAnchor>
</xdr:wsDr>
</file>

<file path=xl/drawings/drawing8.xml><?xml version="1.0" encoding="utf-8"?>
<xdr:wsDr xmlns:xdr="http://schemas.openxmlformats.org/drawingml/2006/spreadsheetDrawing" xmlns:a="http://schemas.openxmlformats.org/drawingml/2006/main">
  <xdr:twoCellAnchor>
    <xdr:from>
      <xdr:col>21</xdr:col>
      <xdr:colOff>342900</xdr:colOff>
      <xdr:row>6</xdr:row>
      <xdr:rowOff>57150</xdr:rowOff>
    </xdr:from>
    <xdr:to>
      <xdr:col>30</xdr:col>
      <xdr:colOff>485775</xdr:colOff>
      <xdr:row>22</xdr:row>
      <xdr:rowOff>47625</xdr:rowOff>
    </xdr:to>
    <xdr:graphicFrame macro="">
      <xdr:nvGraphicFramePr>
        <xdr:cNvPr id="9600946" name="Chart 1">
          <a:extLst>
            <a:ext uri="{FF2B5EF4-FFF2-40B4-BE49-F238E27FC236}">
              <a16:creationId xmlns:a16="http://schemas.microsoft.com/office/drawing/2014/main" id="{00000000-0008-0000-0A00-0000B27F9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447675</xdr:colOff>
      <xdr:row>20</xdr:row>
      <xdr:rowOff>76200</xdr:rowOff>
    </xdr:from>
    <xdr:to>
      <xdr:col>8</xdr:col>
      <xdr:colOff>114300</xdr:colOff>
      <xdr:row>38</xdr:row>
      <xdr:rowOff>9525</xdr:rowOff>
    </xdr:to>
    <xdr:graphicFrame macro="">
      <xdr:nvGraphicFramePr>
        <xdr:cNvPr id="9600947" name="Chart 2">
          <a:extLst>
            <a:ext uri="{FF2B5EF4-FFF2-40B4-BE49-F238E27FC236}">
              <a16:creationId xmlns:a16="http://schemas.microsoft.com/office/drawing/2014/main" id="{00000000-0008-0000-0A00-0000B37F9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104775</xdr:colOff>
      <xdr:row>42</xdr:row>
      <xdr:rowOff>76200</xdr:rowOff>
    </xdr:from>
    <xdr:to>
      <xdr:col>5</xdr:col>
      <xdr:colOff>161925</xdr:colOff>
      <xdr:row>48</xdr:row>
      <xdr:rowOff>76200</xdr:rowOff>
    </xdr:to>
    <xdr:pic>
      <xdr:nvPicPr>
        <xdr:cNvPr id="14846664" name="Picture 4" descr="725038">
          <a:extLst>
            <a:ext uri="{FF2B5EF4-FFF2-40B4-BE49-F238E27FC236}">
              <a16:creationId xmlns:a16="http://schemas.microsoft.com/office/drawing/2014/main" id="{00000000-0008-0000-0B00-0000C88AE2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90600" y="8372475"/>
          <a:ext cx="647700"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76200</xdr:colOff>
      <xdr:row>42</xdr:row>
      <xdr:rowOff>76200</xdr:rowOff>
    </xdr:from>
    <xdr:to>
      <xdr:col>16</xdr:col>
      <xdr:colOff>28575</xdr:colOff>
      <xdr:row>46</xdr:row>
      <xdr:rowOff>47625</xdr:rowOff>
    </xdr:to>
    <xdr:pic>
      <xdr:nvPicPr>
        <xdr:cNvPr id="14846665" name="Picture 5" descr="CIPM_MRA_Logo-big">
          <a:extLst>
            <a:ext uri="{FF2B5EF4-FFF2-40B4-BE49-F238E27FC236}">
              <a16:creationId xmlns:a16="http://schemas.microsoft.com/office/drawing/2014/main" id="{00000000-0008-0000-0B00-0000C98AE2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4225" y="8372475"/>
          <a:ext cx="14287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123825</xdr:colOff>
      <xdr:row>0</xdr:row>
      <xdr:rowOff>66675</xdr:rowOff>
    </xdr:from>
    <xdr:to>
      <xdr:col>19</xdr:col>
      <xdr:colOff>57150</xdr:colOff>
      <xdr:row>5</xdr:row>
      <xdr:rowOff>0</xdr:rowOff>
    </xdr:to>
    <xdr:pic>
      <xdr:nvPicPr>
        <xdr:cNvPr id="14846666" name="Picture 6" descr="ARPNSA_strip_blue_16cm">
          <a:extLst>
            <a:ext uri="{FF2B5EF4-FFF2-40B4-BE49-F238E27FC236}">
              <a16:creationId xmlns:a16="http://schemas.microsoft.com/office/drawing/2014/main" id="{00000000-0008-0000-0B00-0000CA8AE2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825" y="66675"/>
          <a:ext cx="554355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161925</xdr:colOff>
      <xdr:row>97</xdr:row>
      <xdr:rowOff>38100</xdr:rowOff>
    </xdr:from>
    <xdr:to>
      <xdr:col>19</xdr:col>
      <xdr:colOff>95250</xdr:colOff>
      <xdr:row>101</xdr:row>
      <xdr:rowOff>123825</xdr:rowOff>
    </xdr:to>
    <xdr:pic>
      <xdr:nvPicPr>
        <xdr:cNvPr id="14846667" name="Picture 7" descr="ARPNSA_strip_blue_16cm">
          <a:extLst>
            <a:ext uri="{FF2B5EF4-FFF2-40B4-BE49-F238E27FC236}">
              <a16:creationId xmlns:a16="http://schemas.microsoft.com/office/drawing/2014/main" id="{00000000-0008-0000-0B00-0000CB8AE2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61925" y="20688300"/>
          <a:ext cx="554355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9525</xdr:colOff>
      <xdr:row>218</xdr:row>
      <xdr:rowOff>0</xdr:rowOff>
    </xdr:from>
    <xdr:to>
      <xdr:col>19</xdr:col>
      <xdr:colOff>238125</xdr:colOff>
      <xdr:row>235</xdr:row>
      <xdr:rowOff>123825</xdr:rowOff>
    </xdr:to>
    <xdr:graphicFrame macro="">
      <xdr:nvGraphicFramePr>
        <xdr:cNvPr id="14846668" name="Chart 1">
          <a:extLst>
            <a:ext uri="{FF2B5EF4-FFF2-40B4-BE49-F238E27FC236}">
              <a16:creationId xmlns:a16="http://schemas.microsoft.com/office/drawing/2014/main" id="{00000000-0008-0000-0B00-0000CC8AE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209550</xdr:colOff>
      <xdr:row>141</xdr:row>
      <xdr:rowOff>47625</xdr:rowOff>
    </xdr:from>
    <xdr:to>
      <xdr:col>19</xdr:col>
      <xdr:colOff>142875</xdr:colOff>
      <xdr:row>141</xdr:row>
      <xdr:rowOff>809625</xdr:rowOff>
    </xdr:to>
    <xdr:pic>
      <xdr:nvPicPr>
        <xdr:cNvPr id="14846669" name="Picture 7" descr="ARPNSA_strip_blue_16cm">
          <a:extLst>
            <a:ext uri="{FF2B5EF4-FFF2-40B4-BE49-F238E27FC236}">
              <a16:creationId xmlns:a16="http://schemas.microsoft.com/office/drawing/2014/main" id="{00000000-0008-0000-0B00-0000CD8AE2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09550" y="31061025"/>
          <a:ext cx="5543550" cy="762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28575</xdr:colOff>
      <xdr:row>242</xdr:row>
      <xdr:rowOff>114300</xdr:rowOff>
    </xdr:from>
    <xdr:to>
      <xdr:col>19</xdr:col>
      <xdr:colOff>257175</xdr:colOff>
      <xdr:row>263</xdr:row>
      <xdr:rowOff>76200</xdr:rowOff>
    </xdr:to>
    <xdr:graphicFrame macro="">
      <xdr:nvGraphicFramePr>
        <xdr:cNvPr id="14846670" name="Chart 1">
          <a:extLst>
            <a:ext uri="{FF2B5EF4-FFF2-40B4-BE49-F238E27FC236}">
              <a16:creationId xmlns:a16="http://schemas.microsoft.com/office/drawing/2014/main" id="{00000000-0008-0000-0B00-0000CE8AE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38100</xdr:colOff>
      <xdr:row>269</xdr:row>
      <xdr:rowOff>123825</xdr:rowOff>
    </xdr:from>
    <xdr:to>
      <xdr:col>19</xdr:col>
      <xdr:colOff>266700</xdr:colOff>
      <xdr:row>290</xdr:row>
      <xdr:rowOff>85725</xdr:rowOff>
    </xdr:to>
    <xdr:graphicFrame macro="">
      <xdr:nvGraphicFramePr>
        <xdr:cNvPr id="14846671" name="Chart 1">
          <a:extLst>
            <a:ext uri="{FF2B5EF4-FFF2-40B4-BE49-F238E27FC236}">
              <a16:creationId xmlns:a16="http://schemas.microsoft.com/office/drawing/2014/main" id="{00000000-0008-0000-0B00-0000CF8AE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356659</xdr:colOff>
      <xdr:row>23</xdr:row>
      <xdr:rowOff>121709</xdr:rowOff>
    </xdr:from>
    <xdr:to>
      <xdr:col>15</xdr:col>
      <xdr:colOff>413809</xdr:colOff>
      <xdr:row>41</xdr:row>
      <xdr:rowOff>147109</xdr:rowOff>
    </xdr:to>
    <xdr:graphicFrame macro="">
      <xdr:nvGraphicFramePr>
        <xdr:cNvPr id="11173220" name="Chart 1">
          <a:extLst>
            <a:ext uri="{FF2B5EF4-FFF2-40B4-BE49-F238E27FC236}">
              <a16:creationId xmlns:a16="http://schemas.microsoft.com/office/drawing/2014/main" id="{00000000-0008-0000-0C00-0000647DAA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16</xdr:col>
          <xdr:colOff>161925</xdr:colOff>
          <xdr:row>23</xdr:row>
          <xdr:rowOff>57150</xdr:rowOff>
        </xdr:from>
        <xdr:to>
          <xdr:col>19</xdr:col>
          <xdr:colOff>47625</xdr:colOff>
          <xdr:row>25</xdr:row>
          <xdr:rowOff>104775</xdr:rowOff>
        </xdr:to>
        <xdr:sp macro="" textlink="">
          <xdr:nvSpPr>
            <xdr:cNvPr id="6146" name="CommandButton1" hidden="1">
              <a:extLst>
                <a:ext uri="{63B3BB69-23CF-44E3-9099-C40C66FF867C}">
                  <a14:compatExt spid="_x0000_s6146"/>
                </a:ext>
                <a:ext uri="{FF2B5EF4-FFF2-40B4-BE49-F238E27FC236}">
                  <a16:creationId xmlns:a16="http://schemas.microsoft.com/office/drawing/2014/main" id="{00000000-0008-0000-0C00-00000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66675</xdr:colOff>
          <xdr:row>3</xdr:row>
          <xdr:rowOff>85725</xdr:rowOff>
        </xdr:from>
        <xdr:to>
          <xdr:col>10</xdr:col>
          <xdr:colOff>9525</xdr:colOff>
          <xdr:row>5</xdr:row>
          <xdr:rowOff>28575</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C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Sign LEX report as Tester</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3</xdr:col>
      <xdr:colOff>104775</xdr:colOff>
      <xdr:row>41</xdr:row>
      <xdr:rowOff>76200</xdr:rowOff>
    </xdr:from>
    <xdr:to>
      <xdr:col>5</xdr:col>
      <xdr:colOff>161925</xdr:colOff>
      <xdr:row>47</xdr:row>
      <xdr:rowOff>76200</xdr:rowOff>
    </xdr:to>
    <xdr:pic>
      <xdr:nvPicPr>
        <xdr:cNvPr id="13037412" name="Picture 4" descr="725038">
          <a:extLst>
            <a:ext uri="{FF2B5EF4-FFF2-40B4-BE49-F238E27FC236}">
              <a16:creationId xmlns:a16="http://schemas.microsoft.com/office/drawing/2014/main" id="{00000000-0008-0000-0D00-000064EFC6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90600" y="8267700"/>
          <a:ext cx="647700"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76200</xdr:colOff>
      <xdr:row>41</xdr:row>
      <xdr:rowOff>76200</xdr:rowOff>
    </xdr:from>
    <xdr:to>
      <xdr:col>16</xdr:col>
      <xdr:colOff>28575</xdr:colOff>
      <xdr:row>45</xdr:row>
      <xdr:rowOff>47625</xdr:rowOff>
    </xdr:to>
    <xdr:pic>
      <xdr:nvPicPr>
        <xdr:cNvPr id="13037413" name="Picture 5" descr="CIPM_MRA_Logo-big">
          <a:extLst>
            <a:ext uri="{FF2B5EF4-FFF2-40B4-BE49-F238E27FC236}">
              <a16:creationId xmlns:a16="http://schemas.microsoft.com/office/drawing/2014/main" id="{00000000-0008-0000-0D00-000065EFC6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324225" y="8267700"/>
          <a:ext cx="14287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123825</xdr:colOff>
      <xdr:row>0</xdr:row>
      <xdr:rowOff>66675</xdr:rowOff>
    </xdr:from>
    <xdr:to>
      <xdr:col>19</xdr:col>
      <xdr:colOff>57150</xdr:colOff>
      <xdr:row>4</xdr:row>
      <xdr:rowOff>161925</xdr:rowOff>
    </xdr:to>
    <xdr:pic>
      <xdr:nvPicPr>
        <xdr:cNvPr id="13037414" name="Picture 6" descr="ARPNSA_strip_blue_16cm">
          <a:extLst>
            <a:ext uri="{FF2B5EF4-FFF2-40B4-BE49-F238E27FC236}">
              <a16:creationId xmlns:a16="http://schemas.microsoft.com/office/drawing/2014/main" id="{00000000-0008-0000-0D00-000066EFC6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23825" y="66675"/>
          <a:ext cx="554355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152400</xdr:colOff>
      <xdr:row>137</xdr:row>
      <xdr:rowOff>76200</xdr:rowOff>
    </xdr:from>
    <xdr:to>
      <xdr:col>19</xdr:col>
      <xdr:colOff>85725</xdr:colOff>
      <xdr:row>142</xdr:row>
      <xdr:rowOff>0</xdr:rowOff>
    </xdr:to>
    <xdr:pic>
      <xdr:nvPicPr>
        <xdr:cNvPr id="13037415" name="Picture 7" descr="ARPNSA_strip_blue_16cm">
          <a:extLst>
            <a:ext uri="{FF2B5EF4-FFF2-40B4-BE49-F238E27FC236}">
              <a16:creationId xmlns:a16="http://schemas.microsoft.com/office/drawing/2014/main" id="{00000000-0008-0000-0D00-000067EFC6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52400" y="30803850"/>
          <a:ext cx="554355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20</xdr:col>
      <xdr:colOff>82550</xdr:colOff>
      <xdr:row>49</xdr:row>
      <xdr:rowOff>111125</xdr:rowOff>
    </xdr:from>
    <xdr:to>
      <xdr:col>31</xdr:col>
      <xdr:colOff>381000</xdr:colOff>
      <xdr:row>88</xdr:row>
      <xdr:rowOff>152400</xdr:rowOff>
    </xdr:to>
    <xdr:graphicFrame macro="">
      <xdr:nvGraphicFramePr>
        <xdr:cNvPr id="9610221" name="Chart 45">
          <a:extLst>
            <a:ext uri="{FF2B5EF4-FFF2-40B4-BE49-F238E27FC236}">
              <a16:creationId xmlns:a16="http://schemas.microsoft.com/office/drawing/2014/main" id="{00000000-0008-0000-0E00-0000EDA39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95250</xdr:colOff>
      <xdr:row>10</xdr:row>
      <xdr:rowOff>63500</xdr:rowOff>
    </xdr:from>
    <xdr:to>
      <xdr:col>31</xdr:col>
      <xdr:colOff>396875</xdr:colOff>
      <xdr:row>49</xdr:row>
      <xdr:rowOff>44450</xdr:rowOff>
    </xdr:to>
    <xdr:graphicFrame macro="">
      <xdr:nvGraphicFramePr>
        <xdr:cNvPr id="9610222" name="Chart 1">
          <a:extLst>
            <a:ext uri="{FF2B5EF4-FFF2-40B4-BE49-F238E27FC236}">
              <a16:creationId xmlns:a16="http://schemas.microsoft.com/office/drawing/2014/main" id="{00000000-0008-0000-0E00-0000EEA392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8</xdr:col>
          <xdr:colOff>171450</xdr:colOff>
          <xdr:row>6</xdr:row>
          <xdr:rowOff>85725</xdr:rowOff>
        </xdr:from>
        <xdr:to>
          <xdr:col>10</xdr:col>
          <xdr:colOff>485775</xdr:colOff>
          <xdr:row>8</xdr:row>
          <xdr:rowOff>85725</xdr:rowOff>
        </xdr:to>
        <xdr:sp macro="" textlink="">
          <xdr:nvSpPr>
            <xdr:cNvPr id="9609908" name="Button 1716" hidden="1">
              <a:extLst>
                <a:ext uri="{63B3BB69-23CF-44E3-9099-C40C66FF867C}">
                  <a14:compatExt spid="_x0000_s9609908"/>
                </a:ext>
                <a:ext uri="{FF2B5EF4-FFF2-40B4-BE49-F238E27FC236}">
                  <a16:creationId xmlns:a16="http://schemas.microsoft.com/office/drawing/2014/main" id="{00000000-0008-0000-0E00-0000B4A29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Sign MVP report as Tester</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0</xdr:col>
      <xdr:colOff>123825</xdr:colOff>
      <xdr:row>0</xdr:row>
      <xdr:rowOff>66675</xdr:rowOff>
    </xdr:from>
    <xdr:to>
      <xdr:col>19</xdr:col>
      <xdr:colOff>57150</xdr:colOff>
      <xdr:row>4</xdr:row>
      <xdr:rowOff>161925</xdr:rowOff>
    </xdr:to>
    <xdr:pic>
      <xdr:nvPicPr>
        <xdr:cNvPr id="15257540" name="Picture 6" descr="ARPNSA_strip_blue_16cm">
          <a:extLst>
            <a:ext uri="{FF2B5EF4-FFF2-40B4-BE49-F238E27FC236}">
              <a16:creationId xmlns:a16="http://schemas.microsoft.com/office/drawing/2014/main" id="{00000000-0008-0000-0F00-0000C4CFE8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66675"/>
          <a:ext cx="554355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161925</xdr:colOff>
      <xdr:row>205</xdr:row>
      <xdr:rowOff>38100</xdr:rowOff>
    </xdr:from>
    <xdr:to>
      <xdr:col>19</xdr:col>
      <xdr:colOff>95250</xdr:colOff>
      <xdr:row>209</xdr:row>
      <xdr:rowOff>123825</xdr:rowOff>
    </xdr:to>
    <xdr:pic>
      <xdr:nvPicPr>
        <xdr:cNvPr id="15257541" name="Picture 7" descr="ARPNSA_strip_blue_16cm">
          <a:extLst>
            <a:ext uri="{FF2B5EF4-FFF2-40B4-BE49-F238E27FC236}">
              <a16:creationId xmlns:a16="http://schemas.microsoft.com/office/drawing/2014/main" id="{00000000-0008-0000-0F00-0000C5CFE8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51463575"/>
          <a:ext cx="554355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47625</xdr:colOff>
          <xdr:row>102</xdr:row>
          <xdr:rowOff>85725</xdr:rowOff>
        </xdr:from>
        <xdr:to>
          <xdr:col>12</xdr:col>
          <xdr:colOff>104775</xdr:colOff>
          <xdr:row>104</xdr:row>
          <xdr:rowOff>152400</xdr:rowOff>
        </xdr:to>
        <xdr:sp macro="" textlink="">
          <xdr:nvSpPr>
            <xdr:cNvPr id="13413377" name="Object 1" hidden="1">
              <a:extLst>
                <a:ext uri="{63B3BB69-23CF-44E3-9099-C40C66FF867C}">
                  <a14:compatExt spid="_x0000_s13413377"/>
                </a:ext>
                <a:ext uri="{FF2B5EF4-FFF2-40B4-BE49-F238E27FC236}">
                  <a16:creationId xmlns:a16="http://schemas.microsoft.com/office/drawing/2014/main" id="{00000000-0008-0000-0F00-000001ACCC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142875</xdr:colOff>
          <xdr:row>116</xdr:row>
          <xdr:rowOff>9525</xdr:rowOff>
        </xdr:from>
        <xdr:to>
          <xdr:col>11</xdr:col>
          <xdr:colOff>180975</xdr:colOff>
          <xdr:row>118</xdr:row>
          <xdr:rowOff>114300</xdr:rowOff>
        </xdr:to>
        <xdr:sp macro="" textlink="">
          <xdr:nvSpPr>
            <xdr:cNvPr id="13413378" name="Object 2" hidden="1">
              <a:extLst>
                <a:ext uri="{63B3BB69-23CF-44E3-9099-C40C66FF867C}">
                  <a14:compatExt spid="_x0000_s13413378"/>
                </a:ext>
                <a:ext uri="{FF2B5EF4-FFF2-40B4-BE49-F238E27FC236}">
                  <a16:creationId xmlns:a16="http://schemas.microsoft.com/office/drawing/2014/main" id="{00000000-0008-0000-0F00-000002ACCC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0</xdr:col>
      <xdr:colOff>57150</xdr:colOff>
      <xdr:row>250</xdr:row>
      <xdr:rowOff>28575</xdr:rowOff>
    </xdr:from>
    <xdr:to>
      <xdr:col>19</xdr:col>
      <xdr:colOff>266700</xdr:colOff>
      <xdr:row>281</xdr:row>
      <xdr:rowOff>219075</xdr:rowOff>
    </xdr:to>
    <xdr:graphicFrame macro="">
      <xdr:nvGraphicFramePr>
        <xdr:cNvPr id="15257542" name="Chart 1">
          <a:extLst>
            <a:ext uri="{FF2B5EF4-FFF2-40B4-BE49-F238E27FC236}">
              <a16:creationId xmlns:a16="http://schemas.microsoft.com/office/drawing/2014/main" id="{00000000-0008-0000-0F00-0000C6CFE8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85725</xdr:colOff>
          <xdr:row>108</xdr:row>
          <xdr:rowOff>28575</xdr:rowOff>
        </xdr:from>
        <xdr:to>
          <xdr:col>12</xdr:col>
          <xdr:colOff>133350</xdr:colOff>
          <xdr:row>110</xdr:row>
          <xdr:rowOff>161925</xdr:rowOff>
        </xdr:to>
        <xdr:sp macro="" textlink="">
          <xdr:nvSpPr>
            <xdr:cNvPr id="13413379" name="Object 3" hidden="1">
              <a:extLst>
                <a:ext uri="{63B3BB69-23CF-44E3-9099-C40C66FF867C}">
                  <a14:compatExt spid="_x0000_s13413379"/>
                </a:ext>
                <a:ext uri="{FF2B5EF4-FFF2-40B4-BE49-F238E27FC236}">
                  <a16:creationId xmlns:a16="http://schemas.microsoft.com/office/drawing/2014/main" id="{00000000-0008-0000-0F00-000003ACCC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oneCellAnchor>
    <xdr:from>
      <xdr:col>4</xdr:col>
      <xdr:colOff>104775</xdr:colOff>
      <xdr:row>305</xdr:row>
      <xdr:rowOff>175101</xdr:rowOff>
    </xdr:from>
    <xdr:ext cx="3116749" cy="314552"/>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F00-000008000000}"/>
                </a:ext>
              </a:extLst>
            </xdr:cNvPr>
            <xdr:cNvSpPr txBox="1"/>
          </xdr:nvSpPr>
          <xdr:spPr>
            <a:xfrm>
              <a:off x="1285875" y="63687801"/>
              <a:ext cx="3116749" cy="3145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b="0" i="1">
                            <a:latin typeface="Cambria Math" panose="02040503050406030204" pitchFamily="18" charset="0"/>
                          </a:rPr>
                        </m:ctrlPr>
                      </m:sSubPr>
                      <m:e>
                        <m:r>
                          <a:rPr lang="en-AU" sz="1200" b="0" i="1">
                            <a:latin typeface="Cambria Math"/>
                          </a:rPr>
                          <m:t>𝐷</m:t>
                        </m:r>
                      </m:e>
                      <m:sub>
                        <m:r>
                          <a:rPr lang="en-AU" sz="1200" b="0" i="1">
                            <a:latin typeface="Cambria Math"/>
                          </a:rPr>
                          <m:t>𝑤</m:t>
                        </m:r>
                        <m:r>
                          <a:rPr lang="en-AU" sz="1200" b="0" i="1">
                            <a:latin typeface="Cambria Math"/>
                          </a:rPr>
                          <m:t>,</m:t>
                        </m:r>
                        <m:r>
                          <a:rPr lang="en-AU" sz="1200" b="0" i="1">
                            <a:latin typeface="Cambria Math"/>
                          </a:rPr>
                          <m:t>𝑄</m:t>
                        </m:r>
                      </m:sub>
                    </m:sSub>
                    <m:d>
                      <m:dPr>
                        <m:ctrlPr>
                          <a:rPr lang="en-AU" sz="1200" b="0" i="1">
                            <a:latin typeface="Cambria Math" panose="02040503050406030204" pitchFamily="18" charset="0"/>
                          </a:rPr>
                        </m:ctrlPr>
                      </m:dPr>
                      <m:e>
                        <m:sSub>
                          <m:sSubPr>
                            <m:ctrlPr>
                              <a:rPr lang="en-AU" sz="1200" b="0" i="1">
                                <a:latin typeface="Cambria Math" panose="02040503050406030204" pitchFamily="18" charset="0"/>
                              </a:rPr>
                            </m:ctrlPr>
                          </m:sSubPr>
                          <m:e>
                            <m:r>
                              <a:rPr lang="en-AU" sz="1200" b="0" i="1">
                                <a:latin typeface="Cambria Math"/>
                              </a:rPr>
                              <m:t>𝑧</m:t>
                            </m:r>
                          </m:e>
                          <m:sub>
                            <m:r>
                              <a:rPr lang="en-AU" sz="1200" b="0" i="1">
                                <a:latin typeface="Cambria Math"/>
                              </a:rPr>
                              <m:t>𝑟𝑒𝑓</m:t>
                            </m:r>
                          </m:sub>
                        </m:sSub>
                      </m:e>
                    </m:d>
                    <m:r>
                      <a:rPr lang="en-AU" sz="1200" i="1">
                        <a:latin typeface="Cambria Math"/>
                      </a:rPr>
                      <m:t>=</m:t>
                    </m:r>
                    <m:sSub>
                      <m:sSubPr>
                        <m:ctrlPr>
                          <a:rPr lang="en-AU" sz="1200" i="1">
                            <a:latin typeface="Cambria Math" panose="02040503050406030204" pitchFamily="18" charset="0"/>
                          </a:rPr>
                        </m:ctrlPr>
                      </m:sSubPr>
                      <m:e>
                        <m:r>
                          <a:rPr lang="en-AU" sz="1200" b="0" i="1">
                            <a:latin typeface="Cambria Math"/>
                          </a:rPr>
                          <m:t>𝑀</m:t>
                        </m:r>
                      </m:e>
                      <m:sub>
                        <m:r>
                          <a:rPr lang="en-AU" sz="1200" b="0" i="1">
                            <a:latin typeface="Cambria Math"/>
                          </a:rPr>
                          <m:t>1</m:t>
                        </m:r>
                      </m:sub>
                    </m:sSub>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𝑇𝑃</m:t>
                        </m:r>
                      </m:sub>
                    </m:sSub>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𝑒𝑙𝑒𝑐</m:t>
                        </m:r>
                      </m:sub>
                    </m:sSub>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𝑝𝑜𝑙</m:t>
                        </m:r>
                      </m:sub>
                    </m:sSub>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𝑠</m:t>
                        </m:r>
                      </m:sub>
                    </m:sSub>
                    <m:sSub>
                      <m:sSubPr>
                        <m:ctrlPr>
                          <a:rPr lang="en-AU" sz="1200" i="1">
                            <a:latin typeface="Cambria Math" panose="02040503050406030204" pitchFamily="18" charset="0"/>
                          </a:rPr>
                        </m:ctrlPr>
                      </m:sSubPr>
                      <m:e>
                        <m:r>
                          <a:rPr lang="en-AU" sz="1200" b="0" i="1">
                            <a:latin typeface="Cambria Math"/>
                          </a:rPr>
                          <m:t>𝑁</m:t>
                        </m:r>
                      </m:e>
                      <m:sub>
                        <m:r>
                          <a:rPr lang="en-AU" sz="1200" b="0" i="1">
                            <a:latin typeface="Cambria Math"/>
                          </a:rPr>
                          <m:t>𝐷</m:t>
                        </m:r>
                        <m:r>
                          <a:rPr lang="en-AU" sz="1200" b="0" i="1">
                            <a:latin typeface="Cambria Math"/>
                          </a:rPr>
                          <m:t>,</m:t>
                        </m:r>
                        <m:r>
                          <a:rPr lang="en-AU" sz="1200" b="0" i="1">
                            <a:latin typeface="Cambria Math"/>
                          </a:rPr>
                          <m:t>𝑤</m:t>
                        </m:r>
                      </m:sub>
                    </m:sSub>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𝑄</m:t>
                        </m:r>
                      </m:sub>
                    </m:sSub>
                  </m:oMath>
                </m:oMathPara>
              </a14:m>
              <a:endParaRPr lang="en-AU" sz="1200"/>
            </a:p>
          </xdr:txBody>
        </xdr:sp>
      </mc:Choice>
      <mc:Fallback xmlns="">
        <xdr:sp macro="" textlink="">
          <xdr:nvSpPr>
            <xdr:cNvPr id="8" name="TextBox 7"/>
            <xdr:cNvSpPr txBox="1"/>
          </xdr:nvSpPr>
          <xdr:spPr>
            <a:xfrm>
              <a:off x="1285875" y="63687801"/>
              <a:ext cx="3116749" cy="31455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AU" sz="1200" b="0" i="0">
                  <a:latin typeface="Cambria Math"/>
                </a:rPr>
                <a:t>𝐷</a:t>
              </a:r>
              <a:r>
                <a:rPr lang="en-AU" sz="1200" b="0" i="0">
                  <a:latin typeface="Cambria Math" panose="02040503050406030204" pitchFamily="18" charset="0"/>
                </a:rPr>
                <a:t>_(</a:t>
              </a:r>
              <a:r>
                <a:rPr lang="en-AU" sz="1200" b="0" i="0">
                  <a:latin typeface="Cambria Math"/>
                </a:rPr>
                <a:t>𝑤,𝑄</a:t>
              </a:r>
              <a:r>
                <a:rPr lang="en-AU" sz="1200" b="0" i="0">
                  <a:latin typeface="Cambria Math" panose="02040503050406030204" pitchFamily="18" charset="0"/>
                </a:rPr>
                <a:t>) (</a:t>
              </a:r>
              <a:r>
                <a:rPr lang="en-AU" sz="1200" b="0" i="0">
                  <a:latin typeface="Cambria Math"/>
                </a:rPr>
                <a:t>𝑧</a:t>
              </a:r>
              <a:r>
                <a:rPr lang="en-AU" sz="1200" b="0" i="0">
                  <a:latin typeface="Cambria Math" panose="02040503050406030204" pitchFamily="18" charset="0"/>
                </a:rPr>
                <a:t>_</a:t>
              </a:r>
              <a:r>
                <a:rPr lang="en-AU" sz="1200" b="0" i="0">
                  <a:latin typeface="Cambria Math"/>
                </a:rPr>
                <a:t>𝑟𝑒𝑓</a:t>
              </a:r>
              <a:r>
                <a:rPr lang="en-AU" sz="1200" b="0" i="0">
                  <a:latin typeface="Cambria Math" panose="02040503050406030204" pitchFamily="18" charset="0"/>
                </a:rPr>
                <a:t> )</a:t>
              </a:r>
              <a:r>
                <a:rPr lang="en-AU" sz="1200" i="0">
                  <a:latin typeface="Cambria Math"/>
                </a:rPr>
                <a:t>=</a:t>
              </a:r>
              <a:r>
                <a:rPr lang="en-AU" sz="1200" b="0" i="0">
                  <a:latin typeface="Cambria Math"/>
                </a:rPr>
                <a:t>𝑀</a:t>
              </a:r>
              <a:r>
                <a:rPr lang="en-AU" sz="1200" b="0" i="0">
                  <a:latin typeface="Cambria Math" panose="02040503050406030204" pitchFamily="18" charset="0"/>
                </a:rPr>
                <a:t>_</a:t>
              </a:r>
              <a:r>
                <a:rPr lang="en-AU" sz="1200" b="0" i="0">
                  <a:latin typeface="Cambria Math"/>
                </a:rPr>
                <a:t>1</a:t>
              </a:r>
              <a:r>
                <a:rPr lang="en-AU" sz="1200" b="0" i="0">
                  <a:latin typeface="Cambria Math" panose="02040503050406030204" pitchFamily="18" charset="0"/>
                </a:rPr>
                <a:t> </a:t>
              </a:r>
              <a:r>
                <a:rPr lang="en-AU" sz="1200" b="0" i="0">
                  <a:latin typeface="Cambria Math"/>
                </a:rPr>
                <a:t>𝑘</a:t>
              </a:r>
              <a:r>
                <a:rPr lang="en-AU" sz="1200" b="0" i="0">
                  <a:latin typeface="Cambria Math" panose="02040503050406030204" pitchFamily="18" charset="0"/>
                </a:rPr>
                <a:t>_</a:t>
              </a:r>
              <a:r>
                <a:rPr lang="en-AU" sz="1200" b="0" i="0">
                  <a:latin typeface="Cambria Math"/>
                </a:rPr>
                <a:t>𝑇𝑃</a:t>
              </a:r>
              <a:r>
                <a:rPr lang="en-AU" sz="1200" b="0" i="0">
                  <a:latin typeface="Cambria Math" panose="02040503050406030204" pitchFamily="18" charset="0"/>
                </a:rPr>
                <a:t> </a:t>
              </a:r>
              <a:r>
                <a:rPr lang="en-AU" sz="1200" b="0" i="0">
                  <a:latin typeface="Cambria Math"/>
                </a:rPr>
                <a:t>𝑘</a:t>
              </a:r>
              <a:r>
                <a:rPr lang="en-AU" sz="1200" b="0" i="0">
                  <a:latin typeface="Cambria Math" panose="02040503050406030204" pitchFamily="18" charset="0"/>
                </a:rPr>
                <a:t>_</a:t>
              </a:r>
              <a:r>
                <a:rPr lang="en-AU" sz="1200" b="0" i="0">
                  <a:latin typeface="Cambria Math"/>
                </a:rPr>
                <a:t>𝑒𝑙𝑒𝑐</a:t>
              </a:r>
              <a:r>
                <a:rPr lang="en-AU" sz="1200" b="0" i="0">
                  <a:latin typeface="Cambria Math" panose="02040503050406030204" pitchFamily="18" charset="0"/>
                </a:rPr>
                <a:t> </a:t>
              </a:r>
              <a:r>
                <a:rPr lang="en-AU" sz="1200" b="0" i="0">
                  <a:latin typeface="Cambria Math"/>
                </a:rPr>
                <a:t>𝑘</a:t>
              </a:r>
              <a:r>
                <a:rPr lang="en-AU" sz="1200" b="0" i="0">
                  <a:latin typeface="Cambria Math" panose="02040503050406030204" pitchFamily="18" charset="0"/>
                </a:rPr>
                <a:t>_</a:t>
              </a:r>
              <a:r>
                <a:rPr lang="en-AU" sz="1200" b="0" i="0">
                  <a:latin typeface="Cambria Math"/>
                </a:rPr>
                <a:t>𝑝𝑜𝑙</a:t>
              </a:r>
              <a:r>
                <a:rPr lang="en-AU" sz="1200" b="0" i="0">
                  <a:latin typeface="Cambria Math" panose="02040503050406030204" pitchFamily="18" charset="0"/>
                </a:rPr>
                <a:t> </a:t>
              </a:r>
              <a:r>
                <a:rPr lang="en-AU" sz="1200" b="0" i="0">
                  <a:latin typeface="Cambria Math"/>
                </a:rPr>
                <a:t>𝑘</a:t>
              </a:r>
              <a:r>
                <a:rPr lang="en-AU" sz="1200" b="0" i="0">
                  <a:latin typeface="Cambria Math" panose="02040503050406030204" pitchFamily="18" charset="0"/>
                </a:rPr>
                <a:t>_</a:t>
              </a:r>
              <a:r>
                <a:rPr lang="en-AU" sz="1200" b="0" i="0">
                  <a:latin typeface="Cambria Math"/>
                </a:rPr>
                <a:t>𝑠</a:t>
              </a:r>
              <a:r>
                <a:rPr lang="en-AU" sz="1200" b="0" i="0">
                  <a:latin typeface="Cambria Math" panose="02040503050406030204" pitchFamily="18" charset="0"/>
                </a:rPr>
                <a:t> </a:t>
              </a:r>
              <a:r>
                <a:rPr lang="en-AU" sz="1200" b="0" i="0">
                  <a:latin typeface="Cambria Math"/>
                </a:rPr>
                <a:t>𝑁</a:t>
              </a:r>
              <a:r>
                <a:rPr lang="en-AU" sz="1200" b="0" i="0">
                  <a:latin typeface="Cambria Math" panose="02040503050406030204" pitchFamily="18" charset="0"/>
                </a:rPr>
                <a:t>_(</a:t>
              </a:r>
              <a:r>
                <a:rPr lang="en-AU" sz="1200" b="0" i="0">
                  <a:latin typeface="Cambria Math"/>
                </a:rPr>
                <a:t>𝐷,𝑤</a:t>
              </a:r>
              <a:r>
                <a:rPr lang="en-AU" sz="1200" b="0" i="0">
                  <a:latin typeface="Cambria Math" panose="02040503050406030204" pitchFamily="18" charset="0"/>
                </a:rPr>
                <a:t>) </a:t>
              </a:r>
              <a:r>
                <a:rPr lang="en-AU" sz="1200" b="0" i="0">
                  <a:latin typeface="Cambria Math"/>
                </a:rPr>
                <a:t>𝑘</a:t>
              </a:r>
              <a:r>
                <a:rPr lang="en-AU" sz="1200" b="0" i="0">
                  <a:latin typeface="Cambria Math" panose="02040503050406030204" pitchFamily="18" charset="0"/>
                </a:rPr>
                <a:t>_</a:t>
              </a:r>
              <a:r>
                <a:rPr lang="en-AU" sz="1200" b="0" i="0">
                  <a:latin typeface="Cambria Math"/>
                </a:rPr>
                <a:t>𝑄</a:t>
              </a:r>
              <a:endParaRPr lang="en-AU" sz="1200"/>
            </a:p>
          </xdr:txBody>
        </xdr:sp>
      </mc:Fallback>
    </mc:AlternateContent>
    <xdr:clientData/>
  </xdr:oneCellAnchor>
  <xdr:oneCellAnchor>
    <xdr:from>
      <xdr:col>1</xdr:col>
      <xdr:colOff>196850</xdr:colOff>
      <xdr:row>309</xdr:row>
      <xdr:rowOff>471487</xdr:rowOff>
    </xdr:from>
    <xdr:ext cx="384608" cy="26456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492125" y="64784287"/>
              <a:ext cx="3846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r>
                      <a:rPr lang="en-AU" sz="1100" b="0" i="1">
                        <a:latin typeface="Cambria Math"/>
                      </a:rPr>
                      <m:t>𝑄</m:t>
                    </m:r>
                  </m:oMath>
                </m:oMathPara>
              </a14:m>
              <a:endParaRPr lang="en-AU" sz="1100"/>
            </a:p>
          </xdr:txBody>
        </xdr:sp>
      </mc:Choice>
      <mc:Fallback xmlns="">
        <xdr:sp macro="" textlink="">
          <xdr:nvSpPr>
            <xdr:cNvPr id="9" name="TextBox 8"/>
            <xdr:cNvSpPr txBox="1"/>
          </xdr:nvSpPr>
          <xdr:spPr>
            <a:xfrm>
              <a:off x="492125" y="64784287"/>
              <a:ext cx="3846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AU" sz="1100" b="0" i="0">
                  <a:latin typeface="Cambria Math"/>
                </a:rPr>
                <a:t>𝑄</a:t>
              </a:r>
              <a:endParaRPr lang="en-AU" sz="1100"/>
            </a:p>
          </xdr:txBody>
        </xdr:sp>
      </mc:Fallback>
    </mc:AlternateContent>
    <xdr:clientData/>
  </xdr:oneCellAnchor>
  <xdr:oneCellAnchor>
    <xdr:from>
      <xdr:col>1</xdr:col>
      <xdr:colOff>196850</xdr:colOff>
      <xdr:row>309</xdr:row>
      <xdr:rowOff>79851</xdr:rowOff>
    </xdr:from>
    <xdr:ext cx="968075" cy="305020"/>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F00-00000A000000}"/>
                </a:ext>
              </a:extLst>
            </xdr:cNvPr>
            <xdr:cNvSpPr txBox="1"/>
          </xdr:nvSpPr>
          <xdr:spPr>
            <a:xfrm>
              <a:off x="492125" y="64392651"/>
              <a:ext cx="968075" cy="3050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b="0" i="1">
                            <a:latin typeface="Cambria Math" panose="02040503050406030204" pitchFamily="18" charset="0"/>
                          </a:rPr>
                        </m:ctrlPr>
                      </m:sSubPr>
                      <m:e>
                        <m:r>
                          <a:rPr lang="en-AU" sz="1200" b="0" i="1">
                            <a:latin typeface="Cambria Math"/>
                          </a:rPr>
                          <m:t>𝐷</m:t>
                        </m:r>
                      </m:e>
                      <m:sub>
                        <m:r>
                          <a:rPr lang="en-AU" sz="1200" b="0" i="1">
                            <a:latin typeface="Cambria Math"/>
                          </a:rPr>
                          <m:t>𝑤</m:t>
                        </m:r>
                        <m:r>
                          <a:rPr lang="en-AU" sz="1200" b="0" i="1">
                            <a:latin typeface="Cambria Math"/>
                          </a:rPr>
                          <m:t>,</m:t>
                        </m:r>
                        <m:r>
                          <a:rPr lang="en-AU" sz="1200" b="0" i="1">
                            <a:latin typeface="Cambria Math"/>
                          </a:rPr>
                          <m:t>𝑄</m:t>
                        </m:r>
                      </m:sub>
                    </m:sSub>
                    <m:d>
                      <m:dPr>
                        <m:ctrlPr>
                          <a:rPr lang="en-AU" sz="1200" b="0" i="1">
                            <a:latin typeface="Cambria Math" panose="02040503050406030204" pitchFamily="18" charset="0"/>
                          </a:rPr>
                        </m:ctrlPr>
                      </m:dPr>
                      <m:e>
                        <m:sSub>
                          <m:sSubPr>
                            <m:ctrlPr>
                              <a:rPr lang="en-AU" sz="1200" b="0" i="1">
                                <a:latin typeface="Cambria Math" panose="02040503050406030204" pitchFamily="18" charset="0"/>
                              </a:rPr>
                            </m:ctrlPr>
                          </m:sSubPr>
                          <m:e>
                            <m:r>
                              <a:rPr lang="en-AU" sz="1200" b="0" i="1">
                                <a:latin typeface="Cambria Math"/>
                              </a:rPr>
                              <m:t>𝑧</m:t>
                            </m:r>
                          </m:e>
                          <m:sub>
                            <m:r>
                              <a:rPr lang="en-AU" sz="1200" b="0" i="1">
                                <a:latin typeface="Cambria Math"/>
                              </a:rPr>
                              <m:t>𝑟𝑒𝑓</m:t>
                            </m:r>
                          </m:sub>
                        </m:sSub>
                      </m:e>
                    </m:d>
                  </m:oMath>
                </m:oMathPara>
              </a14:m>
              <a:endParaRPr lang="en-AU" sz="1200"/>
            </a:p>
          </xdr:txBody>
        </xdr:sp>
      </mc:Choice>
      <mc:Fallback xmlns="">
        <xdr:sp macro="" textlink="">
          <xdr:nvSpPr>
            <xdr:cNvPr id="10" name="TextBox 9"/>
            <xdr:cNvSpPr txBox="1"/>
          </xdr:nvSpPr>
          <xdr:spPr>
            <a:xfrm>
              <a:off x="492125" y="64392651"/>
              <a:ext cx="968075" cy="3050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AU" sz="1200" b="0" i="0">
                  <a:latin typeface="Cambria Math"/>
                </a:rPr>
                <a:t>𝐷</a:t>
              </a:r>
              <a:r>
                <a:rPr lang="en-AU" sz="1200" b="0" i="0">
                  <a:latin typeface="Cambria Math" panose="02040503050406030204" pitchFamily="18" charset="0"/>
                </a:rPr>
                <a:t>_(</a:t>
              </a:r>
              <a:r>
                <a:rPr lang="en-AU" sz="1200" b="0" i="0">
                  <a:latin typeface="Cambria Math"/>
                </a:rPr>
                <a:t>𝑤,𝑄</a:t>
              </a:r>
              <a:r>
                <a:rPr lang="en-AU" sz="1200" b="0" i="0">
                  <a:latin typeface="Cambria Math" panose="02040503050406030204" pitchFamily="18" charset="0"/>
                </a:rPr>
                <a:t>) (</a:t>
              </a:r>
              <a:r>
                <a:rPr lang="en-AU" sz="1200" b="0" i="0">
                  <a:latin typeface="Cambria Math"/>
                </a:rPr>
                <a:t>𝑧</a:t>
              </a:r>
              <a:r>
                <a:rPr lang="en-AU" sz="1200" b="0" i="0">
                  <a:latin typeface="Cambria Math" panose="02040503050406030204" pitchFamily="18" charset="0"/>
                </a:rPr>
                <a:t>_</a:t>
              </a:r>
              <a:r>
                <a:rPr lang="en-AU" sz="1200" b="0" i="0">
                  <a:latin typeface="Cambria Math"/>
                </a:rPr>
                <a:t>𝑟𝑒𝑓</a:t>
              </a:r>
              <a:r>
                <a:rPr lang="en-AU" sz="1200" b="0" i="0">
                  <a:latin typeface="Cambria Math" panose="02040503050406030204" pitchFamily="18" charset="0"/>
                </a:rPr>
                <a:t> )</a:t>
              </a:r>
              <a:endParaRPr lang="en-AU" sz="1200"/>
            </a:p>
          </xdr:txBody>
        </xdr:sp>
      </mc:Fallback>
    </mc:AlternateContent>
    <xdr:clientData/>
  </xdr:oneCellAnchor>
  <xdr:oneCellAnchor>
    <xdr:from>
      <xdr:col>1</xdr:col>
      <xdr:colOff>193676</xdr:colOff>
      <xdr:row>312</xdr:row>
      <xdr:rowOff>44926</xdr:rowOff>
    </xdr:from>
    <xdr:ext cx="436458" cy="286432"/>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F00-00000B000000}"/>
                </a:ext>
              </a:extLst>
            </xdr:cNvPr>
            <xdr:cNvSpPr txBox="1"/>
          </xdr:nvSpPr>
          <xdr:spPr>
            <a:xfrm>
              <a:off x="488951" y="65576926"/>
              <a:ext cx="436458" cy="286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i="1">
                            <a:latin typeface="Cambria Math" panose="02040503050406030204" pitchFamily="18" charset="0"/>
                          </a:rPr>
                        </m:ctrlPr>
                      </m:sSubPr>
                      <m:e>
                        <m:r>
                          <a:rPr lang="en-AU" sz="1200" b="0" i="1">
                            <a:latin typeface="Cambria Math"/>
                          </a:rPr>
                          <m:t>𝑀</m:t>
                        </m:r>
                      </m:e>
                      <m:sub>
                        <m:r>
                          <a:rPr lang="en-AU" sz="1200" b="0" i="1">
                            <a:latin typeface="Cambria Math"/>
                          </a:rPr>
                          <m:t>1</m:t>
                        </m:r>
                      </m:sub>
                    </m:sSub>
                  </m:oMath>
                </m:oMathPara>
              </a14:m>
              <a:endParaRPr lang="en-AU" sz="1200"/>
            </a:p>
          </xdr:txBody>
        </xdr:sp>
      </mc:Choice>
      <mc:Fallback xmlns="">
        <xdr:sp macro="" textlink="">
          <xdr:nvSpPr>
            <xdr:cNvPr id="11" name="TextBox 10"/>
            <xdr:cNvSpPr txBox="1"/>
          </xdr:nvSpPr>
          <xdr:spPr>
            <a:xfrm>
              <a:off x="488951" y="65576926"/>
              <a:ext cx="436458" cy="28643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AU" sz="1200" b="0" i="0">
                  <a:latin typeface="Cambria Math"/>
                </a:rPr>
                <a:t>𝑀</a:t>
              </a:r>
              <a:r>
                <a:rPr lang="en-AU" sz="1200" b="0" i="0">
                  <a:latin typeface="Cambria Math" panose="02040503050406030204" pitchFamily="18" charset="0"/>
                </a:rPr>
                <a:t>_</a:t>
              </a:r>
              <a:r>
                <a:rPr lang="en-AU" sz="1200" b="0" i="0">
                  <a:latin typeface="Cambria Math"/>
                </a:rPr>
                <a:t>1</a:t>
              </a:r>
              <a:endParaRPr lang="en-AU" sz="1200"/>
            </a:p>
          </xdr:txBody>
        </xdr:sp>
      </mc:Fallback>
    </mc:AlternateContent>
    <xdr:clientData/>
  </xdr:oneCellAnchor>
  <xdr:oneCellAnchor>
    <xdr:from>
      <xdr:col>1</xdr:col>
      <xdr:colOff>215901</xdr:colOff>
      <xdr:row>313</xdr:row>
      <xdr:rowOff>41751</xdr:rowOff>
    </xdr:from>
    <xdr:ext cx="461518" cy="280205"/>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511176" y="66021426"/>
              <a:ext cx="46151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𝑇𝑃</m:t>
                        </m:r>
                      </m:sub>
                    </m:sSub>
                  </m:oMath>
                </m:oMathPara>
              </a14:m>
              <a:endParaRPr lang="en-AU" sz="1200"/>
            </a:p>
          </xdr:txBody>
        </xdr:sp>
      </mc:Choice>
      <mc:Fallback xmlns="">
        <xdr:sp macro="" textlink="">
          <xdr:nvSpPr>
            <xdr:cNvPr id="12" name="TextBox 11"/>
            <xdr:cNvSpPr txBox="1"/>
          </xdr:nvSpPr>
          <xdr:spPr>
            <a:xfrm>
              <a:off x="511176" y="66021426"/>
              <a:ext cx="461518"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AU" sz="1200" b="0" i="0">
                  <a:latin typeface="Cambria Math"/>
                </a:rPr>
                <a:t>𝑘</a:t>
              </a:r>
              <a:r>
                <a:rPr lang="en-AU" sz="1200" b="0" i="0">
                  <a:latin typeface="Cambria Math" panose="02040503050406030204" pitchFamily="18" charset="0"/>
                </a:rPr>
                <a:t>_</a:t>
              </a:r>
              <a:r>
                <a:rPr lang="en-AU" sz="1200" b="0" i="0">
                  <a:latin typeface="Cambria Math"/>
                </a:rPr>
                <a:t>𝑇𝑃</a:t>
              </a:r>
              <a:endParaRPr lang="en-AU" sz="1200"/>
            </a:p>
          </xdr:txBody>
        </xdr:sp>
      </mc:Fallback>
    </mc:AlternateContent>
    <xdr:clientData/>
  </xdr:oneCellAnchor>
  <xdr:oneCellAnchor>
    <xdr:from>
      <xdr:col>1</xdr:col>
      <xdr:colOff>193676</xdr:colOff>
      <xdr:row>313</xdr:row>
      <xdr:rowOff>406876</xdr:rowOff>
    </xdr:from>
    <xdr:ext cx="575582" cy="280205"/>
    <mc:AlternateContent xmlns:mc="http://schemas.openxmlformats.org/markup-compatibility/2006" xmlns:a14="http://schemas.microsoft.com/office/drawing/2010/main">
      <mc:Choice Requires="a14">
        <xdr:sp macro="" textlink="">
          <xdr:nvSpPr>
            <xdr:cNvPr id="13" name="TextBox 12">
              <a:extLst>
                <a:ext uri="{FF2B5EF4-FFF2-40B4-BE49-F238E27FC236}">
                  <a16:creationId xmlns:a16="http://schemas.microsoft.com/office/drawing/2014/main" id="{00000000-0008-0000-0F00-00000D000000}"/>
                </a:ext>
              </a:extLst>
            </xdr:cNvPr>
            <xdr:cNvSpPr txBox="1"/>
          </xdr:nvSpPr>
          <xdr:spPr>
            <a:xfrm>
              <a:off x="488951" y="66386551"/>
              <a:ext cx="575582"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𝑒𝑙𝑒𝑐</m:t>
                        </m:r>
                      </m:sub>
                    </m:sSub>
                  </m:oMath>
                </m:oMathPara>
              </a14:m>
              <a:endParaRPr lang="en-AU" sz="1200"/>
            </a:p>
          </xdr:txBody>
        </xdr:sp>
      </mc:Choice>
      <mc:Fallback xmlns="">
        <xdr:sp macro="" textlink="">
          <xdr:nvSpPr>
            <xdr:cNvPr id="13" name="TextBox 12"/>
            <xdr:cNvSpPr txBox="1"/>
          </xdr:nvSpPr>
          <xdr:spPr>
            <a:xfrm>
              <a:off x="488951" y="66386551"/>
              <a:ext cx="575582"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AU" sz="1200" b="0" i="0">
                  <a:latin typeface="Cambria Math"/>
                </a:rPr>
                <a:t>𝑘</a:t>
              </a:r>
              <a:r>
                <a:rPr lang="en-AU" sz="1200" b="0" i="0">
                  <a:latin typeface="Cambria Math" panose="02040503050406030204" pitchFamily="18" charset="0"/>
                </a:rPr>
                <a:t>_</a:t>
              </a:r>
              <a:r>
                <a:rPr lang="en-AU" sz="1200" b="0" i="0">
                  <a:latin typeface="Cambria Math"/>
                </a:rPr>
                <a:t>𝑒𝑙𝑒𝑐</a:t>
              </a:r>
              <a:endParaRPr lang="en-AU" sz="1200"/>
            </a:p>
          </xdr:txBody>
        </xdr:sp>
      </mc:Fallback>
    </mc:AlternateContent>
    <xdr:clientData/>
  </xdr:oneCellAnchor>
  <xdr:oneCellAnchor>
    <xdr:from>
      <xdr:col>1</xdr:col>
      <xdr:colOff>212725</xdr:colOff>
      <xdr:row>315</xdr:row>
      <xdr:rowOff>32226</xdr:rowOff>
    </xdr:from>
    <xdr:ext cx="517922" cy="291555"/>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00000000-0008-0000-0F00-00000E000000}"/>
                </a:ext>
              </a:extLst>
            </xdr:cNvPr>
            <xdr:cNvSpPr txBox="1"/>
          </xdr:nvSpPr>
          <xdr:spPr>
            <a:xfrm>
              <a:off x="508000" y="66716751"/>
              <a:ext cx="517922" cy="2915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𝑝𝑜𝑙</m:t>
                        </m:r>
                      </m:sub>
                    </m:sSub>
                  </m:oMath>
                </m:oMathPara>
              </a14:m>
              <a:endParaRPr lang="en-AU" sz="1200"/>
            </a:p>
          </xdr:txBody>
        </xdr:sp>
      </mc:Choice>
      <mc:Fallback xmlns="">
        <xdr:sp macro="" textlink="">
          <xdr:nvSpPr>
            <xdr:cNvPr id="14" name="TextBox 13"/>
            <xdr:cNvSpPr txBox="1"/>
          </xdr:nvSpPr>
          <xdr:spPr>
            <a:xfrm>
              <a:off x="508000" y="66716751"/>
              <a:ext cx="517922" cy="2915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AU" sz="1200" b="0" i="0">
                  <a:latin typeface="Cambria Math"/>
                </a:rPr>
                <a:t>𝑘</a:t>
              </a:r>
              <a:r>
                <a:rPr lang="en-AU" sz="1200" b="0" i="0">
                  <a:latin typeface="Cambria Math" panose="02040503050406030204" pitchFamily="18" charset="0"/>
                </a:rPr>
                <a:t>_</a:t>
              </a:r>
              <a:r>
                <a:rPr lang="en-AU" sz="1200" b="0" i="0">
                  <a:latin typeface="Cambria Math"/>
                </a:rPr>
                <a:t>𝑝𝑜𝑙</a:t>
              </a:r>
              <a:endParaRPr lang="en-AU" sz="1200"/>
            </a:p>
          </xdr:txBody>
        </xdr:sp>
      </mc:Fallback>
    </mc:AlternateContent>
    <xdr:clientData/>
  </xdr:oneCellAnchor>
  <xdr:oneCellAnchor>
    <xdr:from>
      <xdr:col>1</xdr:col>
      <xdr:colOff>231775</xdr:colOff>
      <xdr:row>316</xdr:row>
      <xdr:rowOff>13176</xdr:rowOff>
    </xdr:from>
    <xdr:ext cx="350140" cy="280205"/>
    <mc:AlternateContent xmlns:mc="http://schemas.openxmlformats.org/markup-compatibility/2006" xmlns:a14="http://schemas.microsoft.com/office/drawing/2010/main">
      <mc:Choice Requires="a14">
        <xdr:sp macro="" textlink="">
          <xdr:nvSpPr>
            <xdr:cNvPr id="15" name="TextBox 14">
              <a:extLst>
                <a:ext uri="{FF2B5EF4-FFF2-40B4-BE49-F238E27FC236}">
                  <a16:creationId xmlns:a16="http://schemas.microsoft.com/office/drawing/2014/main" id="{00000000-0008-0000-0F00-00000F000000}"/>
                </a:ext>
              </a:extLst>
            </xdr:cNvPr>
            <xdr:cNvSpPr txBox="1"/>
          </xdr:nvSpPr>
          <xdr:spPr>
            <a:xfrm>
              <a:off x="527050" y="67326351"/>
              <a:ext cx="35014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𝑠</m:t>
                        </m:r>
                      </m:sub>
                    </m:sSub>
                  </m:oMath>
                </m:oMathPara>
              </a14:m>
              <a:endParaRPr lang="en-AU" sz="1200"/>
            </a:p>
          </xdr:txBody>
        </xdr:sp>
      </mc:Choice>
      <mc:Fallback xmlns="">
        <xdr:sp macro="" textlink="">
          <xdr:nvSpPr>
            <xdr:cNvPr id="15" name="TextBox 14"/>
            <xdr:cNvSpPr txBox="1"/>
          </xdr:nvSpPr>
          <xdr:spPr>
            <a:xfrm>
              <a:off x="527050" y="67326351"/>
              <a:ext cx="35014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AU" sz="1200" b="0" i="0">
                  <a:latin typeface="Cambria Math"/>
                </a:rPr>
                <a:t>𝑘</a:t>
              </a:r>
              <a:r>
                <a:rPr lang="en-AU" sz="1200" b="0" i="0">
                  <a:latin typeface="Cambria Math" panose="02040503050406030204" pitchFamily="18" charset="0"/>
                </a:rPr>
                <a:t>_</a:t>
              </a:r>
              <a:r>
                <a:rPr lang="en-AU" sz="1200" b="0" i="0">
                  <a:latin typeface="Cambria Math"/>
                </a:rPr>
                <a:t>𝑠</a:t>
              </a:r>
              <a:endParaRPr lang="en-AU" sz="1200"/>
            </a:p>
          </xdr:txBody>
        </xdr:sp>
      </mc:Fallback>
    </mc:AlternateContent>
    <xdr:clientData/>
  </xdr:oneCellAnchor>
  <xdr:oneCellAnchor>
    <xdr:from>
      <xdr:col>1</xdr:col>
      <xdr:colOff>250826</xdr:colOff>
      <xdr:row>317</xdr:row>
      <xdr:rowOff>79851</xdr:rowOff>
    </xdr:from>
    <xdr:ext cx="480521" cy="284159"/>
    <mc:AlternateContent xmlns:mc="http://schemas.openxmlformats.org/markup-compatibility/2006" xmlns:a14="http://schemas.microsoft.com/office/drawing/2010/main">
      <mc:Choice Requires="a14">
        <xdr:sp macro="" textlink="">
          <xdr:nvSpPr>
            <xdr:cNvPr id="16" name="TextBox 15">
              <a:extLst>
                <a:ext uri="{FF2B5EF4-FFF2-40B4-BE49-F238E27FC236}">
                  <a16:creationId xmlns:a16="http://schemas.microsoft.com/office/drawing/2014/main" id="{00000000-0008-0000-0F00-000010000000}"/>
                </a:ext>
              </a:extLst>
            </xdr:cNvPr>
            <xdr:cNvSpPr txBox="1"/>
          </xdr:nvSpPr>
          <xdr:spPr>
            <a:xfrm>
              <a:off x="546101" y="67821651"/>
              <a:ext cx="480521" cy="2841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i="1">
                            <a:latin typeface="Cambria Math" panose="02040503050406030204" pitchFamily="18" charset="0"/>
                          </a:rPr>
                        </m:ctrlPr>
                      </m:sSubPr>
                      <m:e>
                        <m:r>
                          <a:rPr lang="en-AU" sz="1200" b="0" i="1">
                            <a:latin typeface="Cambria Math"/>
                          </a:rPr>
                          <m:t>𝑁</m:t>
                        </m:r>
                      </m:e>
                      <m:sub>
                        <m:r>
                          <a:rPr lang="en-AU" sz="1200" b="0" i="1">
                            <a:latin typeface="Cambria Math"/>
                          </a:rPr>
                          <m:t>𝐷</m:t>
                        </m:r>
                        <m:r>
                          <a:rPr lang="en-AU" sz="1200" b="0" i="1">
                            <a:latin typeface="Cambria Math"/>
                          </a:rPr>
                          <m:t>,</m:t>
                        </m:r>
                        <m:r>
                          <a:rPr lang="en-AU" sz="1200" b="0" i="1">
                            <a:latin typeface="Cambria Math"/>
                          </a:rPr>
                          <m:t>𝑤</m:t>
                        </m:r>
                      </m:sub>
                    </m:sSub>
                  </m:oMath>
                </m:oMathPara>
              </a14:m>
              <a:endParaRPr lang="en-AU" sz="1200"/>
            </a:p>
          </xdr:txBody>
        </xdr:sp>
      </mc:Choice>
      <mc:Fallback xmlns="">
        <xdr:sp macro="" textlink="">
          <xdr:nvSpPr>
            <xdr:cNvPr id="16" name="TextBox 15"/>
            <xdr:cNvSpPr txBox="1"/>
          </xdr:nvSpPr>
          <xdr:spPr>
            <a:xfrm>
              <a:off x="546101" y="67821651"/>
              <a:ext cx="480521" cy="2841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AU" sz="1200" b="0" i="0">
                  <a:latin typeface="Cambria Math"/>
                </a:rPr>
                <a:t>𝑁</a:t>
              </a:r>
              <a:r>
                <a:rPr lang="en-AU" sz="1200" b="0" i="0">
                  <a:latin typeface="Cambria Math" panose="02040503050406030204" pitchFamily="18" charset="0"/>
                </a:rPr>
                <a:t>_(</a:t>
              </a:r>
              <a:r>
                <a:rPr lang="en-AU" sz="1200" b="0" i="0">
                  <a:latin typeface="Cambria Math"/>
                </a:rPr>
                <a:t>𝐷,𝑤</a:t>
              </a:r>
              <a:r>
                <a:rPr lang="en-AU" sz="1200" b="0" i="0">
                  <a:latin typeface="Cambria Math" panose="02040503050406030204" pitchFamily="18" charset="0"/>
                </a:rPr>
                <a:t>)</a:t>
              </a:r>
              <a:endParaRPr lang="en-AU" sz="1200"/>
            </a:p>
          </xdr:txBody>
        </xdr:sp>
      </mc:Fallback>
    </mc:AlternateContent>
    <xdr:clientData/>
  </xdr:oneCellAnchor>
  <xdr:oneCellAnchor>
    <xdr:from>
      <xdr:col>1</xdr:col>
      <xdr:colOff>231776</xdr:colOff>
      <xdr:row>318</xdr:row>
      <xdr:rowOff>3651</xdr:rowOff>
    </xdr:from>
    <xdr:ext cx="342900" cy="290336"/>
    <mc:AlternateContent xmlns:mc="http://schemas.openxmlformats.org/markup-compatibility/2006" xmlns:a14="http://schemas.microsoft.com/office/drawing/2010/main">
      <mc:Choice Requires="a14">
        <xdr:sp macro="" textlink="">
          <xdr:nvSpPr>
            <xdr:cNvPr id="17" name="TextBox 16">
              <a:extLst>
                <a:ext uri="{FF2B5EF4-FFF2-40B4-BE49-F238E27FC236}">
                  <a16:creationId xmlns:a16="http://schemas.microsoft.com/office/drawing/2014/main" id="{00000000-0008-0000-0F00-000011000000}"/>
                </a:ext>
              </a:extLst>
            </xdr:cNvPr>
            <xdr:cNvSpPr txBox="1"/>
          </xdr:nvSpPr>
          <xdr:spPr>
            <a:xfrm>
              <a:off x="527051" y="68812251"/>
              <a:ext cx="342900" cy="290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𝑄</m:t>
                        </m:r>
                      </m:sub>
                    </m:sSub>
                  </m:oMath>
                </m:oMathPara>
              </a14:m>
              <a:endParaRPr lang="en-AU" sz="1200"/>
            </a:p>
          </xdr:txBody>
        </xdr:sp>
      </mc:Choice>
      <mc:Fallback xmlns="">
        <xdr:sp macro="" textlink="">
          <xdr:nvSpPr>
            <xdr:cNvPr id="17" name="TextBox 16"/>
            <xdr:cNvSpPr txBox="1"/>
          </xdr:nvSpPr>
          <xdr:spPr>
            <a:xfrm>
              <a:off x="527051" y="68812251"/>
              <a:ext cx="342900" cy="290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AU" sz="1200" b="0" i="0">
                  <a:latin typeface="Cambria Math"/>
                </a:rPr>
                <a:t>𝑘</a:t>
              </a:r>
              <a:r>
                <a:rPr lang="en-AU" sz="1200" b="0" i="0">
                  <a:latin typeface="Cambria Math" panose="02040503050406030204" pitchFamily="18" charset="0"/>
                </a:rPr>
                <a:t>_</a:t>
              </a:r>
              <a:r>
                <a:rPr lang="en-AU" sz="1200" b="0" i="0">
                  <a:latin typeface="Cambria Math"/>
                </a:rPr>
                <a:t>𝑄</a:t>
              </a:r>
              <a:endParaRPr lang="en-AU" sz="1200"/>
            </a:p>
          </xdr:txBody>
        </xdr:sp>
      </mc:Fallback>
    </mc:AlternateContent>
    <xdr:clientData/>
  </xdr:oneCellAnchor>
  <xdr:oneCellAnchor>
    <xdr:from>
      <xdr:col>1</xdr:col>
      <xdr:colOff>152368</xdr:colOff>
      <xdr:row>311</xdr:row>
      <xdr:rowOff>44926</xdr:rowOff>
    </xdr:from>
    <xdr:ext cx="577882" cy="284793"/>
    <mc:AlternateContent xmlns:mc="http://schemas.openxmlformats.org/markup-compatibility/2006" xmlns:a14="http://schemas.microsoft.com/office/drawing/2010/main">
      <mc:Choice Requires="a14">
        <xdr:sp macro="" textlink="">
          <xdr:nvSpPr>
            <xdr:cNvPr id="18" name="TextBox 17">
              <a:extLst>
                <a:ext uri="{FF2B5EF4-FFF2-40B4-BE49-F238E27FC236}">
                  <a16:creationId xmlns:a16="http://schemas.microsoft.com/office/drawing/2014/main" id="{00000000-0008-0000-0F00-000012000000}"/>
                </a:ext>
              </a:extLst>
            </xdr:cNvPr>
            <xdr:cNvSpPr txBox="1"/>
          </xdr:nvSpPr>
          <xdr:spPr>
            <a:xfrm>
              <a:off x="447643" y="65091151"/>
              <a:ext cx="577882" cy="284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100" i="1">
                            <a:latin typeface="Cambria Math" panose="02040503050406030204" pitchFamily="18" charset="0"/>
                          </a:rPr>
                        </m:ctrlPr>
                      </m:sSubPr>
                      <m:e>
                        <m:r>
                          <a:rPr lang="en-AU" sz="1100" b="0" i="1">
                            <a:latin typeface="Cambria Math"/>
                          </a:rPr>
                          <m:t>𝑧</m:t>
                        </m:r>
                      </m:e>
                      <m:sub>
                        <m:r>
                          <a:rPr lang="en-AU" sz="1100" b="0" i="1">
                            <a:latin typeface="Cambria Math"/>
                          </a:rPr>
                          <m:t>𝑟𝑒𝑓</m:t>
                        </m:r>
                      </m:sub>
                    </m:sSub>
                  </m:oMath>
                </m:oMathPara>
              </a14:m>
              <a:endParaRPr lang="en-AU" sz="1100"/>
            </a:p>
          </xdr:txBody>
        </xdr:sp>
      </mc:Choice>
      <mc:Fallback xmlns="">
        <xdr:sp macro="" textlink="">
          <xdr:nvSpPr>
            <xdr:cNvPr id="18" name="TextBox 17"/>
            <xdr:cNvSpPr txBox="1"/>
          </xdr:nvSpPr>
          <xdr:spPr>
            <a:xfrm>
              <a:off x="447643" y="65091151"/>
              <a:ext cx="577882" cy="2847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AU" sz="1100" b="0" i="0">
                  <a:latin typeface="Cambria Math"/>
                </a:rPr>
                <a:t>𝑧</a:t>
              </a:r>
              <a:r>
                <a:rPr lang="en-AU" sz="1100" b="0" i="0">
                  <a:latin typeface="Cambria Math" panose="02040503050406030204" pitchFamily="18" charset="0"/>
                </a:rPr>
                <a:t>_</a:t>
              </a:r>
              <a:r>
                <a:rPr lang="en-AU" sz="1100" b="0" i="0">
                  <a:latin typeface="Cambria Math"/>
                </a:rPr>
                <a:t>𝑟𝑒𝑓</a:t>
              </a:r>
              <a:endParaRPr lang="en-AU" sz="1100"/>
            </a:p>
          </xdr:txBody>
        </xdr:sp>
      </mc:Fallback>
    </mc:AlternateContent>
    <xdr:clientData/>
  </xdr:oneCellAnchor>
  <xdr:twoCellAnchor>
    <xdr:from>
      <xdr:col>3</xdr:col>
      <xdr:colOff>104775</xdr:colOff>
      <xdr:row>41</xdr:row>
      <xdr:rowOff>47625</xdr:rowOff>
    </xdr:from>
    <xdr:to>
      <xdr:col>5</xdr:col>
      <xdr:colOff>161925</xdr:colOff>
      <xdr:row>47</xdr:row>
      <xdr:rowOff>47625</xdr:rowOff>
    </xdr:to>
    <xdr:pic>
      <xdr:nvPicPr>
        <xdr:cNvPr id="15257554" name="Picture 4" descr="725038">
          <a:extLst>
            <a:ext uri="{FF2B5EF4-FFF2-40B4-BE49-F238E27FC236}">
              <a16:creationId xmlns:a16="http://schemas.microsoft.com/office/drawing/2014/main" id="{00000000-0008-0000-0F00-0000D2CFE8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0600" y="8239125"/>
          <a:ext cx="647700"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133350</xdr:colOff>
      <xdr:row>161</xdr:row>
      <xdr:rowOff>133350</xdr:rowOff>
    </xdr:from>
    <xdr:to>
      <xdr:col>19</xdr:col>
      <xdr:colOff>66675</xdr:colOff>
      <xdr:row>165</xdr:row>
      <xdr:rowOff>104775</xdr:rowOff>
    </xdr:to>
    <xdr:pic>
      <xdr:nvPicPr>
        <xdr:cNvPr id="15257555" name="Picture 7" descr="ARPNSA_strip_blue_16cm">
          <a:extLst>
            <a:ext uri="{FF2B5EF4-FFF2-40B4-BE49-F238E27FC236}">
              <a16:creationId xmlns:a16="http://schemas.microsoft.com/office/drawing/2014/main" id="{00000000-0008-0000-0F00-0000D3CFE8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41338500"/>
          <a:ext cx="554355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123825</xdr:colOff>
      <xdr:row>0</xdr:row>
      <xdr:rowOff>66675</xdr:rowOff>
    </xdr:from>
    <xdr:to>
      <xdr:col>19</xdr:col>
      <xdr:colOff>57150</xdr:colOff>
      <xdr:row>4</xdr:row>
      <xdr:rowOff>161925</xdr:rowOff>
    </xdr:to>
    <xdr:pic>
      <xdr:nvPicPr>
        <xdr:cNvPr id="15432413" name="Picture 6" descr="ARPNSA_strip_blue_16cm">
          <a:extLst>
            <a:ext uri="{FF2B5EF4-FFF2-40B4-BE49-F238E27FC236}">
              <a16:creationId xmlns:a16="http://schemas.microsoft.com/office/drawing/2014/main" id="{00000000-0008-0000-1000-0000DD7AE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66675"/>
          <a:ext cx="554355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161925</xdr:colOff>
      <xdr:row>157</xdr:row>
      <xdr:rowOff>38100</xdr:rowOff>
    </xdr:from>
    <xdr:to>
      <xdr:col>19</xdr:col>
      <xdr:colOff>95250</xdr:colOff>
      <xdr:row>161</xdr:row>
      <xdr:rowOff>123825</xdr:rowOff>
    </xdr:to>
    <xdr:pic>
      <xdr:nvPicPr>
        <xdr:cNvPr id="15432414" name="Picture 7" descr="ARPNSA_strip_blue_16cm">
          <a:extLst>
            <a:ext uri="{FF2B5EF4-FFF2-40B4-BE49-F238E27FC236}">
              <a16:creationId xmlns:a16="http://schemas.microsoft.com/office/drawing/2014/main" id="{00000000-0008-0000-1000-0000DE7AEB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1925" y="41233725"/>
          <a:ext cx="5543550"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6</xdr:col>
          <xdr:colOff>47625</xdr:colOff>
          <xdr:row>99</xdr:row>
          <xdr:rowOff>85725</xdr:rowOff>
        </xdr:from>
        <xdr:to>
          <xdr:col>12</xdr:col>
          <xdr:colOff>104775</xdr:colOff>
          <xdr:row>101</xdr:row>
          <xdr:rowOff>152400</xdr:rowOff>
        </xdr:to>
        <xdr:sp macro="" textlink="">
          <xdr:nvSpPr>
            <xdr:cNvPr id="2410497" name="Object 1" hidden="1">
              <a:extLst>
                <a:ext uri="{63B3BB69-23CF-44E3-9099-C40C66FF867C}">
                  <a14:compatExt spid="_x0000_s2410497"/>
                </a:ext>
                <a:ext uri="{FF2B5EF4-FFF2-40B4-BE49-F238E27FC236}">
                  <a16:creationId xmlns:a16="http://schemas.microsoft.com/office/drawing/2014/main" id="{00000000-0008-0000-1000-000001C824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142875</xdr:colOff>
          <xdr:row>113</xdr:row>
          <xdr:rowOff>9525</xdr:rowOff>
        </xdr:from>
        <xdr:to>
          <xdr:col>11</xdr:col>
          <xdr:colOff>180975</xdr:colOff>
          <xdr:row>115</xdr:row>
          <xdr:rowOff>114300</xdr:rowOff>
        </xdr:to>
        <xdr:sp macro="" textlink="">
          <xdr:nvSpPr>
            <xdr:cNvPr id="2410498" name="Object 2" hidden="1">
              <a:extLst>
                <a:ext uri="{63B3BB69-23CF-44E3-9099-C40C66FF867C}">
                  <a14:compatExt spid="_x0000_s2410498"/>
                </a:ext>
                <a:ext uri="{FF2B5EF4-FFF2-40B4-BE49-F238E27FC236}">
                  <a16:creationId xmlns:a16="http://schemas.microsoft.com/office/drawing/2014/main" id="{00000000-0008-0000-1000-000002C824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twoCellAnchor>
    <xdr:from>
      <xdr:col>0</xdr:col>
      <xdr:colOff>38100</xdr:colOff>
      <xdr:row>200</xdr:row>
      <xdr:rowOff>76200</xdr:rowOff>
    </xdr:from>
    <xdr:to>
      <xdr:col>19</xdr:col>
      <xdr:colOff>247650</xdr:colOff>
      <xdr:row>232</xdr:row>
      <xdr:rowOff>76200</xdr:rowOff>
    </xdr:to>
    <xdr:graphicFrame macro="">
      <xdr:nvGraphicFramePr>
        <xdr:cNvPr id="15432415" name="Chart 1">
          <a:extLst>
            <a:ext uri="{FF2B5EF4-FFF2-40B4-BE49-F238E27FC236}">
              <a16:creationId xmlns:a16="http://schemas.microsoft.com/office/drawing/2014/main" id="{00000000-0008-0000-1000-0000DF7AEB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6</xdr:col>
          <xdr:colOff>85725</xdr:colOff>
          <xdr:row>105</xdr:row>
          <xdr:rowOff>28575</xdr:rowOff>
        </xdr:from>
        <xdr:to>
          <xdr:col>12</xdr:col>
          <xdr:colOff>133350</xdr:colOff>
          <xdr:row>107</xdr:row>
          <xdr:rowOff>161925</xdr:rowOff>
        </xdr:to>
        <xdr:sp macro="" textlink="">
          <xdr:nvSpPr>
            <xdr:cNvPr id="4974791" name="Object 1223" hidden="1">
              <a:extLst>
                <a:ext uri="{63B3BB69-23CF-44E3-9099-C40C66FF867C}">
                  <a14:compatExt spid="_x0000_s4974791"/>
                </a:ext>
                <a:ext uri="{FF2B5EF4-FFF2-40B4-BE49-F238E27FC236}">
                  <a16:creationId xmlns:a16="http://schemas.microsoft.com/office/drawing/2014/main" id="{00000000-0008-0000-1000-0000C7E84B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oneCellAnchor>
    <xdr:from>
      <xdr:col>4</xdr:col>
      <xdr:colOff>104775</xdr:colOff>
      <xdr:row>258</xdr:row>
      <xdr:rowOff>175101</xdr:rowOff>
    </xdr:from>
    <xdr:ext cx="3116749" cy="314552"/>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1000-000004000000}"/>
                </a:ext>
              </a:extLst>
            </xdr:cNvPr>
            <xdr:cNvSpPr txBox="1"/>
          </xdr:nvSpPr>
          <xdr:spPr>
            <a:xfrm>
              <a:off x="1285875" y="63125826"/>
              <a:ext cx="3114675" cy="3050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b="0" i="1">
                            <a:latin typeface="Cambria Math" panose="02040503050406030204" pitchFamily="18" charset="0"/>
                          </a:rPr>
                        </m:ctrlPr>
                      </m:sSubPr>
                      <m:e>
                        <m:r>
                          <a:rPr lang="en-AU" sz="1200" b="0" i="1">
                            <a:latin typeface="Cambria Math"/>
                          </a:rPr>
                          <m:t>𝐷</m:t>
                        </m:r>
                      </m:e>
                      <m:sub>
                        <m:r>
                          <a:rPr lang="en-AU" sz="1200" b="0" i="1">
                            <a:latin typeface="Cambria Math"/>
                          </a:rPr>
                          <m:t>𝑤</m:t>
                        </m:r>
                        <m:r>
                          <a:rPr lang="en-AU" sz="1200" b="0" i="1">
                            <a:latin typeface="Cambria Math"/>
                          </a:rPr>
                          <m:t>,</m:t>
                        </m:r>
                        <m:r>
                          <a:rPr lang="en-AU" sz="1200" b="0" i="1">
                            <a:latin typeface="Cambria Math"/>
                          </a:rPr>
                          <m:t>𝑄</m:t>
                        </m:r>
                      </m:sub>
                    </m:sSub>
                    <m:d>
                      <m:dPr>
                        <m:ctrlPr>
                          <a:rPr lang="en-AU" sz="1200" b="0" i="1">
                            <a:latin typeface="Cambria Math" panose="02040503050406030204" pitchFamily="18" charset="0"/>
                          </a:rPr>
                        </m:ctrlPr>
                      </m:dPr>
                      <m:e>
                        <m:sSub>
                          <m:sSubPr>
                            <m:ctrlPr>
                              <a:rPr lang="en-AU" sz="1200" b="0" i="1">
                                <a:latin typeface="Cambria Math" panose="02040503050406030204" pitchFamily="18" charset="0"/>
                              </a:rPr>
                            </m:ctrlPr>
                          </m:sSubPr>
                          <m:e>
                            <m:r>
                              <a:rPr lang="en-AU" sz="1200" b="0" i="1">
                                <a:latin typeface="Cambria Math"/>
                              </a:rPr>
                              <m:t>𝑧</m:t>
                            </m:r>
                          </m:e>
                          <m:sub>
                            <m:r>
                              <a:rPr lang="en-AU" sz="1200" b="0" i="1">
                                <a:latin typeface="Cambria Math"/>
                              </a:rPr>
                              <m:t>𝑟𝑒𝑓</m:t>
                            </m:r>
                          </m:sub>
                        </m:sSub>
                      </m:e>
                    </m:d>
                    <m:r>
                      <a:rPr lang="en-AU" sz="1200" i="1">
                        <a:latin typeface="Cambria Math"/>
                      </a:rPr>
                      <m:t>=</m:t>
                    </m:r>
                    <m:sSub>
                      <m:sSubPr>
                        <m:ctrlPr>
                          <a:rPr lang="en-AU" sz="1200" i="1">
                            <a:latin typeface="Cambria Math" panose="02040503050406030204" pitchFamily="18" charset="0"/>
                          </a:rPr>
                        </m:ctrlPr>
                      </m:sSubPr>
                      <m:e>
                        <m:r>
                          <a:rPr lang="en-AU" sz="1200" b="0" i="1">
                            <a:latin typeface="Cambria Math"/>
                          </a:rPr>
                          <m:t>𝑀</m:t>
                        </m:r>
                      </m:e>
                      <m:sub>
                        <m:r>
                          <a:rPr lang="en-AU" sz="1200" b="0" i="1">
                            <a:latin typeface="Cambria Math"/>
                          </a:rPr>
                          <m:t>1</m:t>
                        </m:r>
                      </m:sub>
                    </m:sSub>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𝑇𝑃</m:t>
                        </m:r>
                      </m:sub>
                    </m:sSub>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𝑒𝑙𝑒𝑐</m:t>
                        </m:r>
                      </m:sub>
                    </m:sSub>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𝑝𝑜𝑙</m:t>
                        </m:r>
                      </m:sub>
                    </m:sSub>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𝑠</m:t>
                        </m:r>
                      </m:sub>
                    </m:sSub>
                    <m:sSub>
                      <m:sSubPr>
                        <m:ctrlPr>
                          <a:rPr lang="en-AU" sz="1200" i="1">
                            <a:latin typeface="Cambria Math" panose="02040503050406030204" pitchFamily="18" charset="0"/>
                          </a:rPr>
                        </m:ctrlPr>
                      </m:sSubPr>
                      <m:e>
                        <m:r>
                          <a:rPr lang="en-AU" sz="1200" b="0" i="1">
                            <a:latin typeface="Cambria Math"/>
                          </a:rPr>
                          <m:t>𝑁</m:t>
                        </m:r>
                      </m:e>
                      <m:sub>
                        <m:r>
                          <a:rPr lang="en-AU" sz="1200" b="0" i="1">
                            <a:latin typeface="Cambria Math"/>
                          </a:rPr>
                          <m:t>𝐷</m:t>
                        </m:r>
                        <m:r>
                          <a:rPr lang="en-AU" sz="1200" b="0" i="1">
                            <a:latin typeface="Cambria Math"/>
                          </a:rPr>
                          <m:t>,</m:t>
                        </m:r>
                        <m:r>
                          <a:rPr lang="en-AU" sz="1200" b="0" i="1">
                            <a:latin typeface="Cambria Math"/>
                          </a:rPr>
                          <m:t>𝑤</m:t>
                        </m:r>
                      </m:sub>
                    </m:sSub>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𝑄</m:t>
                        </m:r>
                      </m:sub>
                    </m:sSub>
                  </m:oMath>
                </m:oMathPara>
              </a14:m>
              <a:endParaRPr lang="en-AU" sz="1200"/>
            </a:p>
          </xdr:txBody>
        </xdr:sp>
      </mc:Choice>
      <mc:Fallback xmlns="">
        <xdr:sp macro="" textlink="">
          <xdr:nvSpPr>
            <xdr:cNvPr id="4" name="TextBox 3"/>
            <xdr:cNvSpPr txBox="1"/>
          </xdr:nvSpPr>
          <xdr:spPr>
            <a:xfrm xmlns:a="http://schemas.openxmlformats.org/drawingml/2006/main">
              <a:off x="1285875" y="63125826"/>
              <a:ext cx="3114675" cy="305020"/>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spAutoFit/>
            </a:bodyPr>
            <a:lstStyle xmlns:a="http://schemas.openxmlformats.org/drawingml/2006/main"/>
            <a:p xmlns:a="http://schemas.openxmlformats.org/drawingml/2006/main">
              <a:pPr/>
              <a:r>
                <a:rPr lang="en-AU" sz="1200" b="0" i="0">
                  <a:latin typeface="Cambria Math"/>
                </a:rPr>
                <a:t>𝐷</a:t>
              </a:r>
              <a:r>
                <a:rPr lang="en-AU" sz="1200" b="0" i="0">
                  <a:latin typeface="Cambria Math" panose="02040503050406030204" pitchFamily="18" charset="0"/>
                </a:rPr>
                <a:t>_(</a:t>
              </a:r>
              <a:r>
                <a:rPr lang="en-AU" sz="1200" b="0" i="0">
                  <a:latin typeface="Cambria Math"/>
                </a:rPr>
                <a:t>𝑤,𝑄</a:t>
              </a:r>
              <a:r>
                <a:rPr lang="en-AU" sz="1200" b="0" i="0">
                  <a:latin typeface="Cambria Math" panose="02040503050406030204" pitchFamily="18" charset="0"/>
                </a:rPr>
                <a:t>) (</a:t>
              </a:r>
              <a:r>
                <a:rPr lang="en-AU" sz="1200" b="0" i="0">
                  <a:latin typeface="Cambria Math"/>
                </a:rPr>
                <a:t>𝑧</a:t>
              </a:r>
              <a:r>
                <a:rPr lang="en-AU" sz="1200" b="0" i="0">
                  <a:latin typeface="Cambria Math" panose="02040503050406030204" pitchFamily="18" charset="0"/>
                </a:rPr>
                <a:t>_</a:t>
              </a:r>
              <a:r>
                <a:rPr lang="en-AU" sz="1200" b="0" i="0">
                  <a:latin typeface="Cambria Math"/>
                </a:rPr>
                <a:t>𝑟𝑒𝑓</a:t>
              </a:r>
              <a:r>
                <a:rPr lang="en-AU" sz="1200" b="0" i="0">
                  <a:latin typeface="Cambria Math" panose="02040503050406030204" pitchFamily="18" charset="0"/>
                </a:rPr>
                <a:t> )</a:t>
              </a:r>
              <a:r>
                <a:rPr lang="en-AU" sz="1200" i="0">
                  <a:latin typeface="Cambria Math"/>
                </a:rPr>
                <a:t>=</a:t>
              </a:r>
              <a:r>
                <a:rPr lang="en-AU" sz="1200" b="0" i="0">
                  <a:latin typeface="Cambria Math"/>
                </a:rPr>
                <a:t>𝑀</a:t>
              </a:r>
              <a:r>
                <a:rPr lang="en-AU" sz="1200" b="0" i="0">
                  <a:latin typeface="Cambria Math" panose="02040503050406030204" pitchFamily="18" charset="0"/>
                </a:rPr>
                <a:t>_</a:t>
              </a:r>
              <a:r>
                <a:rPr lang="en-AU" sz="1200" b="0" i="0">
                  <a:latin typeface="Cambria Math"/>
                </a:rPr>
                <a:t>1</a:t>
              </a:r>
              <a:r>
                <a:rPr lang="en-AU" sz="1200" b="0" i="0">
                  <a:latin typeface="Cambria Math" panose="02040503050406030204" pitchFamily="18" charset="0"/>
                </a:rPr>
                <a:t> </a:t>
              </a:r>
              <a:r>
                <a:rPr lang="en-AU" sz="1200" b="0" i="0">
                  <a:latin typeface="Cambria Math"/>
                </a:rPr>
                <a:t>𝑘</a:t>
              </a:r>
              <a:r>
                <a:rPr lang="en-AU" sz="1200" b="0" i="0">
                  <a:latin typeface="Cambria Math" panose="02040503050406030204" pitchFamily="18" charset="0"/>
                </a:rPr>
                <a:t>_</a:t>
              </a:r>
              <a:r>
                <a:rPr lang="en-AU" sz="1200" b="0" i="0">
                  <a:latin typeface="Cambria Math"/>
                </a:rPr>
                <a:t>𝑇𝑃</a:t>
              </a:r>
              <a:r>
                <a:rPr lang="en-AU" sz="1200" b="0" i="0">
                  <a:latin typeface="Cambria Math" panose="02040503050406030204" pitchFamily="18" charset="0"/>
                </a:rPr>
                <a:t> </a:t>
              </a:r>
              <a:r>
                <a:rPr lang="en-AU" sz="1200" b="0" i="0">
                  <a:latin typeface="Cambria Math"/>
                </a:rPr>
                <a:t>𝑘</a:t>
              </a:r>
              <a:r>
                <a:rPr lang="en-AU" sz="1200" b="0" i="0">
                  <a:latin typeface="Cambria Math" panose="02040503050406030204" pitchFamily="18" charset="0"/>
                </a:rPr>
                <a:t>_</a:t>
              </a:r>
              <a:r>
                <a:rPr lang="en-AU" sz="1200" b="0" i="0">
                  <a:latin typeface="Cambria Math"/>
                </a:rPr>
                <a:t>𝑒𝑙𝑒𝑐</a:t>
              </a:r>
              <a:r>
                <a:rPr lang="en-AU" sz="1200" b="0" i="0">
                  <a:latin typeface="Cambria Math" panose="02040503050406030204" pitchFamily="18" charset="0"/>
                </a:rPr>
                <a:t> </a:t>
              </a:r>
              <a:r>
                <a:rPr lang="en-AU" sz="1200" b="0" i="0">
                  <a:latin typeface="Cambria Math"/>
                </a:rPr>
                <a:t>𝑘</a:t>
              </a:r>
              <a:r>
                <a:rPr lang="en-AU" sz="1200" b="0" i="0">
                  <a:latin typeface="Cambria Math" panose="02040503050406030204" pitchFamily="18" charset="0"/>
                </a:rPr>
                <a:t>_</a:t>
              </a:r>
              <a:r>
                <a:rPr lang="en-AU" sz="1200" b="0" i="0">
                  <a:latin typeface="Cambria Math"/>
                </a:rPr>
                <a:t>𝑝𝑜𝑙</a:t>
              </a:r>
              <a:r>
                <a:rPr lang="en-AU" sz="1200" b="0" i="0">
                  <a:latin typeface="Cambria Math" panose="02040503050406030204" pitchFamily="18" charset="0"/>
                </a:rPr>
                <a:t> </a:t>
              </a:r>
              <a:r>
                <a:rPr lang="en-AU" sz="1200" b="0" i="0">
                  <a:latin typeface="Cambria Math"/>
                </a:rPr>
                <a:t>𝑘</a:t>
              </a:r>
              <a:r>
                <a:rPr lang="en-AU" sz="1200" b="0" i="0">
                  <a:latin typeface="Cambria Math" panose="02040503050406030204" pitchFamily="18" charset="0"/>
                </a:rPr>
                <a:t>_</a:t>
              </a:r>
              <a:r>
                <a:rPr lang="en-AU" sz="1200" b="0" i="0">
                  <a:latin typeface="Cambria Math"/>
                </a:rPr>
                <a:t>𝑠</a:t>
              </a:r>
              <a:r>
                <a:rPr lang="en-AU" sz="1200" b="0" i="0">
                  <a:latin typeface="Cambria Math" panose="02040503050406030204" pitchFamily="18" charset="0"/>
                </a:rPr>
                <a:t> </a:t>
              </a:r>
              <a:r>
                <a:rPr lang="en-AU" sz="1200" b="0" i="0">
                  <a:latin typeface="Cambria Math"/>
                </a:rPr>
                <a:t>𝑁</a:t>
              </a:r>
              <a:r>
                <a:rPr lang="en-AU" sz="1200" b="0" i="0">
                  <a:latin typeface="Cambria Math" panose="02040503050406030204" pitchFamily="18" charset="0"/>
                </a:rPr>
                <a:t>_(</a:t>
              </a:r>
              <a:r>
                <a:rPr lang="en-AU" sz="1200" b="0" i="0">
                  <a:latin typeface="Cambria Math"/>
                </a:rPr>
                <a:t>𝐷,𝑤</a:t>
              </a:r>
              <a:r>
                <a:rPr lang="en-AU" sz="1200" b="0" i="0">
                  <a:latin typeface="Cambria Math" panose="02040503050406030204" pitchFamily="18" charset="0"/>
                </a:rPr>
                <a:t>) </a:t>
              </a:r>
              <a:r>
                <a:rPr lang="en-AU" sz="1200" b="0" i="0">
                  <a:latin typeface="Cambria Math"/>
                </a:rPr>
                <a:t>𝑘</a:t>
              </a:r>
              <a:r>
                <a:rPr lang="en-AU" sz="1200" b="0" i="0">
                  <a:latin typeface="Cambria Math" panose="02040503050406030204" pitchFamily="18" charset="0"/>
                </a:rPr>
                <a:t>_</a:t>
              </a:r>
              <a:r>
                <a:rPr lang="en-AU" sz="1200" b="0" i="0">
                  <a:latin typeface="Cambria Math"/>
                </a:rPr>
                <a:t>𝑄</a:t>
              </a:r>
              <a:endParaRPr lang="en-AU" sz="1200"/>
            </a:p>
          </xdr:txBody>
        </xdr:sp>
      </mc:Fallback>
    </mc:AlternateContent>
    <xdr:clientData/>
  </xdr:oneCellAnchor>
  <xdr:oneCellAnchor>
    <xdr:from>
      <xdr:col>1</xdr:col>
      <xdr:colOff>196850</xdr:colOff>
      <xdr:row>262</xdr:row>
      <xdr:rowOff>471487</xdr:rowOff>
    </xdr:from>
    <xdr:ext cx="384608" cy="264560"/>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1000-000005000000}"/>
                </a:ext>
              </a:extLst>
            </xdr:cNvPr>
            <xdr:cNvSpPr txBox="1"/>
          </xdr:nvSpPr>
          <xdr:spPr>
            <a:xfrm>
              <a:off x="495300" y="64222312"/>
              <a:ext cx="3905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r>
                      <a:rPr lang="en-AU" sz="1100" b="0" i="1">
                        <a:latin typeface="Cambria Math"/>
                      </a:rPr>
                      <m:t>𝑄</m:t>
                    </m:r>
                  </m:oMath>
                </m:oMathPara>
              </a14:m>
              <a:endParaRPr lang="en-AU" sz="1100"/>
            </a:p>
          </xdr:txBody>
        </xdr:sp>
      </mc:Choice>
      <mc:Fallback xmlns="">
        <xdr:sp macro="" textlink="">
          <xdr:nvSpPr>
            <xdr:cNvPr id="5" name="TextBox 4"/>
            <xdr:cNvSpPr txBox="1"/>
          </xdr:nvSpPr>
          <xdr:spPr>
            <a:xfrm xmlns:a="http://schemas.openxmlformats.org/drawingml/2006/main">
              <a:off x="495300" y="64222312"/>
              <a:ext cx="390525" cy="264560"/>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spAutoFit/>
            </a:bodyPr>
            <a:lstStyle xmlns:a="http://schemas.openxmlformats.org/drawingml/2006/main"/>
            <a:p xmlns:a="http://schemas.openxmlformats.org/drawingml/2006/main">
              <a:pPr/>
              <a:r>
                <a:rPr lang="en-AU" sz="1100" b="0" i="0">
                  <a:latin typeface="Cambria Math"/>
                </a:rPr>
                <a:t>𝑄</a:t>
              </a:r>
              <a:endParaRPr lang="en-AU" sz="1100"/>
            </a:p>
          </xdr:txBody>
        </xdr:sp>
      </mc:Fallback>
    </mc:AlternateContent>
    <xdr:clientData/>
  </xdr:oneCellAnchor>
  <xdr:oneCellAnchor>
    <xdr:from>
      <xdr:col>1</xdr:col>
      <xdr:colOff>196850</xdr:colOff>
      <xdr:row>262</xdr:row>
      <xdr:rowOff>79851</xdr:rowOff>
    </xdr:from>
    <xdr:ext cx="968075" cy="305020"/>
    <mc:AlternateContent xmlns:mc="http://schemas.openxmlformats.org/markup-compatibility/2006" xmlns:a14="http://schemas.microsoft.com/office/drawing/2010/main">
      <mc:Choice Requires="a14">
        <xdr:sp macro="" textlink="">
          <xdr:nvSpPr>
            <xdr:cNvPr id="26" name="TextBox 25">
              <a:extLst>
                <a:ext uri="{FF2B5EF4-FFF2-40B4-BE49-F238E27FC236}">
                  <a16:creationId xmlns:a16="http://schemas.microsoft.com/office/drawing/2014/main" id="{00000000-0008-0000-1000-00001A000000}"/>
                </a:ext>
              </a:extLst>
            </xdr:cNvPr>
            <xdr:cNvSpPr txBox="1"/>
          </xdr:nvSpPr>
          <xdr:spPr>
            <a:xfrm>
              <a:off x="495300" y="63830676"/>
              <a:ext cx="962025" cy="3050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b="0" i="1">
                            <a:latin typeface="Cambria Math" panose="02040503050406030204" pitchFamily="18" charset="0"/>
                          </a:rPr>
                        </m:ctrlPr>
                      </m:sSubPr>
                      <m:e>
                        <m:r>
                          <a:rPr lang="en-AU" sz="1200" b="0" i="1">
                            <a:latin typeface="Cambria Math"/>
                          </a:rPr>
                          <m:t>𝐷</m:t>
                        </m:r>
                      </m:e>
                      <m:sub>
                        <m:r>
                          <a:rPr lang="en-AU" sz="1200" b="0" i="1">
                            <a:latin typeface="Cambria Math"/>
                          </a:rPr>
                          <m:t>𝑤</m:t>
                        </m:r>
                        <m:r>
                          <a:rPr lang="en-AU" sz="1200" b="0" i="1">
                            <a:latin typeface="Cambria Math"/>
                          </a:rPr>
                          <m:t>,</m:t>
                        </m:r>
                        <m:r>
                          <a:rPr lang="en-AU" sz="1200" b="0" i="1">
                            <a:latin typeface="Cambria Math"/>
                          </a:rPr>
                          <m:t>𝑄</m:t>
                        </m:r>
                      </m:sub>
                    </m:sSub>
                    <m:d>
                      <m:dPr>
                        <m:ctrlPr>
                          <a:rPr lang="en-AU" sz="1200" b="0" i="1">
                            <a:latin typeface="Cambria Math" panose="02040503050406030204" pitchFamily="18" charset="0"/>
                          </a:rPr>
                        </m:ctrlPr>
                      </m:dPr>
                      <m:e>
                        <m:sSub>
                          <m:sSubPr>
                            <m:ctrlPr>
                              <a:rPr lang="en-AU" sz="1200" b="0" i="1">
                                <a:latin typeface="Cambria Math" panose="02040503050406030204" pitchFamily="18" charset="0"/>
                              </a:rPr>
                            </m:ctrlPr>
                          </m:sSubPr>
                          <m:e>
                            <m:r>
                              <a:rPr lang="en-AU" sz="1200" b="0" i="1">
                                <a:latin typeface="Cambria Math"/>
                              </a:rPr>
                              <m:t>𝑧</m:t>
                            </m:r>
                          </m:e>
                          <m:sub>
                            <m:r>
                              <a:rPr lang="en-AU" sz="1200" b="0" i="1">
                                <a:latin typeface="Cambria Math"/>
                              </a:rPr>
                              <m:t>𝑟𝑒𝑓</m:t>
                            </m:r>
                          </m:sub>
                        </m:sSub>
                      </m:e>
                    </m:d>
                  </m:oMath>
                </m:oMathPara>
              </a14:m>
              <a:endParaRPr lang="en-AU" sz="1200"/>
            </a:p>
          </xdr:txBody>
        </xdr:sp>
      </mc:Choice>
      <mc:Fallback xmlns="">
        <xdr:sp macro="" textlink="">
          <xdr:nvSpPr>
            <xdr:cNvPr id="26" name="TextBox 25"/>
            <xdr:cNvSpPr txBox="1"/>
          </xdr:nvSpPr>
          <xdr:spPr>
            <a:xfrm xmlns:a="http://schemas.openxmlformats.org/drawingml/2006/main">
              <a:off x="495300" y="63830676"/>
              <a:ext cx="962025" cy="305020"/>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spAutoFit/>
            </a:bodyPr>
            <a:lstStyle xmlns:a="http://schemas.openxmlformats.org/drawingml/2006/main"/>
            <a:p xmlns:a="http://schemas.openxmlformats.org/drawingml/2006/main">
              <a:pPr/>
              <a:r>
                <a:rPr lang="en-AU" sz="1200" b="0" i="0">
                  <a:latin typeface="Cambria Math"/>
                </a:rPr>
                <a:t>𝐷</a:t>
              </a:r>
              <a:r>
                <a:rPr lang="en-AU" sz="1200" b="0" i="0">
                  <a:latin typeface="Cambria Math" panose="02040503050406030204" pitchFamily="18" charset="0"/>
                </a:rPr>
                <a:t>_(</a:t>
              </a:r>
              <a:r>
                <a:rPr lang="en-AU" sz="1200" b="0" i="0">
                  <a:latin typeface="Cambria Math"/>
                </a:rPr>
                <a:t>𝑤,𝑄</a:t>
              </a:r>
              <a:r>
                <a:rPr lang="en-AU" sz="1200" b="0" i="0">
                  <a:latin typeface="Cambria Math" panose="02040503050406030204" pitchFamily="18" charset="0"/>
                </a:rPr>
                <a:t>) (</a:t>
              </a:r>
              <a:r>
                <a:rPr lang="en-AU" sz="1200" b="0" i="0">
                  <a:latin typeface="Cambria Math"/>
                </a:rPr>
                <a:t>𝑧</a:t>
              </a:r>
              <a:r>
                <a:rPr lang="en-AU" sz="1200" b="0" i="0">
                  <a:latin typeface="Cambria Math" panose="02040503050406030204" pitchFamily="18" charset="0"/>
                </a:rPr>
                <a:t>_</a:t>
              </a:r>
              <a:r>
                <a:rPr lang="en-AU" sz="1200" b="0" i="0">
                  <a:latin typeface="Cambria Math"/>
                </a:rPr>
                <a:t>𝑟𝑒𝑓</a:t>
              </a:r>
              <a:r>
                <a:rPr lang="en-AU" sz="1200" b="0" i="0">
                  <a:latin typeface="Cambria Math" panose="02040503050406030204" pitchFamily="18" charset="0"/>
                </a:rPr>
                <a:t> )</a:t>
              </a:r>
              <a:endParaRPr lang="en-AU" sz="1200"/>
            </a:p>
          </xdr:txBody>
        </xdr:sp>
      </mc:Fallback>
    </mc:AlternateContent>
    <xdr:clientData/>
  </xdr:oneCellAnchor>
  <xdr:oneCellAnchor>
    <xdr:from>
      <xdr:col>1</xdr:col>
      <xdr:colOff>193676</xdr:colOff>
      <xdr:row>265</xdr:row>
      <xdr:rowOff>44926</xdr:rowOff>
    </xdr:from>
    <xdr:ext cx="436458" cy="286432"/>
    <mc:AlternateContent xmlns:mc="http://schemas.openxmlformats.org/markup-compatibility/2006" xmlns:a14="http://schemas.microsoft.com/office/drawing/2010/main">
      <mc:Choice Requires="a14">
        <xdr:sp macro="" textlink="">
          <xdr:nvSpPr>
            <xdr:cNvPr id="28" name="TextBox 27">
              <a:extLst>
                <a:ext uri="{FF2B5EF4-FFF2-40B4-BE49-F238E27FC236}">
                  <a16:creationId xmlns:a16="http://schemas.microsoft.com/office/drawing/2014/main" id="{00000000-0008-0000-1000-00001C000000}"/>
                </a:ext>
              </a:extLst>
            </xdr:cNvPr>
            <xdr:cNvSpPr txBox="1"/>
          </xdr:nvSpPr>
          <xdr:spPr>
            <a:xfrm>
              <a:off x="485776" y="65030826"/>
              <a:ext cx="43815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i="1">
                            <a:latin typeface="Cambria Math" panose="02040503050406030204" pitchFamily="18" charset="0"/>
                          </a:rPr>
                        </m:ctrlPr>
                      </m:sSubPr>
                      <m:e>
                        <m:r>
                          <a:rPr lang="en-AU" sz="1200" b="0" i="1">
                            <a:latin typeface="Cambria Math"/>
                          </a:rPr>
                          <m:t>𝑀</m:t>
                        </m:r>
                      </m:e>
                      <m:sub>
                        <m:r>
                          <a:rPr lang="en-AU" sz="1200" b="0" i="1">
                            <a:latin typeface="Cambria Math"/>
                          </a:rPr>
                          <m:t>1</m:t>
                        </m:r>
                      </m:sub>
                    </m:sSub>
                  </m:oMath>
                </m:oMathPara>
              </a14:m>
              <a:endParaRPr lang="en-AU" sz="1200"/>
            </a:p>
          </xdr:txBody>
        </xdr:sp>
      </mc:Choice>
      <mc:Fallback xmlns="">
        <xdr:sp macro="" textlink="">
          <xdr:nvSpPr>
            <xdr:cNvPr id="28" name="TextBox 27"/>
            <xdr:cNvSpPr txBox="1"/>
          </xdr:nvSpPr>
          <xdr:spPr>
            <a:xfrm xmlns:a="http://schemas.openxmlformats.org/drawingml/2006/main">
              <a:off x="485776" y="65030826"/>
              <a:ext cx="438150" cy="280205"/>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spAutoFit/>
            </a:bodyPr>
            <a:lstStyle xmlns:a="http://schemas.openxmlformats.org/drawingml/2006/main"/>
            <a:p xmlns:a="http://schemas.openxmlformats.org/drawingml/2006/main">
              <a:pPr/>
              <a:r>
                <a:rPr lang="en-AU" sz="1200" b="0" i="0">
                  <a:latin typeface="Cambria Math"/>
                </a:rPr>
                <a:t>𝑀</a:t>
              </a:r>
              <a:r>
                <a:rPr lang="en-AU" sz="1200" b="0" i="0">
                  <a:latin typeface="Cambria Math" panose="02040503050406030204" pitchFamily="18" charset="0"/>
                </a:rPr>
                <a:t>_</a:t>
              </a:r>
              <a:r>
                <a:rPr lang="en-AU" sz="1200" b="0" i="0">
                  <a:latin typeface="Cambria Math"/>
                </a:rPr>
                <a:t>1</a:t>
              </a:r>
              <a:endParaRPr lang="en-AU" sz="1200"/>
            </a:p>
          </xdr:txBody>
        </xdr:sp>
      </mc:Fallback>
    </mc:AlternateContent>
    <xdr:clientData/>
  </xdr:oneCellAnchor>
  <xdr:oneCellAnchor>
    <xdr:from>
      <xdr:col>1</xdr:col>
      <xdr:colOff>215901</xdr:colOff>
      <xdr:row>266</xdr:row>
      <xdr:rowOff>41751</xdr:rowOff>
    </xdr:from>
    <xdr:ext cx="461518" cy="280205"/>
    <mc:AlternateContent xmlns:mc="http://schemas.openxmlformats.org/markup-compatibility/2006" xmlns:a14="http://schemas.microsoft.com/office/drawing/2010/main">
      <mc:Choice Requires="a14">
        <xdr:sp macro="" textlink="">
          <xdr:nvSpPr>
            <xdr:cNvPr id="29" name="TextBox 28">
              <a:extLst>
                <a:ext uri="{FF2B5EF4-FFF2-40B4-BE49-F238E27FC236}">
                  <a16:creationId xmlns:a16="http://schemas.microsoft.com/office/drawing/2014/main" id="{00000000-0008-0000-1000-00001D000000}"/>
                </a:ext>
              </a:extLst>
            </xdr:cNvPr>
            <xdr:cNvSpPr txBox="1"/>
          </xdr:nvSpPr>
          <xdr:spPr>
            <a:xfrm>
              <a:off x="514351" y="65459451"/>
              <a:ext cx="45720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𝑇𝑃</m:t>
                        </m:r>
                      </m:sub>
                    </m:sSub>
                  </m:oMath>
                </m:oMathPara>
              </a14:m>
              <a:endParaRPr lang="en-AU" sz="1200"/>
            </a:p>
          </xdr:txBody>
        </xdr:sp>
      </mc:Choice>
      <mc:Fallback xmlns="">
        <xdr:sp macro="" textlink="">
          <xdr:nvSpPr>
            <xdr:cNvPr id="29" name="TextBox 28"/>
            <xdr:cNvSpPr txBox="1"/>
          </xdr:nvSpPr>
          <xdr:spPr>
            <a:xfrm xmlns:a="http://schemas.openxmlformats.org/drawingml/2006/main">
              <a:off x="514351" y="65459451"/>
              <a:ext cx="457200" cy="280205"/>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spAutoFit/>
            </a:bodyPr>
            <a:lstStyle xmlns:a="http://schemas.openxmlformats.org/drawingml/2006/main"/>
            <a:p xmlns:a="http://schemas.openxmlformats.org/drawingml/2006/main">
              <a:pPr/>
              <a:r>
                <a:rPr lang="en-AU" sz="1200" b="0" i="0">
                  <a:latin typeface="Cambria Math"/>
                </a:rPr>
                <a:t>𝑘</a:t>
              </a:r>
              <a:r>
                <a:rPr lang="en-AU" sz="1200" b="0" i="0">
                  <a:latin typeface="Cambria Math" panose="02040503050406030204" pitchFamily="18" charset="0"/>
                </a:rPr>
                <a:t>_</a:t>
              </a:r>
              <a:r>
                <a:rPr lang="en-AU" sz="1200" b="0" i="0">
                  <a:latin typeface="Cambria Math"/>
                </a:rPr>
                <a:t>𝑇𝑃</a:t>
              </a:r>
              <a:endParaRPr lang="en-AU" sz="1200"/>
            </a:p>
          </xdr:txBody>
        </xdr:sp>
      </mc:Fallback>
    </mc:AlternateContent>
    <xdr:clientData/>
  </xdr:oneCellAnchor>
  <xdr:oneCellAnchor>
    <xdr:from>
      <xdr:col>1</xdr:col>
      <xdr:colOff>193676</xdr:colOff>
      <xdr:row>266</xdr:row>
      <xdr:rowOff>406876</xdr:rowOff>
    </xdr:from>
    <xdr:ext cx="575582" cy="280205"/>
    <mc:AlternateContent xmlns:mc="http://schemas.openxmlformats.org/markup-compatibility/2006" xmlns:a14="http://schemas.microsoft.com/office/drawing/2010/main">
      <mc:Choice Requires="a14">
        <xdr:sp macro="" textlink="">
          <xdr:nvSpPr>
            <xdr:cNvPr id="30" name="TextBox 29">
              <a:extLst>
                <a:ext uri="{FF2B5EF4-FFF2-40B4-BE49-F238E27FC236}">
                  <a16:creationId xmlns:a16="http://schemas.microsoft.com/office/drawing/2014/main" id="{00000000-0008-0000-1000-00001E000000}"/>
                </a:ext>
              </a:extLst>
            </xdr:cNvPr>
            <xdr:cNvSpPr txBox="1"/>
          </xdr:nvSpPr>
          <xdr:spPr>
            <a:xfrm>
              <a:off x="485776" y="65830926"/>
              <a:ext cx="571500"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𝑒𝑙𝑒𝑐</m:t>
                        </m:r>
                      </m:sub>
                    </m:sSub>
                  </m:oMath>
                </m:oMathPara>
              </a14:m>
              <a:endParaRPr lang="en-AU" sz="1200"/>
            </a:p>
          </xdr:txBody>
        </xdr:sp>
      </mc:Choice>
      <mc:Fallback xmlns="">
        <xdr:sp macro="" textlink="">
          <xdr:nvSpPr>
            <xdr:cNvPr id="30" name="TextBox 29"/>
            <xdr:cNvSpPr txBox="1"/>
          </xdr:nvSpPr>
          <xdr:spPr>
            <a:xfrm xmlns:a="http://schemas.openxmlformats.org/drawingml/2006/main">
              <a:off x="485776" y="65830926"/>
              <a:ext cx="571500" cy="280205"/>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spAutoFit/>
            </a:bodyPr>
            <a:lstStyle xmlns:a="http://schemas.openxmlformats.org/drawingml/2006/main"/>
            <a:p xmlns:a="http://schemas.openxmlformats.org/drawingml/2006/main">
              <a:pPr/>
              <a:r>
                <a:rPr lang="en-AU" sz="1200" b="0" i="0">
                  <a:latin typeface="Cambria Math"/>
                </a:rPr>
                <a:t>𝑘</a:t>
              </a:r>
              <a:r>
                <a:rPr lang="en-AU" sz="1200" b="0" i="0">
                  <a:latin typeface="Cambria Math" panose="02040503050406030204" pitchFamily="18" charset="0"/>
                </a:rPr>
                <a:t>_</a:t>
              </a:r>
              <a:r>
                <a:rPr lang="en-AU" sz="1200" b="0" i="0">
                  <a:latin typeface="Cambria Math"/>
                </a:rPr>
                <a:t>𝑒𝑙𝑒𝑐</a:t>
              </a:r>
              <a:endParaRPr lang="en-AU" sz="1200"/>
            </a:p>
          </xdr:txBody>
        </xdr:sp>
      </mc:Fallback>
    </mc:AlternateContent>
    <xdr:clientData/>
  </xdr:oneCellAnchor>
  <xdr:oneCellAnchor>
    <xdr:from>
      <xdr:col>1</xdr:col>
      <xdr:colOff>212725</xdr:colOff>
      <xdr:row>268</xdr:row>
      <xdr:rowOff>32226</xdr:rowOff>
    </xdr:from>
    <xdr:ext cx="517922" cy="291555"/>
    <mc:AlternateContent xmlns:mc="http://schemas.openxmlformats.org/markup-compatibility/2006" xmlns:a14="http://schemas.microsoft.com/office/drawing/2010/main">
      <mc:Choice Requires="a14">
        <xdr:sp macro="" textlink="">
          <xdr:nvSpPr>
            <xdr:cNvPr id="31" name="TextBox 30">
              <a:extLst>
                <a:ext uri="{FF2B5EF4-FFF2-40B4-BE49-F238E27FC236}">
                  <a16:creationId xmlns:a16="http://schemas.microsoft.com/office/drawing/2014/main" id="{00000000-0008-0000-1000-00001F000000}"/>
                </a:ext>
              </a:extLst>
            </xdr:cNvPr>
            <xdr:cNvSpPr txBox="1"/>
          </xdr:nvSpPr>
          <xdr:spPr>
            <a:xfrm>
              <a:off x="504825" y="66154776"/>
              <a:ext cx="523875" cy="29155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𝑝𝑜𝑙</m:t>
                        </m:r>
                      </m:sub>
                    </m:sSub>
                  </m:oMath>
                </m:oMathPara>
              </a14:m>
              <a:endParaRPr lang="en-AU" sz="1200"/>
            </a:p>
          </xdr:txBody>
        </xdr:sp>
      </mc:Choice>
      <mc:Fallback xmlns="">
        <xdr:sp macro="" textlink="">
          <xdr:nvSpPr>
            <xdr:cNvPr id="31" name="TextBox 30"/>
            <xdr:cNvSpPr txBox="1"/>
          </xdr:nvSpPr>
          <xdr:spPr>
            <a:xfrm xmlns:a="http://schemas.openxmlformats.org/drawingml/2006/main">
              <a:off x="504825" y="66154776"/>
              <a:ext cx="523875" cy="291555"/>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spAutoFit/>
            </a:bodyPr>
            <a:lstStyle xmlns:a="http://schemas.openxmlformats.org/drawingml/2006/main"/>
            <a:p xmlns:a="http://schemas.openxmlformats.org/drawingml/2006/main">
              <a:pPr/>
              <a:r>
                <a:rPr lang="en-AU" sz="1200" b="0" i="0">
                  <a:latin typeface="Cambria Math"/>
                </a:rPr>
                <a:t>𝑘</a:t>
              </a:r>
              <a:r>
                <a:rPr lang="en-AU" sz="1200" b="0" i="0">
                  <a:latin typeface="Cambria Math" panose="02040503050406030204" pitchFamily="18" charset="0"/>
                </a:rPr>
                <a:t>_</a:t>
              </a:r>
              <a:r>
                <a:rPr lang="en-AU" sz="1200" b="0" i="0">
                  <a:latin typeface="Cambria Math"/>
                </a:rPr>
                <a:t>𝑝𝑜𝑙</a:t>
              </a:r>
              <a:endParaRPr lang="en-AU" sz="1200"/>
            </a:p>
          </xdr:txBody>
        </xdr:sp>
      </mc:Fallback>
    </mc:AlternateContent>
    <xdr:clientData/>
  </xdr:oneCellAnchor>
  <xdr:oneCellAnchor>
    <xdr:from>
      <xdr:col>1</xdr:col>
      <xdr:colOff>231775</xdr:colOff>
      <xdr:row>269</xdr:row>
      <xdr:rowOff>13176</xdr:rowOff>
    </xdr:from>
    <xdr:ext cx="350140" cy="280205"/>
    <mc:AlternateContent xmlns:mc="http://schemas.openxmlformats.org/markup-compatibility/2006" xmlns:a14="http://schemas.microsoft.com/office/drawing/2010/main">
      <mc:Choice Requires="a14">
        <xdr:sp macro="" textlink="">
          <xdr:nvSpPr>
            <xdr:cNvPr id="32" name="TextBox 31">
              <a:extLst>
                <a:ext uri="{FF2B5EF4-FFF2-40B4-BE49-F238E27FC236}">
                  <a16:creationId xmlns:a16="http://schemas.microsoft.com/office/drawing/2014/main" id="{00000000-0008-0000-1000-000020000000}"/>
                </a:ext>
              </a:extLst>
            </xdr:cNvPr>
            <xdr:cNvSpPr txBox="1"/>
          </xdr:nvSpPr>
          <xdr:spPr>
            <a:xfrm>
              <a:off x="552450" y="66980276"/>
              <a:ext cx="359866" cy="280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𝑠</m:t>
                        </m:r>
                      </m:sub>
                    </m:sSub>
                  </m:oMath>
                </m:oMathPara>
              </a14:m>
              <a:endParaRPr lang="en-AU" sz="1200"/>
            </a:p>
          </xdr:txBody>
        </xdr:sp>
      </mc:Choice>
      <mc:Fallback xmlns="">
        <xdr:sp macro="" textlink="">
          <xdr:nvSpPr>
            <xdr:cNvPr id="32" name="TextBox 31"/>
            <xdr:cNvSpPr txBox="1"/>
          </xdr:nvSpPr>
          <xdr:spPr>
            <a:xfrm xmlns:a="http://schemas.openxmlformats.org/drawingml/2006/main">
              <a:off x="552450" y="66980276"/>
              <a:ext cx="359866" cy="280205"/>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spAutoFit/>
            </a:bodyPr>
            <a:lstStyle xmlns:a="http://schemas.openxmlformats.org/drawingml/2006/main"/>
            <a:p xmlns:a="http://schemas.openxmlformats.org/drawingml/2006/main">
              <a:pPr/>
              <a:r>
                <a:rPr lang="en-AU" sz="1200" b="0" i="0">
                  <a:latin typeface="Cambria Math"/>
                </a:rPr>
                <a:t>𝑘</a:t>
              </a:r>
              <a:r>
                <a:rPr lang="en-AU" sz="1200" b="0" i="0">
                  <a:latin typeface="Cambria Math" panose="02040503050406030204" pitchFamily="18" charset="0"/>
                </a:rPr>
                <a:t>_</a:t>
              </a:r>
              <a:r>
                <a:rPr lang="en-AU" sz="1200" b="0" i="0">
                  <a:latin typeface="Cambria Math"/>
                </a:rPr>
                <a:t>𝑠</a:t>
              </a:r>
              <a:endParaRPr lang="en-AU" sz="1200"/>
            </a:p>
          </xdr:txBody>
        </xdr:sp>
      </mc:Fallback>
    </mc:AlternateContent>
    <xdr:clientData/>
  </xdr:oneCellAnchor>
  <xdr:oneCellAnchor>
    <xdr:from>
      <xdr:col>1</xdr:col>
      <xdr:colOff>250826</xdr:colOff>
      <xdr:row>270</xdr:row>
      <xdr:rowOff>79851</xdr:rowOff>
    </xdr:from>
    <xdr:ext cx="480521" cy="284159"/>
    <mc:AlternateContent xmlns:mc="http://schemas.openxmlformats.org/markup-compatibility/2006" xmlns:a14="http://schemas.microsoft.com/office/drawing/2010/main">
      <mc:Choice Requires="a14">
        <xdr:sp macro="" textlink="">
          <xdr:nvSpPr>
            <xdr:cNvPr id="33" name="TextBox 32">
              <a:extLst>
                <a:ext uri="{FF2B5EF4-FFF2-40B4-BE49-F238E27FC236}">
                  <a16:creationId xmlns:a16="http://schemas.microsoft.com/office/drawing/2014/main" id="{00000000-0008-0000-1000-000021000000}"/>
                </a:ext>
              </a:extLst>
            </xdr:cNvPr>
            <xdr:cNvSpPr txBox="1"/>
          </xdr:nvSpPr>
          <xdr:spPr>
            <a:xfrm>
              <a:off x="542926" y="67078701"/>
              <a:ext cx="476250" cy="290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i="1">
                            <a:latin typeface="Cambria Math" panose="02040503050406030204" pitchFamily="18" charset="0"/>
                          </a:rPr>
                        </m:ctrlPr>
                      </m:sSubPr>
                      <m:e>
                        <m:r>
                          <a:rPr lang="en-AU" sz="1200" b="0" i="1">
                            <a:latin typeface="Cambria Math"/>
                          </a:rPr>
                          <m:t>𝑁</m:t>
                        </m:r>
                      </m:e>
                      <m:sub>
                        <m:r>
                          <a:rPr lang="en-AU" sz="1200" b="0" i="1">
                            <a:latin typeface="Cambria Math"/>
                          </a:rPr>
                          <m:t>𝐷</m:t>
                        </m:r>
                        <m:r>
                          <a:rPr lang="en-AU" sz="1200" b="0" i="1">
                            <a:latin typeface="Cambria Math"/>
                          </a:rPr>
                          <m:t>,</m:t>
                        </m:r>
                        <m:r>
                          <a:rPr lang="en-AU" sz="1200" b="0" i="1">
                            <a:latin typeface="Cambria Math"/>
                          </a:rPr>
                          <m:t>𝑤</m:t>
                        </m:r>
                      </m:sub>
                    </m:sSub>
                  </m:oMath>
                </m:oMathPara>
              </a14:m>
              <a:endParaRPr lang="en-AU" sz="1200"/>
            </a:p>
          </xdr:txBody>
        </xdr:sp>
      </mc:Choice>
      <mc:Fallback xmlns="">
        <xdr:sp macro="" textlink="">
          <xdr:nvSpPr>
            <xdr:cNvPr id="33" name="TextBox 32"/>
            <xdr:cNvSpPr txBox="1"/>
          </xdr:nvSpPr>
          <xdr:spPr>
            <a:xfrm xmlns:a="http://schemas.openxmlformats.org/drawingml/2006/main">
              <a:off x="542926" y="67078701"/>
              <a:ext cx="476250" cy="290336"/>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spAutoFit/>
            </a:bodyPr>
            <a:lstStyle xmlns:a="http://schemas.openxmlformats.org/drawingml/2006/main"/>
            <a:p xmlns:a="http://schemas.openxmlformats.org/drawingml/2006/main">
              <a:pPr/>
              <a:r>
                <a:rPr lang="en-AU" sz="1200" b="0" i="0">
                  <a:latin typeface="Cambria Math"/>
                </a:rPr>
                <a:t>𝑁</a:t>
              </a:r>
              <a:r>
                <a:rPr lang="en-AU" sz="1200" b="0" i="0">
                  <a:latin typeface="Cambria Math" panose="02040503050406030204" pitchFamily="18" charset="0"/>
                </a:rPr>
                <a:t>_(</a:t>
              </a:r>
              <a:r>
                <a:rPr lang="en-AU" sz="1200" b="0" i="0">
                  <a:latin typeface="Cambria Math"/>
                </a:rPr>
                <a:t>𝐷,𝑤</a:t>
              </a:r>
              <a:r>
                <a:rPr lang="en-AU" sz="1200" b="0" i="0">
                  <a:latin typeface="Cambria Math" panose="02040503050406030204" pitchFamily="18" charset="0"/>
                </a:rPr>
                <a:t>)</a:t>
              </a:r>
              <a:endParaRPr lang="en-AU" sz="1200"/>
            </a:p>
          </xdr:txBody>
        </xdr:sp>
      </mc:Fallback>
    </mc:AlternateContent>
    <xdr:clientData/>
  </xdr:oneCellAnchor>
  <xdr:oneCellAnchor>
    <xdr:from>
      <xdr:col>1</xdr:col>
      <xdr:colOff>231776</xdr:colOff>
      <xdr:row>271</xdr:row>
      <xdr:rowOff>3651</xdr:rowOff>
    </xdr:from>
    <xdr:ext cx="342900" cy="290336"/>
    <mc:AlternateContent xmlns:mc="http://schemas.openxmlformats.org/markup-compatibility/2006" xmlns:a14="http://schemas.microsoft.com/office/drawing/2010/main">
      <mc:Choice Requires="a14">
        <xdr:sp macro="" textlink="">
          <xdr:nvSpPr>
            <xdr:cNvPr id="35" name="TextBox 34">
              <a:extLst>
                <a:ext uri="{FF2B5EF4-FFF2-40B4-BE49-F238E27FC236}">
                  <a16:creationId xmlns:a16="http://schemas.microsoft.com/office/drawing/2014/main" id="{00000000-0008-0000-1000-000023000000}"/>
                </a:ext>
              </a:extLst>
            </xdr:cNvPr>
            <xdr:cNvSpPr txBox="1"/>
          </xdr:nvSpPr>
          <xdr:spPr>
            <a:xfrm>
              <a:off x="561976" y="68463001"/>
              <a:ext cx="342900" cy="2903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200" i="1">
                            <a:latin typeface="Cambria Math" panose="02040503050406030204" pitchFamily="18" charset="0"/>
                          </a:rPr>
                        </m:ctrlPr>
                      </m:sSubPr>
                      <m:e>
                        <m:r>
                          <a:rPr lang="en-AU" sz="1200" b="0" i="1">
                            <a:latin typeface="Cambria Math"/>
                          </a:rPr>
                          <m:t>𝑘</m:t>
                        </m:r>
                      </m:e>
                      <m:sub>
                        <m:r>
                          <a:rPr lang="en-AU" sz="1200" b="0" i="1">
                            <a:latin typeface="Cambria Math"/>
                          </a:rPr>
                          <m:t>𝑄</m:t>
                        </m:r>
                      </m:sub>
                    </m:sSub>
                  </m:oMath>
                </m:oMathPara>
              </a14:m>
              <a:endParaRPr lang="en-AU" sz="1200"/>
            </a:p>
          </xdr:txBody>
        </xdr:sp>
      </mc:Choice>
      <mc:Fallback xmlns="">
        <xdr:sp macro="" textlink="">
          <xdr:nvSpPr>
            <xdr:cNvPr id="35" name="TextBox 34"/>
            <xdr:cNvSpPr txBox="1"/>
          </xdr:nvSpPr>
          <xdr:spPr>
            <a:xfrm xmlns:a="http://schemas.openxmlformats.org/drawingml/2006/main">
              <a:off x="561976" y="68463001"/>
              <a:ext cx="342900" cy="290336"/>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spAutoFit/>
            </a:bodyPr>
            <a:lstStyle xmlns:a="http://schemas.openxmlformats.org/drawingml/2006/main"/>
            <a:p xmlns:a="http://schemas.openxmlformats.org/drawingml/2006/main">
              <a:pPr/>
              <a:r>
                <a:rPr lang="en-AU" sz="1200" b="0" i="0">
                  <a:latin typeface="Cambria Math"/>
                </a:rPr>
                <a:t>𝑘</a:t>
              </a:r>
              <a:r>
                <a:rPr lang="en-AU" sz="1200" b="0" i="0">
                  <a:latin typeface="Cambria Math" panose="02040503050406030204" pitchFamily="18" charset="0"/>
                </a:rPr>
                <a:t>_</a:t>
              </a:r>
              <a:r>
                <a:rPr lang="en-AU" sz="1200" b="0" i="0">
                  <a:latin typeface="Cambria Math"/>
                </a:rPr>
                <a:t>𝑄</a:t>
              </a:r>
              <a:endParaRPr lang="en-AU" sz="1200"/>
            </a:p>
          </xdr:txBody>
        </xdr:sp>
      </mc:Fallback>
    </mc:AlternateContent>
    <xdr:clientData/>
  </xdr:oneCellAnchor>
  <xdr:oneCellAnchor>
    <xdr:from>
      <xdr:col>1</xdr:col>
      <xdr:colOff>152368</xdr:colOff>
      <xdr:row>264</xdr:row>
      <xdr:rowOff>44926</xdr:rowOff>
    </xdr:from>
    <xdr:ext cx="577882" cy="284793"/>
    <mc:AlternateContent xmlns:mc="http://schemas.openxmlformats.org/markup-compatibility/2006" xmlns:a14="http://schemas.microsoft.com/office/drawing/2010/main">
      <mc:Choice Requires="a14">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450818" y="64545051"/>
              <a:ext cx="577882" cy="2786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AU" sz="1100" i="1">
                            <a:latin typeface="Cambria Math" panose="02040503050406030204" pitchFamily="18" charset="0"/>
                          </a:rPr>
                        </m:ctrlPr>
                      </m:sSubPr>
                      <m:e>
                        <m:r>
                          <a:rPr lang="en-AU" sz="1100" b="0" i="1">
                            <a:latin typeface="Cambria Math"/>
                          </a:rPr>
                          <m:t>𝑧</m:t>
                        </m:r>
                      </m:e>
                      <m:sub>
                        <m:r>
                          <a:rPr lang="en-AU" sz="1100" b="0" i="1">
                            <a:latin typeface="Cambria Math"/>
                          </a:rPr>
                          <m:t>𝑟𝑒𝑓</m:t>
                        </m:r>
                      </m:sub>
                    </m:sSub>
                  </m:oMath>
                </m:oMathPara>
              </a14:m>
              <a:endParaRPr lang="en-AU" sz="1100"/>
            </a:p>
          </xdr:txBody>
        </xdr:sp>
      </mc:Choice>
      <mc:Fallback xmlns="">
        <xdr:sp macro="" textlink="">
          <xdr:nvSpPr>
            <xdr:cNvPr id="3" name="TextBox 2"/>
            <xdr:cNvSpPr txBox="1"/>
          </xdr:nvSpPr>
          <xdr:spPr>
            <a:xfrm xmlns:a="http://schemas.openxmlformats.org/drawingml/2006/main">
              <a:off x="450818" y="64545051"/>
              <a:ext cx="577882" cy="278602"/>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spAutoFit/>
            </a:bodyPr>
            <a:lstStyle xmlns:a="http://schemas.openxmlformats.org/drawingml/2006/main"/>
            <a:p xmlns:a="http://schemas.openxmlformats.org/drawingml/2006/main">
              <a:pPr/>
              <a:r>
                <a:rPr lang="en-AU" sz="1100" b="0" i="0">
                  <a:latin typeface="Cambria Math"/>
                </a:rPr>
                <a:t>𝑧</a:t>
              </a:r>
              <a:r>
                <a:rPr lang="en-AU" sz="1100" b="0" i="0">
                  <a:latin typeface="Cambria Math" panose="02040503050406030204" pitchFamily="18" charset="0"/>
                </a:rPr>
                <a:t>_</a:t>
              </a:r>
              <a:r>
                <a:rPr lang="en-AU" sz="1100" b="0" i="0">
                  <a:latin typeface="Cambria Math"/>
                </a:rPr>
                <a:t>𝑟𝑒𝑓</a:t>
              </a:r>
              <a:endParaRPr lang="en-AU" sz="1100"/>
            </a:p>
          </xdr:txBody>
        </xdr:sp>
      </mc:Fallback>
    </mc:AlternateContent>
    <xdr:clientData/>
  </xdr:oneCellAnchor>
  <xdr:twoCellAnchor>
    <xdr:from>
      <xdr:col>3</xdr:col>
      <xdr:colOff>104775</xdr:colOff>
      <xdr:row>41</xdr:row>
      <xdr:rowOff>47625</xdr:rowOff>
    </xdr:from>
    <xdr:to>
      <xdr:col>5</xdr:col>
      <xdr:colOff>161925</xdr:colOff>
      <xdr:row>47</xdr:row>
      <xdr:rowOff>47625</xdr:rowOff>
    </xdr:to>
    <xdr:pic>
      <xdr:nvPicPr>
        <xdr:cNvPr id="15432427" name="Picture 4" descr="725038">
          <a:extLst>
            <a:ext uri="{FF2B5EF4-FFF2-40B4-BE49-F238E27FC236}">
              <a16:creationId xmlns:a16="http://schemas.microsoft.com/office/drawing/2014/main" id="{00000000-0008-0000-1000-0000EB7AEB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90600" y="8239125"/>
          <a:ext cx="647700"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152400</xdr:colOff>
          <xdr:row>6</xdr:row>
          <xdr:rowOff>76200</xdr:rowOff>
        </xdr:from>
        <xdr:to>
          <xdr:col>4</xdr:col>
          <xdr:colOff>561975</xdr:colOff>
          <xdr:row>8</xdr:row>
          <xdr:rowOff>95250</xdr:rowOff>
        </xdr:to>
        <xdr:sp macro="" textlink="">
          <xdr:nvSpPr>
            <xdr:cNvPr id="13435905" name="Button 1" hidden="1">
              <a:extLst>
                <a:ext uri="{63B3BB69-23CF-44E3-9099-C40C66FF867C}">
                  <a14:compatExt spid="_x0000_s13435905"/>
                </a:ext>
                <a:ext uri="{FF2B5EF4-FFF2-40B4-BE49-F238E27FC236}">
                  <a16:creationId xmlns:a16="http://schemas.microsoft.com/office/drawing/2014/main" id="{00000000-0008-0000-1100-0000010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Sign MVE report at Tester</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123825</xdr:colOff>
      <xdr:row>0</xdr:row>
      <xdr:rowOff>66675</xdr:rowOff>
    </xdr:from>
    <xdr:to>
      <xdr:col>19</xdr:col>
      <xdr:colOff>57150</xdr:colOff>
      <xdr:row>4</xdr:row>
      <xdr:rowOff>161925</xdr:rowOff>
    </xdr:to>
    <xdr:pic>
      <xdr:nvPicPr>
        <xdr:cNvPr id="15935803" name="Picture 6" descr="ARPNSA_strip_blue_16cm">
          <a:extLst>
            <a:ext uri="{FF2B5EF4-FFF2-40B4-BE49-F238E27FC236}">
              <a16:creationId xmlns:a16="http://schemas.microsoft.com/office/drawing/2014/main" id="{00000000-0008-0000-1200-00003B29F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3825" y="66675"/>
          <a:ext cx="5629275" cy="7334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143953</xdr:colOff>
      <xdr:row>165</xdr:row>
      <xdr:rowOff>109987</xdr:rowOff>
    </xdr:from>
    <xdr:to>
      <xdr:col>19</xdr:col>
      <xdr:colOff>77278</xdr:colOff>
      <xdr:row>170</xdr:row>
      <xdr:rowOff>33966</xdr:rowOff>
    </xdr:to>
    <xdr:pic>
      <xdr:nvPicPr>
        <xdr:cNvPr id="15935804" name="Picture 7" descr="ARPNSA_strip_blue_16cm">
          <a:extLst>
            <a:ext uri="{FF2B5EF4-FFF2-40B4-BE49-F238E27FC236}">
              <a16:creationId xmlns:a16="http://schemas.microsoft.com/office/drawing/2014/main" id="{00000000-0008-0000-1200-00003C29F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3953" y="39620765"/>
          <a:ext cx="5648325" cy="73270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5</xdr:col>
          <xdr:colOff>266700</xdr:colOff>
          <xdr:row>99</xdr:row>
          <xdr:rowOff>19050</xdr:rowOff>
        </xdr:from>
        <xdr:to>
          <xdr:col>12</xdr:col>
          <xdr:colOff>19050</xdr:colOff>
          <xdr:row>101</xdr:row>
          <xdr:rowOff>152400</xdr:rowOff>
        </xdr:to>
        <xdr:sp macro="" textlink="">
          <xdr:nvSpPr>
            <xdr:cNvPr id="7282133" name="Object 1493" hidden="1">
              <a:extLst>
                <a:ext uri="{63B3BB69-23CF-44E3-9099-C40C66FF867C}">
                  <a14:compatExt spid="_x0000_s7282133"/>
                </a:ext>
                <a:ext uri="{FF2B5EF4-FFF2-40B4-BE49-F238E27FC236}">
                  <a16:creationId xmlns:a16="http://schemas.microsoft.com/office/drawing/2014/main" id="{00000000-0008-0000-1200-0000D51D6F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oneCellAnchor>
    <xdr:from>
      <xdr:col>2</xdr:col>
      <xdr:colOff>238093</xdr:colOff>
      <xdr:row>79</xdr:row>
      <xdr:rowOff>36194</xdr:rowOff>
    </xdr:from>
    <xdr:ext cx="4362941" cy="528927"/>
    <mc:AlternateContent xmlns:mc="http://schemas.openxmlformats.org/markup-compatibility/2006" xmlns:a14="http://schemas.microsoft.com/office/drawing/2010/main">
      <mc:Choice Requires="a14">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879443" y="15949294"/>
              <a:ext cx="4352888" cy="5289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Sup>
                      <m:sSubSupPr>
                        <m:ctrlPr>
                          <a:rPr lang="en-AU" sz="1100" i="1" u="none">
                            <a:latin typeface="Cambria Math" panose="02040503050406030204" pitchFamily="18" charset="0"/>
                          </a:rPr>
                        </m:ctrlPr>
                      </m:sSubSupPr>
                      <m:e>
                        <m:r>
                          <a:rPr lang="en-AU" sz="1100" b="0" i="1" u="none">
                            <a:latin typeface="Cambria Math"/>
                          </a:rPr>
                          <m:t>𝑁</m:t>
                        </m:r>
                      </m:e>
                      <m:sub>
                        <m:r>
                          <a:rPr lang="en-AU" sz="1100" b="0" i="1" u="none">
                            <a:latin typeface="Cambria Math"/>
                          </a:rPr>
                          <m:t>𝐷</m:t>
                        </m:r>
                        <m:r>
                          <a:rPr lang="en-AU" sz="1100" b="0" i="1" u="none">
                            <a:latin typeface="Cambria Math"/>
                          </a:rPr>
                          <m:t>,</m:t>
                        </m:r>
                        <m:r>
                          <a:rPr lang="en-AU" sz="1100" b="0" i="1" u="none">
                            <a:latin typeface="Cambria Math"/>
                          </a:rPr>
                          <m:t>𝑤</m:t>
                        </m:r>
                        <m:r>
                          <a:rPr lang="en-AU" sz="1100" b="0" i="1" u="none">
                            <a:latin typeface="Cambria Math"/>
                          </a:rPr>
                          <m:t>,</m:t>
                        </m:r>
                        <m:r>
                          <a:rPr lang="en-AU" sz="1100" b="0" i="1" u="none">
                            <a:latin typeface="Cambria Math"/>
                          </a:rPr>
                          <m:t>𝑄</m:t>
                        </m:r>
                        <m:r>
                          <m:rPr>
                            <m:sty m:val="p"/>
                          </m:rPr>
                          <a:rPr lang="en-AU" sz="1100" b="0" i="0" u="none" baseline="-25000">
                            <a:latin typeface="Cambria Math"/>
                          </a:rPr>
                          <m:t>cross</m:t>
                        </m:r>
                      </m:sub>
                      <m:sup>
                        <m:r>
                          <a:rPr lang="en-AU" sz="1100" b="0" i="1" u="none">
                            <a:latin typeface="Cambria Math"/>
                          </a:rPr>
                          <m:t>𝑥</m:t>
                        </m:r>
                      </m:sup>
                    </m:sSubSup>
                    <m:r>
                      <a:rPr lang="en-AU" sz="1100" b="0" i="1" u="none">
                        <a:latin typeface="Cambria Math"/>
                      </a:rPr>
                      <m:t>=</m:t>
                    </m:r>
                    <m:f>
                      <m:fPr>
                        <m:ctrlPr>
                          <a:rPr lang="en-AU" sz="1100" b="0" i="1" u="none">
                            <a:latin typeface="Cambria Math" panose="02040503050406030204" pitchFamily="18" charset="0"/>
                          </a:rPr>
                        </m:ctrlPr>
                      </m:fPr>
                      <m:num>
                        <m:sSubSup>
                          <m:sSubSupPr>
                            <m:ctrlPr>
                              <a:rPr lang="en-AU" sz="1100" i="1" u="none">
                                <a:solidFill>
                                  <a:schemeClr val="tx1"/>
                                </a:solidFill>
                                <a:effectLst/>
                                <a:latin typeface="Cambria Math" panose="02040503050406030204" pitchFamily="18" charset="0"/>
                                <a:ea typeface="+mn-ea"/>
                                <a:cs typeface="+mn-cs"/>
                              </a:rPr>
                            </m:ctrlPr>
                          </m:sSubSupPr>
                          <m:e>
                            <m:r>
                              <a:rPr lang="en-AU" sz="1100" b="0" i="1" u="none">
                                <a:solidFill>
                                  <a:schemeClr val="tx1"/>
                                </a:solidFill>
                                <a:effectLst/>
                                <a:latin typeface="Cambria Math"/>
                                <a:ea typeface="+mn-ea"/>
                                <a:cs typeface="+mn-cs"/>
                              </a:rPr>
                              <m:t>𝑀</m:t>
                            </m:r>
                          </m:e>
                          <m:sub>
                            <m:r>
                              <a:rPr lang="en-AU" sz="1100" b="0" i="1" u="none">
                                <a:solidFill>
                                  <a:schemeClr val="tx1"/>
                                </a:solidFill>
                                <a:effectLst/>
                                <a:latin typeface="Cambria Math"/>
                                <a:ea typeface="+mn-ea"/>
                                <a:cs typeface="+mn-cs"/>
                              </a:rPr>
                              <m:t>𝑄</m:t>
                            </m:r>
                            <m:r>
                              <m:rPr>
                                <m:sty m:val="p"/>
                              </m:rPr>
                              <a:rPr lang="en-AU" sz="1100" b="0" i="0" u="none" baseline="-25000">
                                <a:solidFill>
                                  <a:schemeClr val="tx1"/>
                                </a:solidFill>
                                <a:effectLst/>
                                <a:latin typeface="Cambria Math"/>
                                <a:ea typeface="+mn-ea"/>
                                <a:cs typeface="+mn-cs"/>
                              </a:rPr>
                              <m:t>cross</m:t>
                            </m:r>
                          </m:sub>
                          <m:sup>
                            <m:r>
                              <a:rPr lang="en-AU" sz="1100" b="0" i="1" u="none">
                                <a:solidFill>
                                  <a:schemeClr val="tx1"/>
                                </a:solidFill>
                                <a:effectLst/>
                                <a:latin typeface="Cambria Math"/>
                                <a:ea typeface="+mn-ea"/>
                                <a:cs typeface="+mn-cs"/>
                              </a:rPr>
                              <m:t>𝑟𝑒𝑓</m:t>
                            </m:r>
                          </m:sup>
                        </m:sSubSup>
                      </m:num>
                      <m:den>
                        <m:sSubSup>
                          <m:sSubSupPr>
                            <m:ctrlPr>
                              <a:rPr lang="en-AU" sz="1100" i="1">
                                <a:solidFill>
                                  <a:schemeClr val="tx1"/>
                                </a:solidFill>
                                <a:effectLst/>
                                <a:latin typeface="Cambria Math" panose="02040503050406030204" pitchFamily="18" charset="0"/>
                                <a:ea typeface="+mn-ea"/>
                                <a:cs typeface="+mn-cs"/>
                              </a:rPr>
                            </m:ctrlPr>
                          </m:sSubSupPr>
                          <m:e>
                            <m:r>
                              <a:rPr lang="en-AU" sz="1100" b="0" i="1">
                                <a:solidFill>
                                  <a:schemeClr val="tx1"/>
                                </a:solidFill>
                                <a:effectLst/>
                                <a:latin typeface="Cambria Math"/>
                                <a:ea typeface="+mn-ea"/>
                                <a:cs typeface="+mn-cs"/>
                              </a:rPr>
                              <m:t>𝑀</m:t>
                            </m:r>
                          </m:e>
                          <m:sub>
                            <m:r>
                              <a:rPr lang="en-AU" sz="1100" b="0" i="1">
                                <a:solidFill>
                                  <a:schemeClr val="tx1"/>
                                </a:solidFill>
                                <a:effectLst/>
                                <a:latin typeface="Cambria Math"/>
                                <a:ea typeface="+mn-ea"/>
                                <a:cs typeface="+mn-cs"/>
                              </a:rPr>
                              <m:t>𝑄</m:t>
                            </m:r>
                            <m:r>
                              <m:rPr>
                                <m:sty m:val="p"/>
                              </m:rPr>
                              <a:rPr lang="en-AU" sz="1100" b="0" i="0" baseline="-25000">
                                <a:solidFill>
                                  <a:schemeClr val="tx1"/>
                                </a:solidFill>
                                <a:effectLst/>
                                <a:latin typeface="Cambria Math"/>
                                <a:ea typeface="+mn-ea"/>
                                <a:cs typeface="+mn-cs"/>
                              </a:rPr>
                              <m:t>cross</m:t>
                            </m:r>
                          </m:sub>
                          <m:sup>
                            <m:r>
                              <a:rPr lang="en-AU" sz="1100" b="0" i="1">
                                <a:solidFill>
                                  <a:schemeClr val="tx1"/>
                                </a:solidFill>
                                <a:effectLst/>
                                <a:latin typeface="Cambria Math"/>
                                <a:ea typeface="+mn-ea"/>
                                <a:cs typeface="+mn-cs"/>
                              </a:rPr>
                              <m:t>𝑥</m:t>
                            </m:r>
                          </m:sup>
                        </m:sSubSup>
                      </m:den>
                    </m:f>
                    <m:sSubSup>
                      <m:sSubSupPr>
                        <m:ctrlPr>
                          <a:rPr lang="en-AU" sz="1100" i="1">
                            <a:solidFill>
                              <a:schemeClr val="tx1"/>
                            </a:solidFill>
                            <a:effectLst/>
                            <a:latin typeface="Cambria Math" panose="02040503050406030204" pitchFamily="18" charset="0"/>
                            <a:ea typeface="+mn-ea"/>
                            <a:cs typeface="+mn-cs"/>
                          </a:rPr>
                        </m:ctrlPr>
                      </m:sSubSupPr>
                      <m:e>
                        <m:r>
                          <a:rPr lang="en-AU" sz="1100" b="0" i="1">
                            <a:solidFill>
                              <a:schemeClr val="tx1"/>
                            </a:solidFill>
                            <a:effectLst/>
                            <a:latin typeface="Cambria Math"/>
                            <a:ea typeface="+mn-ea"/>
                            <a:cs typeface="+mn-cs"/>
                          </a:rPr>
                          <m:t>𝑁</m:t>
                        </m:r>
                      </m:e>
                      <m:sub>
                        <m:r>
                          <a:rPr lang="en-AU" sz="1100" b="0" i="1">
                            <a:solidFill>
                              <a:schemeClr val="tx1"/>
                            </a:solidFill>
                            <a:effectLst/>
                            <a:latin typeface="Cambria Math"/>
                            <a:ea typeface="+mn-ea"/>
                            <a:cs typeface="+mn-cs"/>
                          </a:rPr>
                          <m:t>𝐷</m:t>
                        </m:r>
                        <m:r>
                          <a:rPr lang="en-AU" sz="1100" b="0" i="1">
                            <a:solidFill>
                              <a:schemeClr val="tx1"/>
                            </a:solidFill>
                            <a:effectLst/>
                            <a:latin typeface="Cambria Math"/>
                            <a:ea typeface="+mn-ea"/>
                            <a:cs typeface="+mn-cs"/>
                          </a:rPr>
                          <m:t>,</m:t>
                        </m:r>
                        <m:r>
                          <a:rPr lang="en-AU" sz="1100" b="0" i="1">
                            <a:solidFill>
                              <a:schemeClr val="tx1"/>
                            </a:solidFill>
                            <a:effectLst/>
                            <a:latin typeface="Cambria Math"/>
                            <a:ea typeface="+mn-ea"/>
                            <a:cs typeface="+mn-cs"/>
                          </a:rPr>
                          <m:t>𝑤</m:t>
                        </m:r>
                        <m:r>
                          <a:rPr lang="en-AU" sz="1100" b="0" i="0">
                            <a:solidFill>
                              <a:schemeClr val="tx1"/>
                            </a:solidFill>
                            <a:effectLst/>
                            <a:latin typeface="Cambria Math"/>
                            <a:ea typeface="+mn-ea"/>
                            <a:cs typeface="+mn-cs"/>
                          </a:rPr>
                          <m:t>,</m:t>
                        </m:r>
                        <m:r>
                          <a:rPr lang="en-AU" sz="1100" b="0" i="1">
                            <a:solidFill>
                              <a:schemeClr val="tx1"/>
                            </a:solidFill>
                            <a:effectLst/>
                            <a:latin typeface="Cambria Math"/>
                            <a:ea typeface="+mn-ea"/>
                            <a:cs typeface="+mn-cs"/>
                          </a:rPr>
                          <m:t>𝑄</m:t>
                        </m:r>
                        <m:r>
                          <a:rPr lang="en-AU" sz="1100" b="0" i="1" baseline="-25000">
                            <a:solidFill>
                              <a:schemeClr val="tx1"/>
                            </a:solidFill>
                            <a:effectLst/>
                            <a:latin typeface="Cambria Math"/>
                            <a:ea typeface="+mn-ea"/>
                            <a:cs typeface="+mn-cs"/>
                          </a:rPr>
                          <m:t>0</m:t>
                        </m:r>
                      </m:sub>
                      <m:sup>
                        <m:r>
                          <a:rPr lang="en-AU" sz="1100" b="0" i="1">
                            <a:solidFill>
                              <a:schemeClr val="tx1"/>
                            </a:solidFill>
                            <a:effectLst/>
                            <a:latin typeface="Cambria Math"/>
                            <a:ea typeface="+mn-ea"/>
                            <a:cs typeface="+mn-cs"/>
                          </a:rPr>
                          <m:t>𝑟𝑒𝑓</m:t>
                        </m:r>
                      </m:sup>
                    </m:sSubSup>
                    <m:sSubSup>
                      <m:sSubSupPr>
                        <m:ctrlPr>
                          <a:rPr lang="en-AU" sz="1100" i="1">
                            <a:solidFill>
                              <a:schemeClr val="tx1"/>
                            </a:solidFill>
                            <a:effectLst/>
                            <a:latin typeface="Cambria Math" panose="02040503050406030204" pitchFamily="18" charset="0"/>
                            <a:ea typeface="+mn-ea"/>
                            <a:cs typeface="+mn-cs"/>
                          </a:rPr>
                        </m:ctrlPr>
                      </m:sSubSupPr>
                      <m:e>
                        <m:r>
                          <a:rPr lang="en-AU" sz="1100" b="0" i="1">
                            <a:solidFill>
                              <a:schemeClr val="tx1"/>
                            </a:solidFill>
                            <a:effectLst/>
                            <a:latin typeface="Cambria Math"/>
                            <a:ea typeface="+mn-ea"/>
                            <a:cs typeface="+mn-cs"/>
                          </a:rPr>
                          <m:t>𝑘</m:t>
                        </m:r>
                      </m:e>
                      <m:sub>
                        <m:r>
                          <a:rPr lang="en-AU" sz="1100" b="0" i="1">
                            <a:solidFill>
                              <a:schemeClr val="tx1"/>
                            </a:solidFill>
                            <a:effectLst/>
                            <a:latin typeface="Cambria Math"/>
                            <a:ea typeface="+mn-ea"/>
                            <a:cs typeface="+mn-cs"/>
                          </a:rPr>
                          <m:t>𝑄</m:t>
                        </m:r>
                        <m:r>
                          <m:rPr>
                            <m:sty m:val="p"/>
                          </m:rPr>
                          <a:rPr lang="en-AU" sz="1100" b="0" i="0" baseline="-25000">
                            <a:solidFill>
                              <a:schemeClr val="tx1"/>
                            </a:solidFill>
                            <a:effectLst/>
                            <a:latin typeface="Cambria Math"/>
                            <a:ea typeface="+mn-ea"/>
                            <a:cs typeface="+mn-cs"/>
                          </a:rPr>
                          <m:t>cross</m:t>
                        </m:r>
                        <m:r>
                          <a:rPr lang="en-AU" sz="1100" b="0" i="1" baseline="0">
                            <a:solidFill>
                              <a:schemeClr val="tx1"/>
                            </a:solidFill>
                            <a:effectLst/>
                            <a:latin typeface="Cambria Math"/>
                            <a:ea typeface="+mn-ea"/>
                            <a:cs typeface="+mn-cs"/>
                          </a:rPr>
                          <m:t>,</m:t>
                        </m:r>
                        <m:r>
                          <a:rPr lang="en-AU" sz="1100" b="0" i="1">
                            <a:solidFill>
                              <a:schemeClr val="tx1"/>
                            </a:solidFill>
                            <a:effectLst/>
                            <a:latin typeface="Cambria Math"/>
                            <a:ea typeface="+mn-ea"/>
                            <a:cs typeface="+mn-cs"/>
                          </a:rPr>
                          <m:t>𝑄</m:t>
                        </m:r>
                        <m:r>
                          <a:rPr lang="en-AU" sz="1100" b="0" i="0" baseline="-25000">
                            <a:solidFill>
                              <a:schemeClr val="tx1"/>
                            </a:solidFill>
                            <a:effectLst/>
                            <a:latin typeface="Cambria Math"/>
                            <a:ea typeface="+mn-ea"/>
                            <a:cs typeface="+mn-cs"/>
                          </a:rPr>
                          <m:t>0</m:t>
                        </m:r>
                      </m:sub>
                      <m:sup>
                        <m:r>
                          <a:rPr lang="en-AU" sz="1100" b="0" i="1">
                            <a:solidFill>
                              <a:schemeClr val="tx1"/>
                            </a:solidFill>
                            <a:effectLst/>
                            <a:latin typeface="Cambria Math"/>
                            <a:ea typeface="+mn-ea"/>
                            <a:cs typeface="+mn-cs"/>
                          </a:rPr>
                          <m:t>𝑟𝑒𝑓</m:t>
                        </m:r>
                      </m:sup>
                    </m:sSubSup>
                  </m:oMath>
                </m:oMathPara>
              </a14:m>
              <a:endParaRPr lang="en-AU" sz="1100" u="none"/>
            </a:p>
          </xdr:txBody>
        </xdr:sp>
      </mc:Choice>
      <mc:Fallback xmlns="">
        <xdr:sp macro="" textlink="">
          <xdr:nvSpPr>
            <xdr:cNvPr id="4" name="TextBox 3"/>
            <xdr:cNvSpPr txBox="1"/>
          </xdr:nvSpPr>
          <xdr:spPr>
            <a:xfrm>
              <a:off x="879443" y="15949294"/>
              <a:ext cx="4352888" cy="5289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AU" sz="1100" b="0" i="0" u="none">
                  <a:latin typeface="Cambria Math"/>
                </a:rPr>
                <a:t>𝑁</a:t>
              </a:r>
              <a:r>
                <a:rPr lang="en-AU" sz="1100" b="0" i="0" u="none">
                  <a:latin typeface="Cambria Math" panose="02040503050406030204" pitchFamily="18" charset="0"/>
                </a:rPr>
                <a:t>_(</a:t>
              </a:r>
              <a:r>
                <a:rPr lang="en-AU" sz="1100" b="0" i="0" u="none">
                  <a:latin typeface="Cambria Math"/>
                </a:rPr>
                <a:t>𝐷,𝑤,𝑄</a:t>
              </a:r>
              <a:r>
                <a:rPr lang="en-AU" sz="1100" b="0" i="0" u="none" baseline="-25000">
                  <a:latin typeface="Cambria Math"/>
                </a:rPr>
                <a:t>cross</a:t>
              </a:r>
              <a:r>
                <a:rPr lang="en-AU" sz="1100" b="0" i="0" u="none" baseline="-25000">
                  <a:latin typeface="Cambria Math" panose="02040503050406030204" pitchFamily="18" charset="0"/>
                </a:rPr>
                <a:t>)^</a:t>
              </a:r>
              <a:r>
                <a:rPr lang="en-AU" sz="1100" b="0" i="0" u="none">
                  <a:latin typeface="Cambria Math"/>
                </a:rPr>
                <a:t>𝑥=</a:t>
              </a:r>
              <a:r>
                <a:rPr lang="en-AU" sz="1100" b="0" i="0" u="none">
                  <a:latin typeface="Cambria Math" panose="02040503050406030204" pitchFamily="18" charset="0"/>
                </a:rPr>
                <a:t>(</a:t>
              </a:r>
              <a:r>
                <a:rPr lang="en-AU" sz="1100" b="0" i="0" u="none">
                  <a:solidFill>
                    <a:schemeClr val="tx1"/>
                  </a:solidFill>
                  <a:effectLst/>
                  <a:latin typeface="Cambria Math"/>
                  <a:ea typeface="+mn-ea"/>
                  <a:cs typeface="+mn-cs"/>
                </a:rPr>
                <a:t>𝑀</a:t>
              </a:r>
              <a:r>
                <a:rPr lang="en-AU" sz="1100" b="0" i="0" u="none">
                  <a:solidFill>
                    <a:schemeClr val="tx1"/>
                  </a:solidFill>
                  <a:effectLst/>
                  <a:latin typeface="Cambria Math" panose="02040503050406030204" pitchFamily="18" charset="0"/>
                  <a:ea typeface="+mn-ea"/>
                  <a:cs typeface="+mn-cs"/>
                </a:rPr>
                <a:t>_</a:t>
              </a:r>
              <a:r>
                <a:rPr lang="en-AU" sz="1100" b="0" i="0" u="none">
                  <a:solidFill>
                    <a:schemeClr val="tx1"/>
                  </a:solidFill>
                  <a:effectLst/>
                  <a:latin typeface="Cambria Math"/>
                  <a:ea typeface="+mn-ea"/>
                  <a:cs typeface="+mn-cs"/>
                </a:rPr>
                <a:t>𝑄</a:t>
              </a:r>
              <a:r>
                <a:rPr lang="en-AU" sz="1100" b="0" i="0" u="none" baseline="-25000">
                  <a:solidFill>
                    <a:schemeClr val="tx1"/>
                  </a:solidFill>
                  <a:effectLst/>
                  <a:latin typeface="Cambria Math"/>
                  <a:ea typeface="+mn-ea"/>
                  <a:cs typeface="+mn-cs"/>
                </a:rPr>
                <a:t>cross</a:t>
              </a:r>
              <a:r>
                <a:rPr lang="en-AU" sz="1100" b="0" i="0" u="none" baseline="-25000">
                  <a:solidFill>
                    <a:schemeClr val="tx1"/>
                  </a:solidFill>
                  <a:effectLst/>
                  <a:latin typeface="Cambria Math" panose="02040503050406030204" pitchFamily="18" charset="0"/>
                  <a:ea typeface="+mn-ea"/>
                  <a:cs typeface="+mn-cs"/>
                </a:rPr>
                <a:t>^</a:t>
              </a:r>
              <a:r>
                <a:rPr lang="en-AU" sz="1100" b="0" i="0" u="none">
                  <a:solidFill>
                    <a:schemeClr val="tx1"/>
                  </a:solidFill>
                  <a:effectLst/>
                  <a:latin typeface="Cambria Math"/>
                  <a:ea typeface="+mn-ea"/>
                  <a:cs typeface="+mn-cs"/>
                </a:rPr>
                <a:t>𝑟𝑒𝑓</a:t>
              </a:r>
              <a:r>
                <a:rPr lang="en-AU" sz="1100" b="0" i="0" u="none">
                  <a:solidFill>
                    <a:schemeClr val="tx1"/>
                  </a:solidFill>
                  <a:effectLst/>
                  <a:latin typeface="Cambria Math" panose="02040503050406030204" pitchFamily="18" charset="0"/>
                  <a:ea typeface="+mn-ea"/>
                  <a:cs typeface="+mn-cs"/>
                </a:rPr>
                <a:t>)/(</a:t>
              </a:r>
              <a:r>
                <a:rPr lang="en-AU" sz="1100" b="0" i="0">
                  <a:solidFill>
                    <a:schemeClr val="tx1"/>
                  </a:solidFill>
                  <a:effectLst/>
                  <a:latin typeface="Cambria Math"/>
                  <a:ea typeface="+mn-ea"/>
                  <a:cs typeface="+mn-cs"/>
                </a:rPr>
                <a:t>𝑀</a:t>
              </a:r>
              <a:r>
                <a:rPr lang="en-AU" sz="1100" b="0" i="0">
                  <a:solidFill>
                    <a:schemeClr val="tx1"/>
                  </a:solidFill>
                  <a:effectLst/>
                  <a:latin typeface="Cambria Math" panose="02040503050406030204" pitchFamily="18" charset="0"/>
                  <a:ea typeface="+mn-ea"/>
                  <a:cs typeface="+mn-cs"/>
                </a:rPr>
                <a:t>_</a:t>
              </a:r>
              <a:r>
                <a:rPr lang="en-AU" sz="1100" b="0" i="0">
                  <a:solidFill>
                    <a:schemeClr val="tx1"/>
                  </a:solidFill>
                  <a:effectLst/>
                  <a:latin typeface="Cambria Math"/>
                  <a:ea typeface="+mn-ea"/>
                  <a:cs typeface="+mn-cs"/>
                </a:rPr>
                <a:t>𝑄</a:t>
              </a:r>
              <a:r>
                <a:rPr lang="en-AU" sz="1100" b="0" i="0" baseline="-25000">
                  <a:solidFill>
                    <a:schemeClr val="tx1"/>
                  </a:solidFill>
                  <a:effectLst/>
                  <a:latin typeface="Cambria Math"/>
                  <a:ea typeface="+mn-ea"/>
                  <a:cs typeface="+mn-cs"/>
                </a:rPr>
                <a:t>cross</a:t>
              </a:r>
              <a:r>
                <a:rPr lang="en-AU" sz="1100" b="0" i="0" baseline="-25000">
                  <a:solidFill>
                    <a:schemeClr val="tx1"/>
                  </a:solidFill>
                  <a:effectLst/>
                  <a:latin typeface="Cambria Math" panose="02040503050406030204" pitchFamily="18" charset="0"/>
                  <a:ea typeface="+mn-ea"/>
                  <a:cs typeface="+mn-cs"/>
                </a:rPr>
                <a:t>^</a:t>
              </a:r>
              <a:r>
                <a:rPr lang="en-AU" sz="1100" b="0" i="0">
                  <a:solidFill>
                    <a:schemeClr val="tx1"/>
                  </a:solidFill>
                  <a:effectLst/>
                  <a:latin typeface="Cambria Math"/>
                  <a:ea typeface="+mn-ea"/>
                  <a:cs typeface="+mn-cs"/>
                </a:rPr>
                <a:t>𝑥</a:t>
              </a:r>
              <a:r>
                <a:rPr lang="en-AU" sz="1100" b="0" i="0">
                  <a:solidFill>
                    <a:schemeClr val="tx1"/>
                  </a:solidFill>
                  <a:effectLst/>
                  <a:latin typeface="Cambria Math" panose="02040503050406030204" pitchFamily="18" charset="0"/>
                  <a:ea typeface="+mn-ea"/>
                  <a:cs typeface="+mn-cs"/>
                </a:rPr>
                <a:t> </a:t>
              </a:r>
              <a:r>
                <a:rPr lang="en-AU" sz="1100" b="0" i="0" u="none">
                  <a:solidFill>
                    <a:schemeClr val="tx1"/>
                  </a:solidFill>
                  <a:effectLst/>
                  <a:latin typeface="Cambria Math" panose="02040503050406030204" pitchFamily="18" charset="0"/>
                  <a:ea typeface="+mn-ea"/>
                  <a:cs typeface="+mn-cs"/>
                </a:rPr>
                <a:t>) </a:t>
              </a:r>
              <a:r>
                <a:rPr lang="en-AU" sz="1100" b="0" i="0">
                  <a:solidFill>
                    <a:schemeClr val="tx1"/>
                  </a:solidFill>
                  <a:effectLst/>
                  <a:latin typeface="Cambria Math"/>
                  <a:ea typeface="+mn-ea"/>
                  <a:cs typeface="+mn-cs"/>
                </a:rPr>
                <a:t>𝑁</a:t>
              </a:r>
              <a:r>
                <a:rPr lang="en-AU" sz="1100" b="0" i="0">
                  <a:solidFill>
                    <a:schemeClr val="tx1"/>
                  </a:solidFill>
                  <a:effectLst/>
                  <a:latin typeface="Cambria Math" panose="02040503050406030204" pitchFamily="18" charset="0"/>
                  <a:ea typeface="+mn-ea"/>
                  <a:cs typeface="+mn-cs"/>
                </a:rPr>
                <a:t>_(</a:t>
              </a:r>
              <a:r>
                <a:rPr lang="en-AU" sz="1100" b="0" i="0">
                  <a:solidFill>
                    <a:schemeClr val="tx1"/>
                  </a:solidFill>
                  <a:effectLst/>
                  <a:latin typeface="Cambria Math"/>
                  <a:ea typeface="+mn-ea"/>
                  <a:cs typeface="+mn-cs"/>
                </a:rPr>
                <a:t>𝐷,𝑤,𝑄</a:t>
              </a:r>
              <a:r>
                <a:rPr lang="en-AU" sz="1100" b="0" i="0" baseline="-25000">
                  <a:solidFill>
                    <a:schemeClr val="tx1"/>
                  </a:solidFill>
                  <a:effectLst/>
                  <a:latin typeface="Cambria Math"/>
                  <a:ea typeface="+mn-ea"/>
                  <a:cs typeface="+mn-cs"/>
                </a:rPr>
                <a:t>0</a:t>
              </a:r>
              <a:r>
                <a:rPr lang="en-AU" sz="1100" b="0" i="0" baseline="-25000">
                  <a:solidFill>
                    <a:schemeClr val="tx1"/>
                  </a:solidFill>
                  <a:effectLst/>
                  <a:latin typeface="Cambria Math" panose="02040503050406030204" pitchFamily="18" charset="0"/>
                  <a:ea typeface="+mn-ea"/>
                  <a:cs typeface="+mn-cs"/>
                </a:rPr>
                <a:t>)^</a:t>
              </a:r>
              <a:r>
                <a:rPr lang="en-AU" sz="1100" b="0" i="0">
                  <a:solidFill>
                    <a:schemeClr val="tx1"/>
                  </a:solidFill>
                  <a:effectLst/>
                  <a:latin typeface="Cambria Math"/>
                  <a:ea typeface="+mn-ea"/>
                  <a:cs typeface="+mn-cs"/>
                </a:rPr>
                <a:t>𝑟𝑒𝑓</a:t>
              </a:r>
              <a:r>
                <a:rPr lang="en-AU" sz="1100" b="0" i="0">
                  <a:solidFill>
                    <a:schemeClr val="tx1"/>
                  </a:solidFill>
                  <a:effectLst/>
                  <a:latin typeface="Cambria Math" panose="02040503050406030204" pitchFamily="18" charset="0"/>
                  <a:ea typeface="+mn-ea"/>
                  <a:cs typeface="+mn-cs"/>
                </a:rPr>
                <a:t> </a:t>
              </a:r>
              <a:r>
                <a:rPr lang="en-AU" sz="1100" b="0" i="0">
                  <a:solidFill>
                    <a:schemeClr val="tx1"/>
                  </a:solidFill>
                  <a:effectLst/>
                  <a:latin typeface="Cambria Math"/>
                  <a:ea typeface="+mn-ea"/>
                  <a:cs typeface="+mn-cs"/>
                </a:rPr>
                <a:t>𝑘</a:t>
              </a:r>
              <a:r>
                <a:rPr lang="en-AU" sz="1100" b="0" i="0">
                  <a:solidFill>
                    <a:schemeClr val="tx1"/>
                  </a:solidFill>
                  <a:effectLst/>
                  <a:latin typeface="Cambria Math" panose="02040503050406030204" pitchFamily="18" charset="0"/>
                  <a:ea typeface="+mn-ea"/>
                  <a:cs typeface="+mn-cs"/>
                </a:rPr>
                <a:t>_(</a:t>
              </a:r>
              <a:r>
                <a:rPr lang="en-AU" sz="1100" b="0" i="0">
                  <a:solidFill>
                    <a:schemeClr val="tx1"/>
                  </a:solidFill>
                  <a:effectLst/>
                  <a:latin typeface="Cambria Math"/>
                  <a:ea typeface="+mn-ea"/>
                  <a:cs typeface="+mn-cs"/>
                </a:rPr>
                <a:t>𝑄</a:t>
              </a:r>
              <a:r>
                <a:rPr lang="en-AU" sz="1100" b="0" i="0" baseline="-25000">
                  <a:solidFill>
                    <a:schemeClr val="tx1"/>
                  </a:solidFill>
                  <a:effectLst/>
                  <a:latin typeface="Cambria Math"/>
                  <a:ea typeface="+mn-ea"/>
                  <a:cs typeface="+mn-cs"/>
                </a:rPr>
                <a:t>cross</a:t>
              </a:r>
              <a:r>
                <a:rPr lang="en-AU" sz="1100" b="0" i="0" baseline="0">
                  <a:solidFill>
                    <a:schemeClr val="tx1"/>
                  </a:solidFill>
                  <a:effectLst/>
                  <a:latin typeface="Cambria Math"/>
                  <a:ea typeface="+mn-ea"/>
                  <a:cs typeface="+mn-cs"/>
                </a:rPr>
                <a:t>,</a:t>
              </a:r>
              <a:r>
                <a:rPr lang="en-AU" sz="1100" b="0" i="0">
                  <a:solidFill>
                    <a:schemeClr val="tx1"/>
                  </a:solidFill>
                  <a:effectLst/>
                  <a:latin typeface="Cambria Math"/>
                  <a:ea typeface="+mn-ea"/>
                  <a:cs typeface="+mn-cs"/>
                </a:rPr>
                <a:t>𝑄</a:t>
              </a:r>
              <a:r>
                <a:rPr lang="en-AU" sz="1100" b="0" i="0" baseline="-25000">
                  <a:solidFill>
                    <a:schemeClr val="tx1"/>
                  </a:solidFill>
                  <a:effectLst/>
                  <a:latin typeface="Cambria Math"/>
                  <a:ea typeface="+mn-ea"/>
                  <a:cs typeface="+mn-cs"/>
                </a:rPr>
                <a:t>0</a:t>
              </a:r>
              <a:r>
                <a:rPr lang="en-AU" sz="1100" b="0" i="0" baseline="-25000">
                  <a:solidFill>
                    <a:schemeClr val="tx1"/>
                  </a:solidFill>
                  <a:effectLst/>
                  <a:latin typeface="Cambria Math" panose="02040503050406030204" pitchFamily="18" charset="0"/>
                  <a:ea typeface="+mn-ea"/>
                  <a:cs typeface="+mn-cs"/>
                </a:rPr>
                <a:t>)^</a:t>
              </a:r>
              <a:r>
                <a:rPr lang="en-AU" sz="1100" b="0" i="0">
                  <a:solidFill>
                    <a:schemeClr val="tx1"/>
                  </a:solidFill>
                  <a:effectLst/>
                  <a:latin typeface="Cambria Math"/>
                  <a:ea typeface="+mn-ea"/>
                  <a:cs typeface="+mn-cs"/>
                </a:rPr>
                <a:t>𝑟𝑒𝑓</a:t>
              </a:r>
              <a:endParaRPr lang="en-AU" sz="1100" u="none"/>
            </a:p>
          </xdr:txBody>
        </xdr:sp>
      </mc:Fallback>
    </mc:AlternateContent>
    <xdr:clientData/>
  </xdr:oneCellAnchor>
  <xdr:oneCellAnchor>
    <xdr:from>
      <xdr:col>0</xdr:col>
      <xdr:colOff>211138</xdr:colOff>
      <xdr:row>84</xdr:row>
      <xdr:rowOff>39687</xdr:rowOff>
    </xdr:from>
    <xdr:ext cx="611187" cy="322826"/>
    <mc:AlternateContent xmlns:mc="http://schemas.openxmlformats.org/markup-compatibility/2006" xmlns:a14="http://schemas.microsoft.com/office/drawing/2010/main">
      <mc:Choice Requires="a14">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214313" y="17572037"/>
              <a:ext cx="611187" cy="3163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Sup>
                      <m:sSubSupPr>
                        <m:ctrlPr>
                          <a:rPr lang="en-AU" sz="1100" i="1" u="none">
                            <a:latin typeface="Cambria Math" panose="02040503050406030204" pitchFamily="18" charset="0"/>
                          </a:rPr>
                        </m:ctrlPr>
                      </m:sSubSupPr>
                      <m:e>
                        <m:r>
                          <a:rPr lang="en-AU" sz="1100" b="0" i="1" u="none">
                            <a:latin typeface="Cambria Math"/>
                          </a:rPr>
                          <m:t>𝑁</m:t>
                        </m:r>
                      </m:e>
                      <m:sub>
                        <m:r>
                          <a:rPr lang="en-AU" sz="1100" b="0" i="1" u="none">
                            <a:latin typeface="Cambria Math"/>
                          </a:rPr>
                          <m:t>𝐷</m:t>
                        </m:r>
                        <m:r>
                          <a:rPr lang="en-AU" sz="1100" b="0" i="1" u="none">
                            <a:latin typeface="Cambria Math"/>
                          </a:rPr>
                          <m:t>,</m:t>
                        </m:r>
                        <m:r>
                          <a:rPr lang="en-AU" sz="1100" b="0" i="1" u="none">
                            <a:latin typeface="Cambria Math"/>
                          </a:rPr>
                          <m:t>𝑤</m:t>
                        </m:r>
                        <m:r>
                          <a:rPr lang="en-AU" sz="1100" b="0" i="1" u="none">
                            <a:latin typeface="Cambria Math"/>
                          </a:rPr>
                          <m:t>,</m:t>
                        </m:r>
                        <m:r>
                          <a:rPr lang="en-AU" sz="1100" b="0" i="1" u="none">
                            <a:latin typeface="Cambria Math"/>
                          </a:rPr>
                          <m:t>𝑄</m:t>
                        </m:r>
                        <m:r>
                          <a:rPr lang="en-AU" sz="1100" b="0" i="0" u="none" baseline="-25000">
                            <a:latin typeface="Cambria Math"/>
                          </a:rPr>
                          <m:t>0</m:t>
                        </m:r>
                      </m:sub>
                      <m:sup>
                        <m:r>
                          <a:rPr lang="en-AU" sz="1100" b="0" i="1" u="none">
                            <a:latin typeface="Cambria Math"/>
                          </a:rPr>
                          <m:t>𝑟𝑒𝑓</m:t>
                        </m:r>
                      </m:sup>
                    </m:sSubSup>
                  </m:oMath>
                </m:oMathPara>
              </a14:m>
              <a:endParaRPr lang="en-AU" sz="1100" u="none"/>
            </a:p>
          </xdr:txBody>
        </xdr:sp>
      </mc:Choice>
      <mc:Fallback xmlns="">
        <xdr:sp macro="" textlink="">
          <xdr:nvSpPr>
            <xdr:cNvPr id="26" name="TextBox 25"/>
            <xdr:cNvSpPr txBox="1"/>
          </xdr:nvSpPr>
          <xdr:spPr>
            <a:xfrm xmlns:a="http://schemas.openxmlformats.org/drawingml/2006/main">
              <a:off x="214313" y="17572037"/>
              <a:ext cx="611187" cy="316369"/>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spAutoFit/>
            </a:bodyPr>
            <a:lstStyle xmlns:a="http://schemas.openxmlformats.org/drawingml/2006/main"/>
            <a:p xmlns:a="http://schemas.openxmlformats.org/drawingml/2006/main">
              <a:pPr/>
              <a:r>
                <a:rPr lang="en-AU" sz="1100" b="0" i="0" u="none">
                  <a:latin typeface="Cambria Math"/>
                </a:rPr>
                <a:t>𝑁</a:t>
              </a:r>
              <a:r>
                <a:rPr lang="en-AU" sz="1100" b="0" i="0" u="none">
                  <a:latin typeface="Cambria Math" panose="02040503050406030204" pitchFamily="18" charset="0"/>
                </a:rPr>
                <a:t>_(</a:t>
              </a:r>
              <a:r>
                <a:rPr lang="en-AU" sz="1100" b="0" i="0" u="none">
                  <a:latin typeface="Cambria Math"/>
                </a:rPr>
                <a:t>𝐷,𝑤,𝑄</a:t>
              </a:r>
              <a:r>
                <a:rPr lang="en-AU" sz="1100" b="0" i="0" u="none" baseline="-25000">
                  <a:latin typeface="Cambria Math"/>
                </a:rPr>
                <a:t>0</a:t>
              </a:r>
              <a:r>
                <a:rPr lang="en-AU" sz="1100" b="0" i="0" u="none" baseline="-25000">
                  <a:latin typeface="Cambria Math" panose="02040503050406030204" pitchFamily="18" charset="0"/>
                </a:rPr>
                <a:t>)^</a:t>
              </a:r>
              <a:r>
                <a:rPr lang="en-AU" sz="1100" b="0" i="0" u="none">
                  <a:latin typeface="Cambria Math"/>
                </a:rPr>
                <a:t>𝑟𝑒𝑓</a:t>
              </a:r>
              <a:endParaRPr lang="en-AU" sz="1100" u="none"/>
            </a:p>
          </xdr:txBody>
        </xdr:sp>
      </mc:Fallback>
    </mc:AlternateContent>
    <xdr:clientData/>
  </xdr:oneCellAnchor>
  <xdr:oneCellAnchor>
    <xdr:from>
      <xdr:col>0</xdr:col>
      <xdr:colOff>231775</xdr:colOff>
      <xdr:row>83</xdr:row>
      <xdr:rowOff>15875</xdr:rowOff>
    </xdr:from>
    <xdr:ext cx="645079" cy="528927"/>
    <mc:AlternateContent xmlns:mc="http://schemas.openxmlformats.org/markup-compatibility/2006" xmlns:a14="http://schemas.microsoft.com/office/drawing/2010/main">
      <mc:Choice Requires="a14">
        <xdr:sp macro="" textlink="">
          <xdr:nvSpPr>
            <xdr:cNvPr id="27" name="TextBox 26">
              <a:extLst>
                <a:ext uri="{FF2B5EF4-FFF2-40B4-BE49-F238E27FC236}">
                  <a16:creationId xmlns:a16="http://schemas.microsoft.com/office/drawing/2014/main" id="{00000000-0008-0000-1200-00001B000000}"/>
                </a:ext>
              </a:extLst>
            </xdr:cNvPr>
            <xdr:cNvSpPr txBox="1"/>
          </xdr:nvSpPr>
          <xdr:spPr>
            <a:xfrm>
              <a:off x="250825" y="16690975"/>
              <a:ext cx="635000" cy="5289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f>
                      <m:fPr>
                        <m:ctrlPr>
                          <a:rPr lang="en-AU" sz="1100" b="0" i="1" u="none">
                            <a:latin typeface="Cambria Math" panose="02040503050406030204" pitchFamily="18" charset="0"/>
                          </a:rPr>
                        </m:ctrlPr>
                      </m:fPr>
                      <m:num>
                        <m:sSubSup>
                          <m:sSubSupPr>
                            <m:ctrlPr>
                              <a:rPr lang="en-AU" sz="1100" i="1" u="none">
                                <a:solidFill>
                                  <a:schemeClr val="tx1"/>
                                </a:solidFill>
                                <a:effectLst/>
                                <a:latin typeface="Cambria Math" panose="02040503050406030204" pitchFamily="18" charset="0"/>
                                <a:ea typeface="+mn-ea"/>
                                <a:cs typeface="+mn-cs"/>
                              </a:rPr>
                            </m:ctrlPr>
                          </m:sSubSupPr>
                          <m:e>
                            <m:r>
                              <a:rPr lang="en-AU" sz="1100" b="0" i="1" u="none">
                                <a:solidFill>
                                  <a:schemeClr val="tx1"/>
                                </a:solidFill>
                                <a:effectLst/>
                                <a:latin typeface="Cambria Math"/>
                                <a:ea typeface="+mn-ea"/>
                                <a:cs typeface="+mn-cs"/>
                              </a:rPr>
                              <m:t>𝑀</m:t>
                            </m:r>
                          </m:e>
                          <m:sub>
                            <m:r>
                              <a:rPr lang="en-AU" sz="1100" b="0" i="1" u="none">
                                <a:solidFill>
                                  <a:schemeClr val="tx1"/>
                                </a:solidFill>
                                <a:effectLst/>
                                <a:latin typeface="Cambria Math"/>
                                <a:ea typeface="+mn-ea"/>
                                <a:cs typeface="+mn-cs"/>
                              </a:rPr>
                              <m:t>𝑄</m:t>
                            </m:r>
                            <m:r>
                              <m:rPr>
                                <m:sty m:val="p"/>
                              </m:rPr>
                              <a:rPr lang="en-AU" sz="1100" b="0" i="0" u="none" baseline="-25000">
                                <a:solidFill>
                                  <a:schemeClr val="tx1"/>
                                </a:solidFill>
                                <a:effectLst/>
                                <a:latin typeface="Cambria Math"/>
                                <a:ea typeface="+mn-ea"/>
                                <a:cs typeface="+mn-cs"/>
                              </a:rPr>
                              <m:t>cross</m:t>
                            </m:r>
                          </m:sub>
                          <m:sup>
                            <m:r>
                              <a:rPr lang="en-AU" sz="1100" b="0" i="1" u="none">
                                <a:solidFill>
                                  <a:schemeClr val="tx1"/>
                                </a:solidFill>
                                <a:effectLst/>
                                <a:latin typeface="Cambria Math"/>
                                <a:ea typeface="+mn-ea"/>
                                <a:cs typeface="+mn-cs"/>
                              </a:rPr>
                              <m:t>𝑟𝑒𝑓</m:t>
                            </m:r>
                          </m:sup>
                        </m:sSubSup>
                      </m:num>
                      <m:den>
                        <m:sSubSup>
                          <m:sSubSupPr>
                            <m:ctrlPr>
                              <a:rPr lang="en-AU" sz="1100" i="1">
                                <a:solidFill>
                                  <a:schemeClr val="tx1"/>
                                </a:solidFill>
                                <a:effectLst/>
                                <a:latin typeface="Cambria Math" panose="02040503050406030204" pitchFamily="18" charset="0"/>
                                <a:ea typeface="+mn-ea"/>
                                <a:cs typeface="+mn-cs"/>
                              </a:rPr>
                            </m:ctrlPr>
                          </m:sSubSupPr>
                          <m:e>
                            <m:r>
                              <a:rPr lang="en-AU" sz="1100" b="0" i="1">
                                <a:solidFill>
                                  <a:schemeClr val="tx1"/>
                                </a:solidFill>
                                <a:effectLst/>
                                <a:latin typeface="Cambria Math"/>
                                <a:ea typeface="+mn-ea"/>
                                <a:cs typeface="+mn-cs"/>
                              </a:rPr>
                              <m:t>𝑀</m:t>
                            </m:r>
                          </m:e>
                          <m:sub>
                            <m:r>
                              <a:rPr lang="en-AU" sz="1100" b="0" i="1">
                                <a:solidFill>
                                  <a:schemeClr val="tx1"/>
                                </a:solidFill>
                                <a:effectLst/>
                                <a:latin typeface="Cambria Math"/>
                                <a:ea typeface="+mn-ea"/>
                                <a:cs typeface="+mn-cs"/>
                              </a:rPr>
                              <m:t>𝑄</m:t>
                            </m:r>
                            <m:r>
                              <m:rPr>
                                <m:sty m:val="p"/>
                              </m:rPr>
                              <a:rPr lang="en-AU" sz="1100" b="0" i="0" baseline="-25000">
                                <a:solidFill>
                                  <a:schemeClr val="tx1"/>
                                </a:solidFill>
                                <a:effectLst/>
                                <a:latin typeface="Cambria Math"/>
                                <a:ea typeface="+mn-ea"/>
                                <a:cs typeface="+mn-cs"/>
                              </a:rPr>
                              <m:t>cross</m:t>
                            </m:r>
                          </m:sub>
                          <m:sup>
                            <m:r>
                              <a:rPr lang="en-AU" sz="1100" b="0" i="1">
                                <a:solidFill>
                                  <a:schemeClr val="tx1"/>
                                </a:solidFill>
                                <a:effectLst/>
                                <a:latin typeface="Cambria Math"/>
                                <a:ea typeface="+mn-ea"/>
                                <a:cs typeface="+mn-cs"/>
                              </a:rPr>
                              <m:t>𝑥</m:t>
                            </m:r>
                          </m:sup>
                        </m:sSubSup>
                      </m:den>
                    </m:f>
                  </m:oMath>
                </m:oMathPara>
              </a14:m>
              <a:endParaRPr lang="en-AU" sz="1100" u="none"/>
            </a:p>
          </xdr:txBody>
        </xdr:sp>
      </mc:Choice>
      <mc:Fallback xmlns="">
        <xdr:sp macro="" textlink="">
          <xdr:nvSpPr>
            <xdr:cNvPr id="27" name="TextBox 26"/>
            <xdr:cNvSpPr txBox="1"/>
          </xdr:nvSpPr>
          <xdr:spPr>
            <a:xfrm>
              <a:off x="250825" y="16690975"/>
              <a:ext cx="635000" cy="5289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AU" sz="1100" b="0" i="0" u="none">
                  <a:latin typeface="Cambria Math" panose="02040503050406030204" pitchFamily="18" charset="0"/>
                </a:rPr>
                <a:t>(</a:t>
              </a:r>
              <a:r>
                <a:rPr lang="en-AU" sz="1100" b="0" i="0" u="none">
                  <a:solidFill>
                    <a:schemeClr val="tx1"/>
                  </a:solidFill>
                  <a:effectLst/>
                  <a:latin typeface="Cambria Math"/>
                  <a:ea typeface="+mn-ea"/>
                  <a:cs typeface="+mn-cs"/>
                </a:rPr>
                <a:t>𝑀</a:t>
              </a:r>
              <a:r>
                <a:rPr lang="en-AU" sz="1100" b="0" i="0" u="none">
                  <a:solidFill>
                    <a:schemeClr val="tx1"/>
                  </a:solidFill>
                  <a:effectLst/>
                  <a:latin typeface="Cambria Math" panose="02040503050406030204" pitchFamily="18" charset="0"/>
                  <a:ea typeface="+mn-ea"/>
                  <a:cs typeface="+mn-cs"/>
                </a:rPr>
                <a:t>_</a:t>
              </a:r>
              <a:r>
                <a:rPr lang="en-AU" sz="1100" b="0" i="0" u="none">
                  <a:solidFill>
                    <a:schemeClr val="tx1"/>
                  </a:solidFill>
                  <a:effectLst/>
                  <a:latin typeface="Cambria Math"/>
                  <a:ea typeface="+mn-ea"/>
                  <a:cs typeface="+mn-cs"/>
                </a:rPr>
                <a:t>𝑄</a:t>
              </a:r>
              <a:r>
                <a:rPr lang="en-AU" sz="1100" b="0" i="0" u="none" baseline="-25000">
                  <a:solidFill>
                    <a:schemeClr val="tx1"/>
                  </a:solidFill>
                  <a:effectLst/>
                  <a:latin typeface="Cambria Math"/>
                  <a:ea typeface="+mn-ea"/>
                  <a:cs typeface="+mn-cs"/>
                </a:rPr>
                <a:t>cross</a:t>
              </a:r>
              <a:r>
                <a:rPr lang="en-AU" sz="1100" b="0" i="0" u="none" baseline="-25000">
                  <a:solidFill>
                    <a:schemeClr val="tx1"/>
                  </a:solidFill>
                  <a:effectLst/>
                  <a:latin typeface="Cambria Math" panose="02040503050406030204" pitchFamily="18" charset="0"/>
                  <a:ea typeface="+mn-ea"/>
                  <a:cs typeface="+mn-cs"/>
                </a:rPr>
                <a:t>^</a:t>
              </a:r>
              <a:r>
                <a:rPr lang="en-AU" sz="1100" b="0" i="0" u="none">
                  <a:solidFill>
                    <a:schemeClr val="tx1"/>
                  </a:solidFill>
                  <a:effectLst/>
                  <a:latin typeface="Cambria Math"/>
                  <a:ea typeface="+mn-ea"/>
                  <a:cs typeface="+mn-cs"/>
                </a:rPr>
                <a:t>𝑟𝑒𝑓</a:t>
              </a:r>
              <a:r>
                <a:rPr lang="en-AU" sz="1100" b="0" i="0" u="none">
                  <a:solidFill>
                    <a:schemeClr val="tx1"/>
                  </a:solidFill>
                  <a:effectLst/>
                  <a:latin typeface="Cambria Math" panose="02040503050406030204" pitchFamily="18" charset="0"/>
                  <a:ea typeface="+mn-ea"/>
                  <a:cs typeface="+mn-cs"/>
                </a:rPr>
                <a:t>)/(</a:t>
              </a:r>
              <a:r>
                <a:rPr lang="en-AU" sz="1100" b="0" i="0">
                  <a:solidFill>
                    <a:schemeClr val="tx1"/>
                  </a:solidFill>
                  <a:effectLst/>
                  <a:latin typeface="Cambria Math"/>
                  <a:ea typeface="+mn-ea"/>
                  <a:cs typeface="+mn-cs"/>
                </a:rPr>
                <a:t>𝑀</a:t>
              </a:r>
              <a:r>
                <a:rPr lang="en-AU" sz="1100" b="0" i="0">
                  <a:solidFill>
                    <a:schemeClr val="tx1"/>
                  </a:solidFill>
                  <a:effectLst/>
                  <a:latin typeface="Cambria Math" panose="02040503050406030204" pitchFamily="18" charset="0"/>
                  <a:ea typeface="+mn-ea"/>
                  <a:cs typeface="+mn-cs"/>
                </a:rPr>
                <a:t>_</a:t>
              </a:r>
              <a:r>
                <a:rPr lang="en-AU" sz="1100" b="0" i="0">
                  <a:solidFill>
                    <a:schemeClr val="tx1"/>
                  </a:solidFill>
                  <a:effectLst/>
                  <a:latin typeface="Cambria Math"/>
                  <a:ea typeface="+mn-ea"/>
                  <a:cs typeface="+mn-cs"/>
                </a:rPr>
                <a:t>𝑄</a:t>
              </a:r>
              <a:r>
                <a:rPr lang="en-AU" sz="1100" b="0" i="0" baseline="-25000">
                  <a:solidFill>
                    <a:schemeClr val="tx1"/>
                  </a:solidFill>
                  <a:effectLst/>
                  <a:latin typeface="Cambria Math"/>
                  <a:ea typeface="+mn-ea"/>
                  <a:cs typeface="+mn-cs"/>
                </a:rPr>
                <a:t>cross</a:t>
              </a:r>
              <a:r>
                <a:rPr lang="en-AU" sz="1100" b="0" i="0" baseline="-25000">
                  <a:solidFill>
                    <a:schemeClr val="tx1"/>
                  </a:solidFill>
                  <a:effectLst/>
                  <a:latin typeface="Cambria Math" panose="02040503050406030204" pitchFamily="18" charset="0"/>
                  <a:ea typeface="+mn-ea"/>
                  <a:cs typeface="+mn-cs"/>
                </a:rPr>
                <a:t>^</a:t>
              </a:r>
              <a:r>
                <a:rPr lang="en-AU" sz="1100" b="0" i="0">
                  <a:solidFill>
                    <a:schemeClr val="tx1"/>
                  </a:solidFill>
                  <a:effectLst/>
                  <a:latin typeface="Cambria Math"/>
                  <a:ea typeface="+mn-ea"/>
                  <a:cs typeface="+mn-cs"/>
                </a:rPr>
                <a:t>𝑥</a:t>
              </a:r>
              <a:r>
                <a:rPr lang="en-AU" sz="1100" b="0" i="0">
                  <a:solidFill>
                    <a:schemeClr val="tx1"/>
                  </a:solidFill>
                  <a:effectLst/>
                  <a:latin typeface="Cambria Math" panose="02040503050406030204" pitchFamily="18" charset="0"/>
                  <a:ea typeface="+mn-ea"/>
                  <a:cs typeface="+mn-cs"/>
                </a:rPr>
                <a:t> </a:t>
              </a:r>
              <a:r>
                <a:rPr lang="en-AU" sz="1100" b="0" i="0" u="none">
                  <a:solidFill>
                    <a:schemeClr val="tx1"/>
                  </a:solidFill>
                  <a:effectLst/>
                  <a:latin typeface="Cambria Math" panose="02040503050406030204" pitchFamily="18" charset="0"/>
                  <a:ea typeface="+mn-ea"/>
                  <a:cs typeface="+mn-cs"/>
                </a:rPr>
                <a:t>)</a:t>
              </a:r>
              <a:endParaRPr lang="en-AU" sz="1100" u="none"/>
            </a:p>
          </xdr:txBody>
        </xdr:sp>
      </mc:Fallback>
    </mc:AlternateContent>
    <xdr:clientData/>
  </xdr:oneCellAnchor>
  <xdr:oneCellAnchor>
    <xdr:from>
      <xdr:col>0</xdr:col>
      <xdr:colOff>231775</xdr:colOff>
      <xdr:row>84</xdr:row>
      <xdr:rowOff>436563</xdr:rowOff>
    </xdr:from>
    <xdr:ext cx="627063" cy="318805"/>
    <mc:AlternateContent xmlns:mc="http://schemas.openxmlformats.org/markup-compatibility/2006" xmlns:a14="http://schemas.microsoft.com/office/drawing/2010/main">
      <mc:Choice Requires="a14">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238125" y="17899063"/>
              <a:ext cx="627063" cy="3188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Sup>
                      <m:sSubSupPr>
                        <m:ctrlPr>
                          <a:rPr lang="en-AU" sz="1100" i="1">
                            <a:solidFill>
                              <a:schemeClr val="tx1"/>
                            </a:solidFill>
                            <a:effectLst/>
                            <a:latin typeface="Cambria Math" panose="02040503050406030204" pitchFamily="18" charset="0"/>
                            <a:ea typeface="+mn-ea"/>
                            <a:cs typeface="+mn-cs"/>
                          </a:rPr>
                        </m:ctrlPr>
                      </m:sSubSupPr>
                      <m:e>
                        <m:r>
                          <a:rPr lang="en-AU" sz="1100" b="0" i="1">
                            <a:solidFill>
                              <a:schemeClr val="tx1"/>
                            </a:solidFill>
                            <a:effectLst/>
                            <a:latin typeface="Cambria Math"/>
                            <a:ea typeface="+mn-ea"/>
                            <a:cs typeface="+mn-cs"/>
                          </a:rPr>
                          <m:t>𝑘</m:t>
                        </m:r>
                      </m:e>
                      <m:sub>
                        <m:r>
                          <a:rPr lang="en-AU" sz="1100" b="0" i="1">
                            <a:solidFill>
                              <a:schemeClr val="tx1"/>
                            </a:solidFill>
                            <a:effectLst/>
                            <a:latin typeface="Cambria Math"/>
                            <a:ea typeface="+mn-ea"/>
                            <a:cs typeface="+mn-cs"/>
                          </a:rPr>
                          <m:t>𝑄</m:t>
                        </m:r>
                        <m:r>
                          <m:rPr>
                            <m:sty m:val="p"/>
                          </m:rPr>
                          <a:rPr lang="en-AU" sz="1100" b="0" i="0" baseline="-25000">
                            <a:solidFill>
                              <a:schemeClr val="tx1"/>
                            </a:solidFill>
                            <a:effectLst/>
                            <a:latin typeface="Cambria Math"/>
                            <a:ea typeface="+mn-ea"/>
                            <a:cs typeface="+mn-cs"/>
                          </a:rPr>
                          <m:t>cross</m:t>
                        </m:r>
                        <m:r>
                          <a:rPr lang="en-AU" sz="1100" b="0" i="1" baseline="0">
                            <a:solidFill>
                              <a:schemeClr val="tx1"/>
                            </a:solidFill>
                            <a:effectLst/>
                            <a:latin typeface="Cambria Math"/>
                            <a:ea typeface="+mn-ea"/>
                            <a:cs typeface="+mn-cs"/>
                          </a:rPr>
                          <m:t>,</m:t>
                        </m:r>
                        <m:r>
                          <a:rPr lang="en-AU" sz="1100" b="0" i="1">
                            <a:solidFill>
                              <a:schemeClr val="tx1"/>
                            </a:solidFill>
                            <a:effectLst/>
                            <a:latin typeface="Cambria Math"/>
                            <a:ea typeface="+mn-ea"/>
                            <a:cs typeface="+mn-cs"/>
                          </a:rPr>
                          <m:t>𝑄</m:t>
                        </m:r>
                        <m:r>
                          <a:rPr lang="en-AU" sz="1100" b="0" i="0" baseline="-25000">
                            <a:solidFill>
                              <a:schemeClr val="tx1"/>
                            </a:solidFill>
                            <a:effectLst/>
                            <a:latin typeface="Cambria Math"/>
                            <a:ea typeface="+mn-ea"/>
                            <a:cs typeface="+mn-cs"/>
                          </a:rPr>
                          <m:t>0</m:t>
                        </m:r>
                      </m:sub>
                      <m:sup>
                        <m:r>
                          <a:rPr lang="en-AU" sz="1100" b="0" i="1">
                            <a:solidFill>
                              <a:schemeClr val="tx1"/>
                            </a:solidFill>
                            <a:effectLst/>
                            <a:latin typeface="Cambria Math"/>
                            <a:ea typeface="+mn-ea"/>
                            <a:cs typeface="+mn-cs"/>
                          </a:rPr>
                          <m:t>𝑟𝑒𝑓</m:t>
                        </m:r>
                      </m:sup>
                    </m:sSubSup>
                  </m:oMath>
                </m:oMathPara>
              </a14:m>
              <a:endParaRPr lang="en-AU" sz="1100" u="none"/>
            </a:p>
          </xdr:txBody>
        </xdr:sp>
      </mc:Choice>
      <mc:Fallback xmlns="">
        <xdr:sp macro="" textlink="">
          <xdr:nvSpPr>
            <xdr:cNvPr id="28" name="TextBox 27"/>
            <xdr:cNvSpPr txBox="1"/>
          </xdr:nvSpPr>
          <xdr:spPr>
            <a:xfrm>
              <a:off x="238125" y="17899063"/>
              <a:ext cx="627063" cy="3188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r>
                <a:rPr lang="en-AU" sz="1100" b="0" i="0">
                  <a:solidFill>
                    <a:schemeClr val="tx1"/>
                  </a:solidFill>
                  <a:effectLst/>
                  <a:latin typeface="Cambria Math"/>
                  <a:ea typeface="+mn-ea"/>
                  <a:cs typeface="+mn-cs"/>
                </a:rPr>
                <a:t>𝑘</a:t>
              </a:r>
              <a:r>
                <a:rPr lang="en-AU" sz="1100" b="0" i="0">
                  <a:solidFill>
                    <a:schemeClr val="tx1"/>
                  </a:solidFill>
                  <a:effectLst/>
                  <a:latin typeface="Cambria Math" panose="02040503050406030204" pitchFamily="18" charset="0"/>
                  <a:ea typeface="+mn-ea"/>
                  <a:cs typeface="+mn-cs"/>
                </a:rPr>
                <a:t>_(</a:t>
              </a:r>
              <a:r>
                <a:rPr lang="en-AU" sz="1100" b="0" i="0">
                  <a:solidFill>
                    <a:schemeClr val="tx1"/>
                  </a:solidFill>
                  <a:effectLst/>
                  <a:latin typeface="Cambria Math"/>
                  <a:ea typeface="+mn-ea"/>
                  <a:cs typeface="+mn-cs"/>
                </a:rPr>
                <a:t>𝑄</a:t>
              </a:r>
              <a:r>
                <a:rPr lang="en-AU" sz="1100" b="0" i="0" baseline="-25000">
                  <a:solidFill>
                    <a:schemeClr val="tx1"/>
                  </a:solidFill>
                  <a:effectLst/>
                  <a:latin typeface="Cambria Math"/>
                  <a:ea typeface="+mn-ea"/>
                  <a:cs typeface="+mn-cs"/>
                </a:rPr>
                <a:t>cross</a:t>
              </a:r>
              <a:r>
                <a:rPr lang="en-AU" sz="1100" b="0" i="0" baseline="0">
                  <a:solidFill>
                    <a:schemeClr val="tx1"/>
                  </a:solidFill>
                  <a:effectLst/>
                  <a:latin typeface="Cambria Math"/>
                  <a:ea typeface="+mn-ea"/>
                  <a:cs typeface="+mn-cs"/>
                </a:rPr>
                <a:t>,</a:t>
              </a:r>
              <a:r>
                <a:rPr lang="en-AU" sz="1100" b="0" i="0">
                  <a:solidFill>
                    <a:schemeClr val="tx1"/>
                  </a:solidFill>
                  <a:effectLst/>
                  <a:latin typeface="Cambria Math"/>
                  <a:ea typeface="+mn-ea"/>
                  <a:cs typeface="+mn-cs"/>
                </a:rPr>
                <a:t>𝑄</a:t>
              </a:r>
              <a:r>
                <a:rPr lang="en-AU" sz="1100" b="0" i="0" baseline="-25000">
                  <a:solidFill>
                    <a:schemeClr val="tx1"/>
                  </a:solidFill>
                  <a:effectLst/>
                  <a:latin typeface="Cambria Math"/>
                  <a:ea typeface="+mn-ea"/>
                  <a:cs typeface="+mn-cs"/>
                </a:rPr>
                <a:t>0</a:t>
              </a:r>
              <a:r>
                <a:rPr lang="en-AU" sz="1100" b="0" i="0" baseline="-25000">
                  <a:solidFill>
                    <a:schemeClr val="tx1"/>
                  </a:solidFill>
                  <a:effectLst/>
                  <a:latin typeface="Cambria Math" panose="02040503050406030204" pitchFamily="18" charset="0"/>
                  <a:ea typeface="+mn-ea"/>
                  <a:cs typeface="+mn-cs"/>
                </a:rPr>
                <a:t>)^</a:t>
              </a:r>
              <a:r>
                <a:rPr lang="en-AU" sz="1100" b="0" i="0">
                  <a:solidFill>
                    <a:schemeClr val="tx1"/>
                  </a:solidFill>
                  <a:effectLst/>
                  <a:latin typeface="Cambria Math"/>
                  <a:ea typeface="+mn-ea"/>
                  <a:cs typeface="+mn-cs"/>
                </a:rPr>
                <a:t>𝑟𝑒𝑓</a:t>
              </a:r>
              <a:endParaRPr lang="en-AU" sz="1100" u="none"/>
            </a:p>
          </xdr:txBody>
        </xdr:sp>
      </mc:Fallback>
    </mc:AlternateContent>
    <xdr:clientData/>
  </xdr:oneCellAnchor>
  <mc:AlternateContent xmlns:mc="http://schemas.openxmlformats.org/markup-compatibility/2006">
    <mc:Choice xmlns:a14="http://schemas.microsoft.com/office/drawing/2010/main" Requires="a14">
      <xdr:twoCellAnchor>
        <xdr:from>
          <xdr:col>6</xdr:col>
          <xdr:colOff>180975</xdr:colOff>
          <xdr:row>115</xdr:row>
          <xdr:rowOff>47625</xdr:rowOff>
        </xdr:from>
        <xdr:to>
          <xdr:col>10</xdr:col>
          <xdr:colOff>219075</xdr:colOff>
          <xdr:row>117</xdr:row>
          <xdr:rowOff>152400</xdr:rowOff>
        </xdr:to>
        <xdr:sp macro="" textlink="">
          <xdr:nvSpPr>
            <xdr:cNvPr id="7282154" name="Object 1514" hidden="1">
              <a:extLst>
                <a:ext uri="{63B3BB69-23CF-44E3-9099-C40C66FF867C}">
                  <a14:compatExt spid="_x0000_s7282154"/>
                </a:ext>
                <a:ext uri="{FF2B5EF4-FFF2-40B4-BE49-F238E27FC236}">
                  <a16:creationId xmlns:a16="http://schemas.microsoft.com/office/drawing/2014/main" id="{00000000-0008-0000-1200-0000EA1D6F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oneCellAnchor>
    <xdr:from>
      <xdr:col>10</xdr:col>
      <xdr:colOff>223441</xdr:colOff>
      <xdr:row>191</xdr:row>
      <xdr:rowOff>799306</xdr:rowOff>
    </xdr:from>
    <xdr:ext cx="748230" cy="317500"/>
    <mc:AlternateContent xmlns:mc="http://schemas.openxmlformats.org/markup-compatibility/2006" xmlns:a14="http://schemas.microsoft.com/office/drawing/2010/main">
      <mc:Choice Requires="a14">
        <xdr:sp macro="" textlink="">
          <xdr:nvSpPr>
            <xdr:cNvPr id="21" name="TextBox 20">
              <a:extLst>
                <a:ext uri="{FF2B5EF4-FFF2-40B4-BE49-F238E27FC236}">
                  <a16:creationId xmlns:a16="http://schemas.microsoft.com/office/drawing/2014/main" id="{00000000-0008-0000-1200-000015000000}"/>
                </a:ext>
              </a:extLst>
            </xdr:cNvPr>
            <xdr:cNvSpPr txBox="1"/>
          </xdr:nvSpPr>
          <xdr:spPr>
            <a:xfrm>
              <a:off x="3279379" y="47660322"/>
              <a:ext cx="748230"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Group"/>
                  </m:oMathParaPr>
                  <m:oMath xmlns:m="http://schemas.openxmlformats.org/officeDocument/2006/math">
                    <m:sSubSup>
                      <m:sSubSupPr>
                        <m:ctrlPr>
                          <a:rPr lang="en-AU" sz="1100" b="0" i="1" u="none">
                            <a:latin typeface="Cambria Math" panose="02040503050406030204" pitchFamily="18" charset="0"/>
                          </a:rPr>
                        </m:ctrlPr>
                      </m:sSubSupPr>
                      <m:e>
                        <m:r>
                          <a:rPr lang="en-AU" sz="1100" b="0" i="1" u="none">
                            <a:latin typeface="Cambria Math"/>
                          </a:rPr>
                          <m:t>𝑁</m:t>
                        </m:r>
                      </m:e>
                      <m:sub>
                        <m:r>
                          <a:rPr lang="en-AU" sz="1100" b="0" i="1" u="none">
                            <a:latin typeface="Cambria Math"/>
                          </a:rPr>
                          <m:t>𝐷</m:t>
                        </m:r>
                        <m:r>
                          <a:rPr lang="en-AU" sz="1100" b="0" i="1" u="none">
                            <a:latin typeface="Cambria Math"/>
                          </a:rPr>
                          <m:t>,</m:t>
                        </m:r>
                        <m:r>
                          <a:rPr lang="en-AU" sz="1100" b="0" i="1" u="none">
                            <a:latin typeface="Cambria Math"/>
                          </a:rPr>
                          <m:t>𝑤</m:t>
                        </m:r>
                        <m:r>
                          <a:rPr lang="en-AU" sz="1100" b="0" i="1" u="none">
                            <a:latin typeface="Cambria Math"/>
                          </a:rPr>
                          <m:t>,</m:t>
                        </m:r>
                        <m:sSub>
                          <m:sSubPr>
                            <m:ctrlPr>
                              <a:rPr lang="en-AU" sz="1100" b="0" i="1" u="none">
                                <a:latin typeface="Cambria Math" panose="02040503050406030204" pitchFamily="18" charset="0"/>
                              </a:rPr>
                            </m:ctrlPr>
                          </m:sSubPr>
                          <m:e>
                            <m:r>
                              <a:rPr lang="en-AU" sz="1100" b="0" i="1" u="none">
                                <a:latin typeface="Cambria Math"/>
                              </a:rPr>
                              <m:t>𝑄</m:t>
                            </m:r>
                          </m:e>
                          <m:sub>
                            <m:r>
                              <a:rPr lang="en-AU" sz="1100" b="0" i="1" u="none">
                                <a:latin typeface="Cambria Math"/>
                              </a:rPr>
                              <m:t>𝑐𝑟𝑜𝑠𝑠</m:t>
                            </m:r>
                          </m:sub>
                        </m:sSub>
                      </m:sub>
                      <m:sup>
                        <m:r>
                          <a:rPr lang="en-AU" sz="1100" b="0" i="1" u="none">
                            <a:latin typeface="Cambria Math"/>
                          </a:rPr>
                          <m:t>𝑥</m:t>
                        </m:r>
                      </m:sup>
                    </m:sSubSup>
                  </m:oMath>
                </m:oMathPara>
              </a14:m>
              <a:endParaRPr lang="en-AU" sz="1100" u="none"/>
            </a:p>
          </xdr:txBody>
        </xdr:sp>
      </mc:Choice>
      <mc:Fallback xmlns="">
        <xdr:sp macro="" textlink="">
          <xdr:nvSpPr>
            <xdr:cNvPr id="21" name="TextBox 20"/>
            <xdr:cNvSpPr txBox="1"/>
          </xdr:nvSpPr>
          <xdr:spPr>
            <a:xfrm>
              <a:off x="3279379" y="47660322"/>
              <a:ext cx="748230"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AU" sz="1100" b="0" i="0" u="none">
                  <a:latin typeface="Cambria Math"/>
                </a:rPr>
                <a:t>𝑁</a:t>
              </a:r>
              <a:r>
                <a:rPr lang="en-AU" sz="1100" b="0" i="0" u="none">
                  <a:latin typeface="Cambria Math" panose="02040503050406030204" pitchFamily="18" charset="0"/>
                </a:rPr>
                <a:t>_(</a:t>
              </a:r>
              <a:r>
                <a:rPr lang="en-AU" sz="1100" b="0" i="0" u="none">
                  <a:latin typeface="Cambria Math"/>
                </a:rPr>
                <a:t>𝐷,𝑤,𝑄</a:t>
              </a:r>
              <a:r>
                <a:rPr lang="en-AU" sz="1100" b="0" i="0" u="none">
                  <a:latin typeface="Cambria Math" panose="02040503050406030204" pitchFamily="18" charset="0"/>
                </a:rPr>
                <a:t>_</a:t>
              </a:r>
              <a:r>
                <a:rPr lang="en-AU" sz="1100" b="0" i="0" u="none">
                  <a:latin typeface="Cambria Math"/>
                </a:rPr>
                <a:t>𝑐𝑟𝑜𝑠𝑠</a:t>
              </a:r>
              <a:r>
                <a:rPr lang="en-AU" sz="1100" b="0" i="0" u="none">
                  <a:latin typeface="Cambria Math" panose="02040503050406030204" pitchFamily="18" charset="0"/>
                </a:rPr>
                <a:t>)^</a:t>
              </a:r>
              <a:r>
                <a:rPr lang="en-AU" sz="1100" b="0" i="0" u="none">
                  <a:latin typeface="Cambria Math"/>
                </a:rPr>
                <a:t>𝑥</a:t>
              </a:r>
              <a:endParaRPr lang="en-AU" sz="1100" u="none"/>
            </a:p>
          </xdr:txBody>
        </xdr:sp>
      </mc:Fallback>
    </mc:AlternateContent>
    <xdr:clientData/>
  </xdr:oneCellAnchor>
  <xdr:oneCellAnchor>
    <xdr:from>
      <xdr:col>2</xdr:col>
      <xdr:colOff>212725</xdr:colOff>
      <xdr:row>212</xdr:row>
      <xdr:rowOff>171450</xdr:rowOff>
    </xdr:from>
    <xdr:ext cx="4346505" cy="320445"/>
    <mc:AlternateContent xmlns:mc="http://schemas.openxmlformats.org/markup-compatibility/2006" xmlns:a14="http://schemas.microsoft.com/office/drawing/2010/main">
      <mc:Choice Requires="a14">
        <xdr:sp macro="" textlink="">
          <xdr:nvSpPr>
            <xdr:cNvPr id="23" name="TextBox 22">
              <a:extLst>
                <a:ext uri="{FF2B5EF4-FFF2-40B4-BE49-F238E27FC236}">
                  <a16:creationId xmlns:a16="http://schemas.microsoft.com/office/drawing/2014/main" id="{00000000-0008-0000-1200-000017000000}"/>
                </a:ext>
              </a:extLst>
            </xdr:cNvPr>
            <xdr:cNvSpPr txBox="1"/>
          </xdr:nvSpPr>
          <xdr:spPr>
            <a:xfrm>
              <a:off x="800100" y="53225700"/>
              <a:ext cx="4359308"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Group"/>
                  </m:oMathParaPr>
                  <m:oMath xmlns:m="http://schemas.openxmlformats.org/officeDocument/2006/math">
                    <m:sSubSup>
                      <m:sSubSupPr>
                        <m:ctrlPr>
                          <a:rPr lang="en-AU" sz="1100" i="1" u="none">
                            <a:latin typeface="Cambria Math" panose="02040503050406030204" pitchFamily="18" charset="0"/>
                          </a:rPr>
                        </m:ctrlPr>
                      </m:sSubSupPr>
                      <m:e>
                        <m:r>
                          <a:rPr lang="en-AU" sz="1100" b="0" i="1" u="none">
                            <a:latin typeface="Cambria Math"/>
                          </a:rPr>
                          <m:t>𝐷</m:t>
                        </m:r>
                      </m:e>
                      <m:sub>
                        <m:r>
                          <a:rPr lang="en-AU" sz="1100" b="0" i="1" u="none">
                            <a:latin typeface="Cambria Math"/>
                          </a:rPr>
                          <m:t>𝑤</m:t>
                        </m:r>
                        <m:r>
                          <a:rPr lang="en-AU" sz="1100" b="0" i="1" u="none">
                            <a:latin typeface="Cambria Math"/>
                          </a:rPr>
                          <m:t>,</m:t>
                        </m:r>
                        <m:r>
                          <a:rPr lang="en-AU" sz="1100" b="0" i="1" u="none">
                            <a:latin typeface="Cambria Math"/>
                          </a:rPr>
                          <m:t>𝑄</m:t>
                        </m:r>
                      </m:sub>
                      <m:sup>
                        <m:r>
                          <a:rPr lang="en-AU" sz="1100" b="0" i="1" u="none">
                            <a:latin typeface="Cambria Math" panose="02040503050406030204" pitchFamily="18" charset="0"/>
                          </a:rPr>
                          <m:t>𝑥</m:t>
                        </m:r>
                      </m:sup>
                    </m:sSubSup>
                    <m:r>
                      <a:rPr lang="en-AU" sz="1100" b="0" i="1" u="none">
                        <a:latin typeface="Cambria Math"/>
                      </a:rPr>
                      <m:t>=</m:t>
                    </m:r>
                    <m:sSubSup>
                      <m:sSubSupPr>
                        <m:ctrlPr>
                          <a:rPr lang="en-AU" sz="1100" b="0" i="1" u="none">
                            <a:latin typeface="Cambria Math" panose="02040503050406030204" pitchFamily="18" charset="0"/>
                          </a:rPr>
                        </m:ctrlPr>
                      </m:sSubSupPr>
                      <m:e>
                        <m:r>
                          <a:rPr lang="en-AU" sz="1100" b="0" i="1" u="none">
                            <a:latin typeface="Cambria Math"/>
                          </a:rPr>
                          <m:t>𝑀</m:t>
                        </m:r>
                      </m:e>
                      <m:sub>
                        <m:r>
                          <a:rPr lang="en-AU" sz="1100" b="0" i="1" u="none">
                            <a:latin typeface="Cambria Math"/>
                          </a:rPr>
                          <m:t>𝑄</m:t>
                        </m:r>
                      </m:sub>
                      <m:sup>
                        <m:r>
                          <a:rPr lang="en-AU" sz="1100" b="0" i="1" u="none">
                            <a:latin typeface="Cambria Math"/>
                          </a:rPr>
                          <m:t>𝑥</m:t>
                        </m:r>
                      </m:sup>
                    </m:sSubSup>
                    <m:sSubSup>
                      <m:sSubSupPr>
                        <m:ctrlPr>
                          <a:rPr lang="en-AU" sz="1100" b="0" i="1" u="none">
                            <a:latin typeface="Cambria Math" panose="02040503050406030204" pitchFamily="18" charset="0"/>
                          </a:rPr>
                        </m:ctrlPr>
                      </m:sSubSupPr>
                      <m:e>
                        <m:sSub>
                          <m:sSubPr>
                            <m:ctrlPr>
                              <a:rPr lang="en-AU" sz="1100" b="0" i="1" u="none">
                                <a:latin typeface="Cambria Math" panose="02040503050406030204" pitchFamily="18" charset="0"/>
                              </a:rPr>
                            </m:ctrlPr>
                          </m:sSubPr>
                          <m:e>
                            <m:r>
                              <a:rPr lang="en-AU" sz="1100" b="0" i="1" u="none">
                                <a:latin typeface="Cambria Math"/>
                              </a:rPr>
                              <m:t>𝑘</m:t>
                            </m:r>
                          </m:e>
                          <m:sub>
                            <m:r>
                              <a:rPr lang="en-AU" sz="1100" b="0" i="1" u="none">
                                <a:latin typeface="Cambria Math"/>
                              </a:rPr>
                              <m:t>𝑇𝑃</m:t>
                            </m:r>
                          </m:sub>
                        </m:sSub>
                        <m:sSub>
                          <m:sSubPr>
                            <m:ctrlPr>
                              <a:rPr lang="en-AU" sz="1100" b="0" i="1" u="none">
                                <a:latin typeface="Cambria Math" panose="02040503050406030204" pitchFamily="18" charset="0"/>
                              </a:rPr>
                            </m:ctrlPr>
                          </m:sSubPr>
                          <m:e>
                            <m:r>
                              <a:rPr lang="en-AU" sz="1100" b="0" i="1" u="none">
                                <a:latin typeface="Cambria Math"/>
                              </a:rPr>
                              <m:t>𝑘</m:t>
                            </m:r>
                          </m:e>
                          <m:sub>
                            <m:r>
                              <a:rPr lang="en-AU" sz="1100" b="0" i="1" u="none">
                                <a:latin typeface="Cambria Math"/>
                              </a:rPr>
                              <m:t>𝑒𝑙𝑒𝑐</m:t>
                            </m:r>
                          </m:sub>
                        </m:sSub>
                        <m:sSub>
                          <m:sSubPr>
                            <m:ctrlPr>
                              <a:rPr lang="en-AU" sz="1100" b="0" i="1" u="none">
                                <a:latin typeface="Cambria Math" panose="02040503050406030204" pitchFamily="18" charset="0"/>
                              </a:rPr>
                            </m:ctrlPr>
                          </m:sSubPr>
                          <m:e>
                            <m:r>
                              <a:rPr lang="en-AU" sz="1100" b="0" i="1" u="none">
                                <a:latin typeface="Cambria Math"/>
                              </a:rPr>
                              <m:t>𝑘</m:t>
                            </m:r>
                          </m:e>
                          <m:sub>
                            <m:r>
                              <a:rPr lang="en-AU" sz="1100" b="0" i="1" u="none">
                                <a:latin typeface="Cambria Math"/>
                              </a:rPr>
                              <m:t>𝑝𝑜𝑙</m:t>
                            </m:r>
                          </m:sub>
                        </m:sSub>
                        <m:sSub>
                          <m:sSubPr>
                            <m:ctrlPr>
                              <a:rPr lang="en-AU" sz="1100" b="0" i="1" u="none">
                                <a:latin typeface="Cambria Math" panose="02040503050406030204" pitchFamily="18" charset="0"/>
                              </a:rPr>
                            </m:ctrlPr>
                          </m:sSubPr>
                          <m:e>
                            <m:r>
                              <a:rPr lang="en-AU" sz="1100" b="0" i="1" u="none">
                                <a:latin typeface="Cambria Math"/>
                              </a:rPr>
                              <m:t>𝑘</m:t>
                            </m:r>
                          </m:e>
                          <m:sub>
                            <m:r>
                              <a:rPr lang="en-AU" sz="1100" b="0" i="1" u="none">
                                <a:latin typeface="Cambria Math"/>
                              </a:rPr>
                              <m:t>𝑠</m:t>
                            </m:r>
                          </m:sub>
                        </m:sSub>
                        <m:r>
                          <a:rPr lang="en-AU" sz="1100" b="0" i="1" u="none">
                            <a:latin typeface="Cambria Math"/>
                          </a:rPr>
                          <m:t>𝑁</m:t>
                        </m:r>
                      </m:e>
                      <m:sub>
                        <m:r>
                          <a:rPr lang="en-AU" sz="1100" b="0" i="1" u="none">
                            <a:latin typeface="Cambria Math"/>
                          </a:rPr>
                          <m:t>𝐷</m:t>
                        </m:r>
                        <m:r>
                          <a:rPr lang="en-AU" sz="1100" b="0" i="1" u="none">
                            <a:latin typeface="Cambria Math"/>
                          </a:rPr>
                          <m:t>,</m:t>
                        </m:r>
                        <m:r>
                          <a:rPr lang="en-AU" sz="1100" b="0" i="1" u="none">
                            <a:latin typeface="Cambria Math"/>
                          </a:rPr>
                          <m:t>𝑤</m:t>
                        </m:r>
                        <m:r>
                          <a:rPr lang="en-AU" sz="1100" b="0" i="1" u="none">
                            <a:latin typeface="Cambria Math"/>
                          </a:rPr>
                          <m:t>,</m:t>
                        </m:r>
                        <m:sSub>
                          <m:sSubPr>
                            <m:ctrlPr>
                              <a:rPr lang="en-AU" sz="1100" b="0" i="1" u="none">
                                <a:latin typeface="Cambria Math" panose="02040503050406030204" pitchFamily="18" charset="0"/>
                              </a:rPr>
                            </m:ctrlPr>
                          </m:sSubPr>
                          <m:e>
                            <m:r>
                              <a:rPr lang="en-AU" sz="1100" b="0" i="1" u="none">
                                <a:latin typeface="Cambria Math"/>
                              </a:rPr>
                              <m:t>𝑄</m:t>
                            </m:r>
                          </m:e>
                          <m:sub>
                            <m:r>
                              <a:rPr lang="en-AU" sz="1100" b="0" i="1" u="none">
                                <a:latin typeface="Cambria Math"/>
                              </a:rPr>
                              <m:t>𝑐𝑟𝑜𝑠𝑠</m:t>
                            </m:r>
                          </m:sub>
                        </m:sSub>
                      </m:sub>
                      <m:sup>
                        <m:r>
                          <a:rPr lang="en-AU" sz="1100" b="0" i="1" u="none">
                            <a:latin typeface="Cambria Math"/>
                          </a:rPr>
                          <m:t>𝑥</m:t>
                        </m:r>
                      </m:sup>
                    </m:sSubSup>
                    <m:sSubSup>
                      <m:sSubSupPr>
                        <m:ctrlPr>
                          <a:rPr lang="en-AU" sz="1100" i="1">
                            <a:solidFill>
                              <a:schemeClr val="tx1"/>
                            </a:solidFill>
                            <a:effectLst/>
                            <a:latin typeface="Cambria Math" panose="02040503050406030204" pitchFamily="18" charset="0"/>
                            <a:ea typeface="+mn-ea"/>
                            <a:cs typeface="+mn-cs"/>
                          </a:rPr>
                        </m:ctrlPr>
                      </m:sSubSupPr>
                      <m:e>
                        <m:r>
                          <a:rPr lang="en-AU" sz="1100" b="0" i="1">
                            <a:solidFill>
                              <a:schemeClr val="tx1"/>
                            </a:solidFill>
                            <a:effectLst/>
                            <a:latin typeface="Cambria Math"/>
                            <a:ea typeface="+mn-ea"/>
                            <a:cs typeface="+mn-cs"/>
                          </a:rPr>
                          <m:t>𝑘</m:t>
                        </m:r>
                      </m:e>
                      <m:sub>
                        <m:r>
                          <a:rPr lang="en-AU" sz="1100" b="0" i="1">
                            <a:solidFill>
                              <a:schemeClr val="tx1"/>
                            </a:solidFill>
                            <a:effectLst/>
                            <a:latin typeface="Cambria Math"/>
                            <a:ea typeface="+mn-ea"/>
                            <a:cs typeface="+mn-cs"/>
                          </a:rPr>
                          <m:t>𝑄</m:t>
                        </m:r>
                        <m:r>
                          <a:rPr lang="en-AU" sz="1100" b="0" i="1" baseline="0">
                            <a:solidFill>
                              <a:schemeClr val="tx1"/>
                            </a:solidFill>
                            <a:effectLst/>
                            <a:latin typeface="Cambria Math"/>
                            <a:ea typeface="+mn-ea"/>
                            <a:cs typeface="+mn-cs"/>
                          </a:rPr>
                          <m:t>,</m:t>
                        </m:r>
                        <m:sSub>
                          <m:sSubPr>
                            <m:ctrlPr>
                              <a:rPr lang="en-AU" sz="1100" b="0" i="1" baseline="0">
                                <a:solidFill>
                                  <a:schemeClr val="tx1"/>
                                </a:solidFill>
                                <a:effectLst/>
                                <a:latin typeface="Cambria Math" panose="02040503050406030204" pitchFamily="18" charset="0"/>
                                <a:ea typeface="+mn-ea"/>
                                <a:cs typeface="+mn-cs"/>
                              </a:rPr>
                            </m:ctrlPr>
                          </m:sSubPr>
                          <m:e>
                            <m:r>
                              <a:rPr lang="en-AU" sz="1100" b="0" i="1" baseline="0">
                                <a:solidFill>
                                  <a:schemeClr val="tx1"/>
                                </a:solidFill>
                                <a:effectLst/>
                                <a:latin typeface="Cambria Math"/>
                                <a:ea typeface="+mn-ea"/>
                                <a:cs typeface="+mn-cs"/>
                              </a:rPr>
                              <m:t>𝑄</m:t>
                            </m:r>
                          </m:e>
                          <m:sub>
                            <m:r>
                              <a:rPr lang="en-AU" sz="1100" b="0" i="1" baseline="0">
                                <a:solidFill>
                                  <a:schemeClr val="tx1"/>
                                </a:solidFill>
                                <a:effectLst/>
                                <a:latin typeface="Cambria Math"/>
                                <a:ea typeface="+mn-ea"/>
                                <a:cs typeface="+mn-cs"/>
                              </a:rPr>
                              <m:t>𝑐𝑟𝑜𝑠𝑠</m:t>
                            </m:r>
                          </m:sub>
                        </m:sSub>
                      </m:sub>
                      <m:sup>
                        <m:r>
                          <a:rPr lang="en-AU" sz="1100" b="0" i="1">
                            <a:solidFill>
                              <a:schemeClr val="tx1"/>
                            </a:solidFill>
                            <a:effectLst/>
                            <a:latin typeface="Cambria Math"/>
                            <a:ea typeface="+mn-ea"/>
                            <a:cs typeface="+mn-cs"/>
                          </a:rPr>
                          <m:t>𝑥</m:t>
                        </m:r>
                      </m:sup>
                    </m:sSubSup>
                  </m:oMath>
                </m:oMathPara>
              </a14:m>
              <a:endParaRPr lang="en-AU" sz="1100" u="none"/>
            </a:p>
          </xdr:txBody>
        </xdr:sp>
      </mc:Choice>
      <mc:Fallback xmlns="">
        <xdr:sp macro="" textlink="">
          <xdr:nvSpPr>
            <xdr:cNvPr id="23" name="TextBox 22"/>
            <xdr:cNvSpPr txBox="1"/>
          </xdr:nvSpPr>
          <xdr:spPr>
            <a:xfrm>
              <a:off x="800100" y="53225700"/>
              <a:ext cx="4359308"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AU" sz="1100" b="0" i="0" u="none">
                  <a:latin typeface="Cambria Math"/>
                </a:rPr>
                <a:t>𝐷</a:t>
              </a:r>
              <a:r>
                <a:rPr lang="en-AU" sz="1100" b="0" i="0" u="none">
                  <a:latin typeface="Cambria Math" panose="02040503050406030204" pitchFamily="18" charset="0"/>
                </a:rPr>
                <a:t>_(</a:t>
              </a:r>
              <a:r>
                <a:rPr lang="en-AU" sz="1100" b="0" i="0" u="none">
                  <a:latin typeface="Cambria Math"/>
                </a:rPr>
                <a:t>𝑤,𝑄</a:t>
              </a:r>
              <a:r>
                <a:rPr lang="en-AU" sz="1100" b="0" i="0" u="none">
                  <a:latin typeface="Cambria Math" panose="02040503050406030204" pitchFamily="18" charset="0"/>
                </a:rPr>
                <a:t>)^𝑥</a:t>
              </a:r>
              <a:r>
                <a:rPr lang="en-AU" sz="1100" b="0" i="0" u="none">
                  <a:latin typeface="Cambria Math"/>
                </a:rPr>
                <a:t>=𝑀</a:t>
              </a:r>
              <a:r>
                <a:rPr lang="en-AU" sz="1100" b="0" i="0" u="none">
                  <a:latin typeface="Cambria Math" panose="02040503050406030204" pitchFamily="18" charset="0"/>
                </a:rPr>
                <a:t>_</a:t>
              </a:r>
              <a:r>
                <a:rPr lang="en-AU" sz="1100" b="0" i="0" u="none">
                  <a:latin typeface="Cambria Math"/>
                </a:rPr>
                <a:t>𝑄</a:t>
              </a:r>
              <a:r>
                <a:rPr lang="en-AU" sz="1100" b="0" i="0" u="none">
                  <a:latin typeface="Cambria Math" panose="02040503050406030204" pitchFamily="18" charset="0"/>
                </a:rPr>
                <a:t>^</a:t>
              </a:r>
              <a:r>
                <a:rPr lang="en-AU" sz="1100" b="0" i="0" u="none">
                  <a:latin typeface="Cambria Math"/>
                </a:rPr>
                <a:t>𝑥</a:t>
              </a:r>
              <a:r>
                <a:rPr lang="en-AU" sz="1100" b="0" i="0" u="none">
                  <a:latin typeface="Cambria Math" panose="02040503050406030204" pitchFamily="18" charset="0"/>
                </a:rPr>
                <a:t> 〖</a:t>
              </a:r>
              <a:r>
                <a:rPr lang="en-AU" sz="1100" b="0" i="0" u="none">
                  <a:latin typeface="Cambria Math"/>
                </a:rPr>
                <a:t>𝑘</a:t>
              </a:r>
              <a:r>
                <a:rPr lang="en-AU" sz="1100" b="0" i="0" u="none">
                  <a:latin typeface="Cambria Math" panose="02040503050406030204" pitchFamily="18" charset="0"/>
                </a:rPr>
                <a:t>_</a:t>
              </a:r>
              <a:r>
                <a:rPr lang="en-AU" sz="1100" b="0" i="0" u="none">
                  <a:latin typeface="Cambria Math"/>
                </a:rPr>
                <a:t>𝑇𝑃</a:t>
              </a:r>
              <a:r>
                <a:rPr lang="en-AU" sz="1100" b="0" i="0" u="none">
                  <a:latin typeface="Cambria Math" panose="02040503050406030204" pitchFamily="18" charset="0"/>
                </a:rPr>
                <a:t> </a:t>
              </a:r>
              <a:r>
                <a:rPr lang="en-AU" sz="1100" b="0" i="0" u="none">
                  <a:latin typeface="Cambria Math"/>
                </a:rPr>
                <a:t>𝑘</a:t>
              </a:r>
              <a:r>
                <a:rPr lang="en-AU" sz="1100" b="0" i="0" u="none">
                  <a:latin typeface="Cambria Math" panose="02040503050406030204" pitchFamily="18" charset="0"/>
                </a:rPr>
                <a:t>_</a:t>
              </a:r>
              <a:r>
                <a:rPr lang="en-AU" sz="1100" b="0" i="0" u="none">
                  <a:latin typeface="Cambria Math"/>
                </a:rPr>
                <a:t>𝑒𝑙𝑒𝑐</a:t>
              </a:r>
              <a:r>
                <a:rPr lang="en-AU" sz="1100" b="0" i="0" u="none">
                  <a:latin typeface="Cambria Math" panose="02040503050406030204" pitchFamily="18" charset="0"/>
                </a:rPr>
                <a:t> </a:t>
              </a:r>
              <a:r>
                <a:rPr lang="en-AU" sz="1100" b="0" i="0" u="none">
                  <a:latin typeface="Cambria Math"/>
                </a:rPr>
                <a:t>𝑘</a:t>
              </a:r>
              <a:r>
                <a:rPr lang="en-AU" sz="1100" b="0" i="0" u="none">
                  <a:latin typeface="Cambria Math" panose="02040503050406030204" pitchFamily="18" charset="0"/>
                </a:rPr>
                <a:t>_</a:t>
              </a:r>
              <a:r>
                <a:rPr lang="en-AU" sz="1100" b="0" i="0" u="none">
                  <a:latin typeface="Cambria Math"/>
                </a:rPr>
                <a:t>𝑝𝑜𝑙</a:t>
              </a:r>
              <a:r>
                <a:rPr lang="en-AU" sz="1100" b="0" i="0" u="none">
                  <a:latin typeface="Cambria Math" panose="02040503050406030204" pitchFamily="18" charset="0"/>
                </a:rPr>
                <a:t> </a:t>
              </a:r>
              <a:r>
                <a:rPr lang="en-AU" sz="1100" b="0" i="0" u="none">
                  <a:latin typeface="Cambria Math"/>
                </a:rPr>
                <a:t>𝑘</a:t>
              </a:r>
              <a:r>
                <a:rPr lang="en-AU" sz="1100" b="0" i="0" u="none">
                  <a:latin typeface="Cambria Math" panose="02040503050406030204" pitchFamily="18" charset="0"/>
                </a:rPr>
                <a:t>_</a:t>
              </a:r>
              <a:r>
                <a:rPr lang="en-AU" sz="1100" b="0" i="0" u="none">
                  <a:latin typeface="Cambria Math"/>
                </a:rPr>
                <a:t>𝑠 𝑁</a:t>
              </a:r>
              <a:r>
                <a:rPr lang="en-AU" sz="1100" b="0" i="0" u="none">
                  <a:latin typeface="Cambria Math" panose="02040503050406030204" pitchFamily="18" charset="0"/>
                </a:rPr>
                <a:t>〗_(</a:t>
              </a:r>
              <a:r>
                <a:rPr lang="en-AU" sz="1100" b="0" i="0" u="none">
                  <a:latin typeface="Cambria Math"/>
                </a:rPr>
                <a:t>𝐷,𝑤,𝑄</a:t>
              </a:r>
              <a:r>
                <a:rPr lang="en-AU" sz="1100" b="0" i="0" u="none">
                  <a:latin typeface="Cambria Math" panose="02040503050406030204" pitchFamily="18" charset="0"/>
                </a:rPr>
                <a:t>_</a:t>
              </a:r>
              <a:r>
                <a:rPr lang="en-AU" sz="1100" b="0" i="0" u="none">
                  <a:latin typeface="Cambria Math"/>
                </a:rPr>
                <a:t>𝑐𝑟𝑜𝑠𝑠</a:t>
              </a:r>
              <a:r>
                <a:rPr lang="en-AU" sz="1100" b="0" i="0" u="none">
                  <a:latin typeface="Cambria Math" panose="02040503050406030204" pitchFamily="18" charset="0"/>
                </a:rPr>
                <a:t>)^</a:t>
              </a:r>
              <a:r>
                <a:rPr lang="en-AU" sz="1100" b="0" i="0" u="none">
                  <a:latin typeface="Cambria Math"/>
                </a:rPr>
                <a:t>𝑥</a:t>
              </a:r>
              <a:r>
                <a:rPr lang="en-AU" sz="1100" b="0" i="0" u="none">
                  <a:solidFill>
                    <a:schemeClr val="tx1"/>
                  </a:solidFill>
                  <a:effectLst/>
                  <a:latin typeface="Cambria Math" panose="02040503050406030204" pitchFamily="18" charset="0"/>
                  <a:ea typeface="+mn-ea"/>
                  <a:cs typeface="+mn-cs"/>
                </a:rPr>
                <a:t> </a:t>
              </a:r>
              <a:r>
                <a:rPr lang="en-AU" sz="1100" b="0" i="0">
                  <a:solidFill>
                    <a:schemeClr val="tx1"/>
                  </a:solidFill>
                  <a:effectLst/>
                  <a:latin typeface="Cambria Math"/>
                  <a:ea typeface="+mn-ea"/>
                  <a:cs typeface="+mn-cs"/>
                </a:rPr>
                <a:t>𝑘</a:t>
              </a:r>
              <a:r>
                <a:rPr lang="en-AU" sz="1100" b="0" i="0">
                  <a:solidFill>
                    <a:schemeClr val="tx1"/>
                  </a:solidFill>
                  <a:effectLst/>
                  <a:latin typeface="Cambria Math" panose="02040503050406030204" pitchFamily="18" charset="0"/>
                  <a:ea typeface="+mn-ea"/>
                  <a:cs typeface="+mn-cs"/>
                </a:rPr>
                <a:t>_(</a:t>
              </a:r>
              <a:r>
                <a:rPr lang="en-AU" sz="1100" b="0" i="0">
                  <a:solidFill>
                    <a:schemeClr val="tx1"/>
                  </a:solidFill>
                  <a:effectLst/>
                  <a:latin typeface="Cambria Math"/>
                  <a:ea typeface="+mn-ea"/>
                  <a:cs typeface="+mn-cs"/>
                </a:rPr>
                <a:t>𝑄</a:t>
              </a:r>
              <a:r>
                <a:rPr lang="en-AU" sz="1100" b="0" i="0" baseline="0">
                  <a:solidFill>
                    <a:schemeClr val="tx1"/>
                  </a:solidFill>
                  <a:effectLst/>
                  <a:latin typeface="Cambria Math"/>
                  <a:ea typeface="+mn-ea"/>
                  <a:cs typeface="+mn-cs"/>
                </a:rPr>
                <a:t>,𝑄</a:t>
              </a:r>
              <a:r>
                <a:rPr lang="en-AU" sz="1100" b="0" i="0" baseline="0">
                  <a:solidFill>
                    <a:schemeClr val="tx1"/>
                  </a:solidFill>
                  <a:effectLst/>
                  <a:latin typeface="Cambria Math" panose="02040503050406030204" pitchFamily="18" charset="0"/>
                  <a:ea typeface="+mn-ea"/>
                  <a:cs typeface="+mn-cs"/>
                </a:rPr>
                <a:t>_</a:t>
              </a:r>
              <a:r>
                <a:rPr lang="en-AU" sz="1100" b="0" i="0" baseline="0">
                  <a:solidFill>
                    <a:schemeClr val="tx1"/>
                  </a:solidFill>
                  <a:effectLst/>
                  <a:latin typeface="Cambria Math"/>
                  <a:ea typeface="+mn-ea"/>
                  <a:cs typeface="+mn-cs"/>
                </a:rPr>
                <a:t>𝑐𝑟𝑜𝑠𝑠</a:t>
              </a:r>
              <a:r>
                <a:rPr lang="en-AU" sz="1100" b="0" i="0" baseline="0">
                  <a:solidFill>
                    <a:schemeClr val="tx1"/>
                  </a:solidFill>
                  <a:effectLst/>
                  <a:latin typeface="Cambria Math" panose="02040503050406030204" pitchFamily="18" charset="0"/>
                  <a:ea typeface="+mn-ea"/>
                  <a:cs typeface="+mn-cs"/>
                </a:rPr>
                <a:t>)^</a:t>
              </a:r>
              <a:r>
                <a:rPr lang="en-AU" sz="1100" b="0" i="0">
                  <a:solidFill>
                    <a:schemeClr val="tx1"/>
                  </a:solidFill>
                  <a:effectLst/>
                  <a:latin typeface="Cambria Math"/>
                  <a:ea typeface="+mn-ea"/>
                  <a:cs typeface="+mn-cs"/>
                </a:rPr>
                <a:t>𝑥</a:t>
              </a:r>
              <a:endParaRPr lang="en-AU" sz="1100" u="none"/>
            </a:p>
          </xdr:txBody>
        </xdr:sp>
      </mc:Fallback>
    </mc:AlternateContent>
    <xdr:clientData/>
  </xdr:oneCellAnchor>
  <xdr:oneCellAnchor>
    <xdr:from>
      <xdr:col>1</xdr:col>
      <xdr:colOff>168275</xdr:colOff>
      <xdr:row>216</xdr:row>
      <xdr:rowOff>41275</xdr:rowOff>
    </xdr:from>
    <xdr:ext cx="577850" cy="323980"/>
    <mc:AlternateContent xmlns:mc="http://schemas.openxmlformats.org/markup-compatibility/2006" xmlns:a14="http://schemas.microsoft.com/office/drawing/2010/main">
      <mc:Choice Requires="a14">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466725" y="53901975"/>
              <a:ext cx="577850"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Group"/>
                  </m:oMathParaPr>
                  <m:oMath xmlns:m="http://schemas.openxmlformats.org/officeDocument/2006/math">
                    <m:sSubSup>
                      <m:sSubSupPr>
                        <m:ctrlPr>
                          <a:rPr lang="en-AU" sz="1100" i="1" u="none">
                            <a:latin typeface="Cambria Math" panose="02040503050406030204" pitchFamily="18" charset="0"/>
                          </a:rPr>
                        </m:ctrlPr>
                      </m:sSubSupPr>
                      <m:e>
                        <m:r>
                          <a:rPr lang="en-AU" sz="1100" b="0" i="1" u="none">
                            <a:latin typeface="Cambria Math"/>
                          </a:rPr>
                          <m:t>𝐷</m:t>
                        </m:r>
                      </m:e>
                      <m:sub>
                        <m:r>
                          <a:rPr lang="en-AU" sz="1100" b="0" i="1" u="none">
                            <a:latin typeface="Cambria Math"/>
                          </a:rPr>
                          <m:t>𝑤</m:t>
                        </m:r>
                        <m:r>
                          <a:rPr lang="en-AU" sz="1100" b="0" i="1" u="none">
                            <a:latin typeface="Cambria Math"/>
                          </a:rPr>
                          <m:t>,</m:t>
                        </m:r>
                        <m:r>
                          <a:rPr lang="en-AU" sz="1100" b="0" i="1" u="none">
                            <a:latin typeface="Cambria Math"/>
                          </a:rPr>
                          <m:t>𝑄</m:t>
                        </m:r>
                      </m:sub>
                      <m:sup>
                        <m:r>
                          <a:rPr lang="en-AU" sz="1100" b="0" i="1" u="none">
                            <a:latin typeface="Cambria Math" panose="02040503050406030204" pitchFamily="18" charset="0"/>
                          </a:rPr>
                          <m:t>𝑥</m:t>
                        </m:r>
                      </m:sup>
                    </m:sSubSup>
                  </m:oMath>
                </m:oMathPara>
              </a14:m>
              <a:endParaRPr lang="en-AU" sz="1100" u="none"/>
            </a:p>
          </xdr:txBody>
        </xdr:sp>
      </mc:Choice>
      <mc:Fallback xmlns="">
        <xdr:sp macro="" textlink="">
          <xdr:nvSpPr>
            <xdr:cNvPr id="24" name="TextBox 23"/>
            <xdr:cNvSpPr txBox="1"/>
          </xdr:nvSpPr>
          <xdr:spPr>
            <a:xfrm>
              <a:off x="466725" y="53901975"/>
              <a:ext cx="577850"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AU" sz="1100" b="0" i="0" u="none">
                  <a:latin typeface="Cambria Math"/>
                </a:rPr>
                <a:t>𝐷</a:t>
              </a:r>
              <a:r>
                <a:rPr lang="en-AU" sz="1100" b="0" i="0" u="none">
                  <a:latin typeface="Cambria Math" panose="02040503050406030204" pitchFamily="18" charset="0"/>
                </a:rPr>
                <a:t>_(</a:t>
              </a:r>
              <a:r>
                <a:rPr lang="en-AU" sz="1100" b="0" i="0" u="none">
                  <a:latin typeface="Cambria Math"/>
                </a:rPr>
                <a:t>𝑤,𝑄</a:t>
              </a:r>
              <a:r>
                <a:rPr lang="en-AU" sz="1100" b="0" i="0" u="none">
                  <a:latin typeface="Cambria Math" panose="02040503050406030204" pitchFamily="18" charset="0"/>
                </a:rPr>
                <a:t>)^𝑥</a:t>
              </a:r>
              <a:endParaRPr lang="en-AU" sz="1100" u="none"/>
            </a:p>
          </xdr:txBody>
        </xdr:sp>
      </mc:Fallback>
    </mc:AlternateContent>
    <xdr:clientData/>
  </xdr:oneCellAnchor>
  <xdr:oneCellAnchor>
    <xdr:from>
      <xdr:col>1</xdr:col>
      <xdr:colOff>196850</xdr:colOff>
      <xdr:row>216</xdr:row>
      <xdr:rowOff>419100</xdr:rowOff>
    </xdr:from>
    <xdr:ext cx="426374" cy="264560"/>
    <mc:AlternateContent xmlns:mc="http://schemas.openxmlformats.org/markup-compatibility/2006" xmlns:a14="http://schemas.microsoft.com/office/drawing/2010/main">
      <mc:Choice Requires="a14">
        <xdr:sp macro="" textlink="">
          <xdr:nvSpPr>
            <xdr:cNvPr id="25" name="TextBox 24">
              <a:extLst>
                <a:ext uri="{FF2B5EF4-FFF2-40B4-BE49-F238E27FC236}">
                  <a16:creationId xmlns:a16="http://schemas.microsoft.com/office/drawing/2014/main" id="{00000000-0008-0000-1200-000019000000}"/>
                </a:ext>
              </a:extLst>
            </xdr:cNvPr>
            <xdr:cNvSpPr txBox="1"/>
          </xdr:nvSpPr>
          <xdr:spPr>
            <a:xfrm>
              <a:off x="495300" y="54273450"/>
              <a:ext cx="40957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r>
                      <a:rPr lang="en-AU" sz="1100" b="0" i="1">
                        <a:latin typeface="Cambria Math"/>
                      </a:rPr>
                      <m:t>𝑄</m:t>
                    </m:r>
                  </m:oMath>
                </m:oMathPara>
              </a14:m>
              <a:endParaRPr lang="en-AU" sz="1100"/>
            </a:p>
          </xdr:txBody>
        </xdr:sp>
      </mc:Choice>
      <mc:Fallback xmlns="">
        <xdr:sp macro="" textlink="">
          <xdr:nvSpPr>
            <xdr:cNvPr id="25" name="TextBox 24"/>
            <xdr:cNvSpPr txBox="1"/>
          </xdr:nvSpPr>
          <xdr:spPr>
            <a:xfrm xmlns:a="http://schemas.openxmlformats.org/drawingml/2006/main">
              <a:off x="495300" y="54273450"/>
              <a:ext cx="409575" cy="264560"/>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spAutoFit/>
            </a:bodyPr>
            <a:lstStyle xmlns:a="http://schemas.openxmlformats.org/drawingml/2006/main"/>
            <a:p xmlns:a="http://schemas.openxmlformats.org/drawingml/2006/main">
              <a:pPr/>
              <a:r>
                <a:rPr lang="en-AU" sz="1100" b="0" i="0">
                  <a:latin typeface="Cambria Math"/>
                </a:rPr>
                <a:t>𝑄</a:t>
              </a:r>
              <a:endParaRPr lang="en-AU" sz="1100"/>
            </a:p>
          </xdr:txBody>
        </xdr:sp>
      </mc:Fallback>
    </mc:AlternateContent>
    <xdr:clientData/>
  </xdr:oneCellAnchor>
  <xdr:oneCellAnchor>
    <xdr:from>
      <xdr:col>1</xdr:col>
      <xdr:colOff>193675</xdr:colOff>
      <xdr:row>218</xdr:row>
      <xdr:rowOff>66675</xdr:rowOff>
    </xdr:from>
    <xdr:ext cx="464255" cy="317500"/>
    <mc:AlternateContent xmlns:mc="http://schemas.openxmlformats.org/markup-compatibility/2006" xmlns:a14="http://schemas.microsoft.com/office/drawing/2010/main">
      <mc:Choice Requires="a14">
        <xdr:sp macro="" textlink="">
          <xdr:nvSpPr>
            <xdr:cNvPr id="29" name="TextBox 28">
              <a:extLst>
                <a:ext uri="{FF2B5EF4-FFF2-40B4-BE49-F238E27FC236}">
                  <a16:creationId xmlns:a16="http://schemas.microsoft.com/office/drawing/2014/main" id="{00000000-0008-0000-1200-00001D000000}"/>
                </a:ext>
              </a:extLst>
            </xdr:cNvPr>
            <xdr:cNvSpPr txBox="1"/>
          </xdr:nvSpPr>
          <xdr:spPr>
            <a:xfrm>
              <a:off x="485775" y="54587775"/>
              <a:ext cx="466725"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Group"/>
                  </m:oMathParaPr>
                  <m:oMath xmlns:m="http://schemas.openxmlformats.org/officeDocument/2006/math">
                    <m:sSubSup>
                      <m:sSubSupPr>
                        <m:ctrlPr>
                          <a:rPr lang="en-AU" sz="1100" b="0" i="1" u="none">
                            <a:latin typeface="Cambria Math" panose="02040503050406030204" pitchFamily="18" charset="0"/>
                          </a:rPr>
                        </m:ctrlPr>
                      </m:sSubSupPr>
                      <m:e>
                        <m:r>
                          <a:rPr lang="en-AU" sz="1100" b="0" i="1" u="none">
                            <a:latin typeface="Cambria Math"/>
                          </a:rPr>
                          <m:t>𝑀</m:t>
                        </m:r>
                      </m:e>
                      <m:sub>
                        <m:r>
                          <a:rPr lang="en-AU" sz="1100" b="0" i="1" u="none">
                            <a:latin typeface="Cambria Math"/>
                          </a:rPr>
                          <m:t>𝑄</m:t>
                        </m:r>
                      </m:sub>
                      <m:sup>
                        <m:r>
                          <a:rPr lang="en-AU" sz="1100" b="0" i="1" u="none">
                            <a:latin typeface="Cambria Math"/>
                          </a:rPr>
                          <m:t>𝑥</m:t>
                        </m:r>
                      </m:sup>
                    </m:sSubSup>
                  </m:oMath>
                </m:oMathPara>
              </a14:m>
              <a:endParaRPr lang="en-AU" sz="1100" u="none"/>
            </a:p>
          </xdr:txBody>
        </xdr:sp>
      </mc:Choice>
      <mc:Fallback xmlns="">
        <xdr:sp macro="" textlink="">
          <xdr:nvSpPr>
            <xdr:cNvPr id="29" name="TextBox 28"/>
            <xdr:cNvSpPr txBox="1"/>
          </xdr:nvSpPr>
          <xdr:spPr>
            <a:xfrm xmlns:a="http://schemas.openxmlformats.org/drawingml/2006/main">
              <a:off x="485775" y="54587775"/>
              <a:ext cx="466725" cy="317500"/>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noAutofit/>
            </a:bodyPr>
            <a:lstStyle xmlns:a="http://schemas.openxmlformats.org/drawingml/2006/main"/>
            <a:p xmlns:a="http://schemas.openxmlformats.org/drawingml/2006/main">
              <a:pPr/>
              <a:r>
                <a:rPr lang="en-AU" sz="1100" b="0" i="0" u="none">
                  <a:latin typeface="Cambria Math"/>
                </a:rPr>
                <a:t>𝑀</a:t>
              </a:r>
              <a:r>
                <a:rPr lang="en-AU" sz="1100" b="0" i="0" u="none">
                  <a:latin typeface="Cambria Math" panose="02040503050406030204" pitchFamily="18" charset="0"/>
                </a:rPr>
                <a:t>_</a:t>
              </a:r>
              <a:r>
                <a:rPr lang="en-AU" sz="1100" b="0" i="0" u="none">
                  <a:latin typeface="Cambria Math"/>
                </a:rPr>
                <a:t>𝑄</a:t>
              </a:r>
              <a:r>
                <a:rPr lang="en-AU" sz="1100" b="0" i="0" u="none">
                  <a:latin typeface="Cambria Math" panose="02040503050406030204" pitchFamily="18" charset="0"/>
                </a:rPr>
                <a:t>^</a:t>
              </a:r>
              <a:r>
                <a:rPr lang="en-AU" sz="1100" b="0" i="0" u="none">
                  <a:latin typeface="Cambria Math"/>
                </a:rPr>
                <a:t>𝑥</a:t>
              </a:r>
              <a:endParaRPr lang="en-AU" sz="1100" u="none"/>
            </a:p>
          </xdr:txBody>
        </xdr:sp>
      </mc:Fallback>
    </mc:AlternateContent>
    <xdr:clientData/>
  </xdr:oneCellAnchor>
  <xdr:oneCellAnchor>
    <xdr:from>
      <xdr:col>1</xdr:col>
      <xdr:colOff>231775</xdr:colOff>
      <xdr:row>219</xdr:row>
      <xdr:rowOff>66675</xdr:rowOff>
    </xdr:from>
    <xdr:ext cx="452670" cy="317500"/>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533400" y="55016400"/>
              <a:ext cx="444500"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Group"/>
                  </m:oMathParaPr>
                  <m:oMath xmlns:m="http://schemas.openxmlformats.org/officeDocument/2006/math">
                    <m:sSub>
                      <m:sSubPr>
                        <m:ctrlPr>
                          <a:rPr lang="en-AU" sz="1100" i="1" u="none">
                            <a:latin typeface="Cambria Math" panose="02040503050406030204" pitchFamily="18" charset="0"/>
                          </a:rPr>
                        </m:ctrlPr>
                      </m:sSubPr>
                      <m:e>
                        <m:r>
                          <a:rPr lang="en-AU" sz="1100" b="0" i="1" u="none">
                            <a:latin typeface="Cambria Math"/>
                          </a:rPr>
                          <m:t>𝑘</m:t>
                        </m:r>
                      </m:e>
                      <m:sub>
                        <m:r>
                          <a:rPr lang="en-AU" sz="1100" b="0" i="1" u="none">
                            <a:latin typeface="Cambria Math"/>
                          </a:rPr>
                          <m:t>𝑇𝑃</m:t>
                        </m:r>
                      </m:sub>
                    </m:sSub>
                  </m:oMath>
                </m:oMathPara>
              </a14:m>
              <a:endParaRPr lang="en-AU" sz="1100" u="none"/>
            </a:p>
          </xdr:txBody>
        </xdr:sp>
      </mc:Choice>
      <mc:Fallback xmlns="">
        <xdr:sp macro="" textlink="">
          <xdr:nvSpPr>
            <xdr:cNvPr id="38" name="TextBox 37"/>
            <xdr:cNvSpPr txBox="1"/>
          </xdr:nvSpPr>
          <xdr:spPr>
            <a:xfrm xmlns:a="http://schemas.openxmlformats.org/drawingml/2006/main">
              <a:off x="533400" y="55016400"/>
              <a:ext cx="444500" cy="317500"/>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noAutofit/>
            </a:bodyPr>
            <a:lstStyle xmlns:a="http://schemas.openxmlformats.org/drawingml/2006/main"/>
            <a:p xmlns:a="http://schemas.openxmlformats.org/drawingml/2006/main">
              <a:pPr/>
              <a:r>
                <a:rPr lang="en-AU" sz="1100" b="0" i="0" u="none">
                  <a:latin typeface="Cambria Math"/>
                </a:rPr>
                <a:t>𝑘</a:t>
              </a:r>
              <a:r>
                <a:rPr lang="en-AU" sz="1100" b="0" i="0" u="none">
                  <a:latin typeface="Cambria Math" panose="02040503050406030204" pitchFamily="18" charset="0"/>
                </a:rPr>
                <a:t>_</a:t>
              </a:r>
              <a:r>
                <a:rPr lang="en-AU" sz="1100" b="0" i="0" u="none">
                  <a:latin typeface="Cambria Math"/>
                </a:rPr>
                <a:t>𝑇𝑃</a:t>
              </a:r>
              <a:endParaRPr lang="en-AU" sz="1100" u="none"/>
            </a:p>
          </xdr:txBody>
        </xdr:sp>
      </mc:Fallback>
    </mc:AlternateContent>
    <xdr:clientData/>
  </xdr:oneCellAnchor>
  <xdr:oneCellAnchor>
    <xdr:from>
      <xdr:col>1</xdr:col>
      <xdr:colOff>250825</xdr:colOff>
      <xdr:row>220</xdr:row>
      <xdr:rowOff>9525</xdr:rowOff>
    </xdr:from>
    <xdr:ext cx="425263" cy="317500"/>
    <mc:AlternateContent xmlns:mc="http://schemas.openxmlformats.org/markup-compatibility/2006" xmlns:a14="http://schemas.microsoft.com/office/drawing/2010/main">
      <mc:Choice Requires="a14">
        <xdr:sp macro="" textlink="">
          <xdr:nvSpPr>
            <xdr:cNvPr id="39" name="TextBox 38">
              <a:extLst>
                <a:ext uri="{FF2B5EF4-FFF2-40B4-BE49-F238E27FC236}">
                  <a16:creationId xmlns:a16="http://schemas.microsoft.com/office/drawing/2014/main" id="{00000000-0008-0000-1200-000027000000}"/>
                </a:ext>
              </a:extLst>
            </xdr:cNvPr>
            <xdr:cNvSpPr txBox="1"/>
          </xdr:nvSpPr>
          <xdr:spPr>
            <a:xfrm>
              <a:off x="542925" y="55387875"/>
              <a:ext cx="438150"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Group"/>
                  </m:oMathParaPr>
                  <m:oMath xmlns:m="http://schemas.openxmlformats.org/officeDocument/2006/math">
                    <m:sSub>
                      <m:sSubPr>
                        <m:ctrlPr>
                          <a:rPr lang="en-AU" sz="1100" i="1" u="none">
                            <a:latin typeface="Cambria Math" panose="02040503050406030204" pitchFamily="18" charset="0"/>
                          </a:rPr>
                        </m:ctrlPr>
                      </m:sSubPr>
                      <m:e>
                        <m:r>
                          <a:rPr lang="en-AU" sz="1100" b="0" i="1" u="none">
                            <a:latin typeface="Cambria Math"/>
                          </a:rPr>
                          <m:t>𝑘</m:t>
                        </m:r>
                      </m:e>
                      <m:sub>
                        <m:r>
                          <a:rPr lang="en-AU" sz="1100" b="0" i="1" u="none">
                            <a:latin typeface="Cambria Math"/>
                          </a:rPr>
                          <m:t>𝑒𝑙𝑒𝑐</m:t>
                        </m:r>
                      </m:sub>
                    </m:sSub>
                  </m:oMath>
                </m:oMathPara>
              </a14:m>
              <a:endParaRPr lang="en-AU" sz="1100" u="none"/>
            </a:p>
          </xdr:txBody>
        </xdr:sp>
      </mc:Choice>
      <mc:Fallback xmlns="">
        <xdr:sp macro="" textlink="">
          <xdr:nvSpPr>
            <xdr:cNvPr id="39" name="TextBox 38"/>
            <xdr:cNvSpPr txBox="1"/>
          </xdr:nvSpPr>
          <xdr:spPr>
            <a:xfrm xmlns:a="http://schemas.openxmlformats.org/drawingml/2006/main">
              <a:off x="542925" y="55387875"/>
              <a:ext cx="438150" cy="317500"/>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noAutofit/>
            </a:bodyPr>
            <a:lstStyle xmlns:a="http://schemas.openxmlformats.org/drawingml/2006/main"/>
            <a:p xmlns:a="http://schemas.openxmlformats.org/drawingml/2006/main">
              <a:pPr/>
              <a:r>
                <a:rPr lang="en-AU" sz="1100" b="0" i="0" u="none">
                  <a:latin typeface="Cambria Math"/>
                </a:rPr>
                <a:t>𝑘</a:t>
              </a:r>
              <a:r>
                <a:rPr lang="en-AU" sz="1100" b="0" i="0" u="none">
                  <a:latin typeface="Cambria Math" panose="02040503050406030204" pitchFamily="18" charset="0"/>
                </a:rPr>
                <a:t>_</a:t>
              </a:r>
              <a:r>
                <a:rPr lang="en-AU" sz="1100" b="0" i="0" u="none">
                  <a:latin typeface="Cambria Math"/>
                </a:rPr>
                <a:t>𝑒𝑙𝑒𝑐</a:t>
              </a:r>
              <a:endParaRPr lang="en-AU" sz="1100" u="none"/>
            </a:p>
          </xdr:txBody>
        </xdr:sp>
      </mc:Fallback>
    </mc:AlternateContent>
    <xdr:clientData/>
  </xdr:oneCellAnchor>
  <xdr:oneCellAnchor>
    <xdr:from>
      <xdr:col>1</xdr:col>
      <xdr:colOff>231775</xdr:colOff>
      <xdr:row>221</xdr:row>
      <xdr:rowOff>79375</xdr:rowOff>
    </xdr:from>
    <xdr:ext cx="446628" cy="323980"/>
    <mc:AlternateContent xmlns:mc="http://schemas.openxmlformats.org/markup-compatibility/2006" xmlns:a14="http://schemas.microsoft.com/office/drawing/2010/main">
      <mc:Choice Requires="a14">
        <xdr:sp macro="" textlink="">
          <xdr:nvSpPr>
            <xdr:cNvPr id="40" name="TextBox 39">
              <a:extLst>
                <a:ext uri="{FF2B5EF4-FFF2-40B4-BE49-F238E27FC236}">
                  <a16:creationId xmlns:a16="http://schemas.microsoft.com/office/drawing/2014/main" id="{00000000-0008-0000-1200-000028000000}"/>
                </a:ext>
              </a:extLst>
            </xdr:cNvPr>
            <xdr:cNvSpPr txBox="1"/>
          </xdr:nvSpPr>
          <xdr:spPr>
            <a:xfrm>
              <a:off x="533400" y="55768875"/>
              <a:ext cx="449263"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Group"/>
                  </m:oMathParaPr>
                  <m:oMath xmlns:m="http://schemas.openxmlformats.org/officeDocument/2006/math">
                    <m:sSub>
                      <m:sSubPr>
                        <m:ctrlPr>
                          <a:rPr lang="en-AU" sz="1100" i="1" u="none">
                            <a:latin typeface="Cambria Math" panose="02040503050406030204" pitchFamily="18" charset="0"/>
                          </a:rPr>
                        </m:ctrlPr>
                      </m:sSubPr>
                      <m:e>
                        <m:r>
                          <a:rPr lang="en-AU" sz="1100" b="0" i="1" u="none">
                            <a:latin typeface="Cambria Math"/>
                          </a:rPr>
                          <m:t>𝑘</m:t>
                        </m:r>
                      </m:e>
                      <m:sub>
                        <m:r>
                          <a:rPr lang="en-AU" sz="1100" b="0" i="1" u="none">
                            <a:latin typeface="Cambria Math"/>
                          </a:rPr>
                          <m:t>𝑝𝑜𝑙</m:t>
                        </m:r>
                      </m:sub>
                    </m:sSub>
                  </m:oMath>
                </m:oMathPara>
              </a14:m>
              <a:endParaRPr lang="en-AU" sz="1100" u="none"/>
            </a:p>
          </xdr:txBody>
        </xdr:sp>
      </mc:Choice>
      <mc:Fallback xmlns="">
        <xdr:sp macro="" textlink="">
          <xdr:nvSpPr>
            <xdr:cNvPr id="40" name="TextBox 39"/>
            <xdr:cNvSpPr txBox="1"/>
          </xdr:nvSpPr>
          <xdr:spPr>
            <a:xfrm xmlns:a="http://schemas.openxmlformats.org/drawingml/2006/main">
              <a:off x="533400" y="55768875"/>
              <a:ext cx="449263" cy="317500"/>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noAutofit/>
            </a:bodyPr>
            <a:lstStyle xmlns:a="http://schemas.openxmlformats.org/drawingml/2006/main"/>
            <a:p xmlns:a="http://schemas.openxmlformats.org/drawingml/2006/main">
              <a:pPr/>
              <a:r>
                <a:rPr lang="en-AU" sz="1100" b="0" i="0" u="none">
                  <a:latin typeface="Cambria Math"/>
                </a:rPr>
                <a:t>𝑘</a:t>
              </a:r>
              <a:r>
                <a:rPr lang="en-AU" sz="1100" b="0" i="0" u="none">
                  <a:latin typeface="Cambria Math" panose="02040503050406030204" pitchFamily="18" charset="0"/>
                </a:rPr>
                <a:t>_</a:t>
              </a:r>
              <a:r>
                <a:rPr lang="en-AU" sz="1100" b="0" i="0" u="none">
                  <a:latin typeface="Cambria Math"/>
                </a:rPr>
                <a:t>𝑝𝑜𝑙</a:t>
              </a:r>
              <a:endParaRPr lang="en-AU" sz="1100" u="none"/>
            </a:p>
          </xdr:txBody>
        </xdr:sp>
      </mc:Fallback>
    </mc:AlternateContent>
    <xdr:clientData/>
  </xdr:oneCellAnchor>
  <xdr:oneCellAnchor>
    <xdr:from>
      <xdr:col>1</xdr:col>
      <xdr:colOff>215900</xdr:colOff>
      <xdr:row>222</xdr:row>
      <xdr:rowOff>41275</xdr:rowOff>
    </xdr:from>
    <xdr:ext cx="382724" cy="323980"/>
    <mc:AlternateContent xmlns:mc="http://schemas.openxmlformats.org/markup-compatibility/2006" xmlns:a14="http://schemas.microsoft.com/office/drawing/2010/main">
      <mc:Choice Requires="a14">
        <xdr:sp macro="" textlink="">
          <xdr:nvSpPr>
            <xdr:cNvPr id="41" name="TextBox 40">
              <a:extLst>
                <a:ext uri="{FF2B5EF4-FFF2-40B4-BE49-F238E27FC236}">
                  <a16:creationId xmlns:a16="http://schemas.microsoft.com/office/drawing/2014/main" id="{00000000-0008-0000-1200-000029000000}"/>
                </a:ext>
              </a:extLst>
            </xdr:cNvPr>
            <xdr:cNvSpPr txBox="1"/>
          </xdr:nvSpPr>
          <xdr:spPr>
            <a:xfrm>
              <a:off x="514350" y="56159400"/>
              <a:ext cx="376237"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Group"/>
                  </m:oMathParaPr>
                  <m:oMath xmlns:m="http://schemas.openxmlformats.org/officeDocument/2006/math">
                    <m:sSub>
                      <m:sSubPr>
                        <m:ctrlPr>
                          <a:rPr lang="en-AU" sz="1100" i="1" u="none">
                            <a:latin typeface="Cambria Math" panose="02040503050406030204" pitchFamily="18" charset="0"/>
                          </a:rPr>
                        </m:ctrlPr>
                      </m:sSubPr>
                      <m:e>
                        <m:r>
                          <a:rPr lang="en-AU" sz="1100" b="0" i="1" u="none">
                            <a:latin typeface="Cambria Math"/>
                          </a:rPr>
                          <m:t>𝑘</m:t>
                        </m:r>
                      </m:e>
                      <m:sub>
                        <m:r>
                          <a:rPr lang="en-AU" sz="1100" b="0" i="1" u="none">
                            <a:latin typeface="Cambria Math"/>
                          </a:rPr>
                          <m:t>𝑠</m:t>
                        </m:r>
                      </m:sub>
                    </m:sSub>
                  </m:oMath>
                </m:oMathPara>
              </a14:m>
              <a:endParaRPr lang="en-AU" sz="1100" u="none"/>
            </a:p>
          </xdr:txBody>
        </xdr:sp>
      </mc:Choice>
      <mc:Fallback xmlns="">
        <xdr:sp macro="" textlink="">
          <xdr:nvSpPr>
            <xdr:cNvPr id="41" name="TextBox 40"/>
            <xdr:cNvSpPr txBox="1"/>
          </xdr:nvSpPr>
          <xdr:spPr>
            <a:xfrm xmlns:a="http://schemas.openxmlformats.org/drawingml/2006/main">
              <a:off x="514350" y="56159400"/>
              <a:ext cx="376237" cy="317500"/>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noAutofit/>
            </a:bodyPr>
            <a:lstStyle xmlns:a="http://schemas.openxmlformats.org/drawingml/2006/main"/>
            <a:p xmlns:a="http://schemas.openxmlformats.org/drawingml/2006/main">
              <a:pPr/>
              <a:r>
                <a:rPr lang="en-AU" sz="1100" b="0" i="0" u="none">
                  <a:latin typeface="Cambria Math"/>
                </a:rPr>
                <a:t>𝑘</a:t>
              </a:r>
              <a:r>
                <a:rPr lang="en-AU" sz="1100" b="0" i="0" u="none">
                  <a:latin typeface="Cambria Math" panose="02040503050406030204" pitchFamily="18" charset="0"/>
                </a:rPr>
                <a:t>_</a:t>
              </a:r>
              <a:r>
                <a:rPr lang="en-AU" sz="1100" b="0" i="0" u="none">
                  <a:latin typeface="Cambria Math"/>
                </a:rPr>
                <a:t>𝑠</a:t>
              </a:r>
              <a:endParaRPr lang="en-AU" sz="1100" u="none"/>
            </a:p>
          </xdr:txBody>
        </xdr:sp>
      </mc:Fallback>
    </mc:AlternateContent>
    <xdr:clientData/>
  </xdr:oneCellAnchor>
  <xdr:oneCellAnchor>
    <xdr:from>
      <xdr:col>1</xdr:col>
      <xdr:colOff>250825</xdr:colOff>
      <xdr:row>223</xdr:row>
      <xdr:rowOff>76200</xdr:rowOff>
    </xdr:from>
    <xdr:ext cx="741864" cy="311150"/>
    <mc:AlternateContent xmlns:mc="http://schemas.openxmlformats.org/markup-compatibility/2006" xmlns:a14="http://schemas.microsoft.com/office/drawing/2010/main">
      <mc:Choice Requires="a14">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542925" y="56702325"/>
              <a:ext cx="744538"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Group"/>
                  </m:oMathParaPr>
                  <m:oMath xmlns:m="http://schemas.openxmlformats.org/officeDocument/2006/math">
                    <m:sSubSup>
                      <m:sSubSupPr>
                        <m:ctrlPr>
                          <a:rPr lang="en-AU" sz="1100" b="0" i="1" u="none">
                            <a:latin typeface="Cambria Math" panose="02040503050406030204" pitchFamily="18" charset="0"/>
                          </a:rPr>
                        </m:ctrlPr>
                      </m:sSubSupPr>
                      <m:e>
                        <m:r>
                          <a:rPr lang="en-AU" sz="1100" b="0" i="1" u="none">
                            <a:latin typeface="Cambria Math"/>
                          </a:rPr>
                          <m:t>𝑁</m:t>
                        </m:r>
                      </m:e>
                      <m:sub>
                        <m:r>
                          <a:rPr lang="en-AU" sz="1100" b="0" i="1" u="none">
                            <a:latin typeface="Cambria Math"/>
                          </a:rPr>
                          <m:t>𝐷</m:t>
                        </m:r>
                        <m:r>
                          <a:rPr lang="en-AU" sz="1100" b="0" i="1" u="none">
                            <a:latin typeface="Cambria Math"/>
                          </a:rPr>
                          <m:t>,</m:t>
                        </m:r>
                        <m:r>
                          <a:rPr lang="en-AU" sz="1100" b="0" i="1" u="none">
                            <a:latin typeface="Cambria Math"/>
                          </a:rPr>
                          <m:t>𝑤</m:t>
                        </m:r>
                        <m:r>
                          <a:rPr lang="en-AU" sz="1100" b="0" i="1" u="none">
                            <a:latin typeface="Cambria Math"/>
                          </a:rPr>
                          <m:t>,</m:t>
                        </m:r>
                        <m:sSub>
                          <m:sSubPr>
                            <m:ctrlPr>
                              <a:rPr lang="en-AU" sz="1100" b="0" i="1" u="none">
                                <a:latin typeface="Cambria Math" panose="02040503050406030204" pitchFamily="18" charset="0"/>
                              </a:rPr>
                            </m:ctrlPr>
                          </m:sSubPr>
                          <m:e>
                            <m:r>
                              <a:rPr lang="en-AU" sz="1100" b="0" i="1" u="none">
                                <a:latin typeface="Cambria Math"/>
                              </a:rPr>
                              <m:t>𝑄</m:t>
                            </m:r>
                          </m:e>
                          <m:sub>
                            <m:r>
                              <a:rPr lang="en-AU" sz="1100" b="0" i="1" u="none">
                                <a:latin typeface="Cambria Math"/>
                              </a:rPr>
                              <m:t>𝑐𝑟𝑜𝑠𝑠</m:t>
                            </m:r>
                          </m:sub>
                        </m:sSub>
                      </m:sub>
                      <m:sup>
                        <m:r>
                          <a:rPr lang="en-AU" sz="1100" b="0" i="1" u="none">
                            <a:latin typeface="Cambria Math"/>
                          </a:rPr>
                          <m:t>𝑥</m:t>
                        </m:r>
                      </m:sup>
                    </m:sSubSup>
                  </m:oMath>
                </m:oMathPara>
              </a14:m>
              <a:endParaRPr lang="en-AU" sz="1100" u="none"/>
            </a:p>
          </xdr:txBody>
        </xdr:sp>
      </mc:Choice>
      <mc:Fallback xmlns="">
        <xdr:sp macro="" textlink="">
          <xdr:nvSpPr>
            <xdr:cNvPr id="42" name="TextBox 41"/>
            <xdr:cNvSpPr txBox="1"/>
          </xdr:nvSpPr>
          <xdr:spPr>
            <a:xfrm xmlns:a="http://schemas.openxmlformats.org/drawingml/2006/main">
              <a:off x="542925" y="56702325"/>
              <a:ext cx="744538" cy="317500"/>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noAutofit/>
            </a:bodyPr>
            <a:lstStyle xmlns:a="http://schemas.openxmlformats.org/drawingml/2006/main"/>
            <a:p xmlns:a="http://schemas.openxmlformats.org/drawingml/2006/main">
              <a:pPr/>
              <a:r>
                <a:rPr lang="en-AU" sz="1100" b="0" i="0" u="none">
                  <a:latin typeface="Cambria Math"/>
                </a:rPr>
                <a:t>𝑁</a:t>
              </a:r>
              <a:r>
                <a:rPr lang="en-AU" sz="1100" b="0" i="0" u="none">
                  <a:latin typeface="Cambria Math" panose="02040503050406030204" pitchFamily="18" charset="0"/>
                </a:rPr>
                <a:t>_(</a:t>
              </a:r>
              <a:r>
                <a:rPr lang="en-AU" sz="1100" b="0" i="0" u="none">
                  <a:latin typeface="Cambria Math"/>
                </a:rPr>
                <a:t>𝐷,𝑤,𝑄</a:t>
              </a:r>
              <a:r>
                <a:rPr lang="en-AU" sz="1100" b="0" i="0" u="none">
                  <a:latin typeface="Cambria Math" panose="02040503050406030204" pitchFamily="18" charset="0"/>
                </a:rPr>
                <a:t>_</a:t>
              </a:r>
              <a:r>
                <a:rPr lang="en-AU" sz="1100" b="0" i="0" u="none">
                  <a:latin typeface="Cambria Math"/>
                </a:rPr>
                <a:t>𝑐𝑟𝑜𝑠𝑠</a:t>
              </a:r>
              <a:r>
                <a:rPr lang="en-AU" sz="1100" b="0" i="0" u="none">
                  <a:latin typeface="Cambria Math" panose="02040503050406030204" pitchFamily="18" charset="0"/>
                </a:rPr>
                <a:t>)^</a:t>
              </a:r>
              <a:r>
                <a:rPr lang="en-AU" sz="1100" b="0" i="0" u="none">
                  <a:latin typeface="Cambria Math"/>
                </a:rPr>
                <a:t>𝑥</a:t>
              </a:r>
              <a:endParaRPr lang="en-AU" sz="1100" u="none"/>
            </a:p>
          </xdr:txBody>
        </xdr:sp>
      </mc:Fallback>
    </mc:AlternateContent>
    <xdr:clientData/>
  </xdr:oneCellAnchor>
  <xdr:oneCellAnchor>
    <xdr:from>
      <xdr:col>1</xdr:col>
      <xdr:colOff>215900</xdr:colOff>
      <xdr:row>224</xdr:row>
      <xdr:rowOff>38100</xdr:rowOff>
    </xdr:from>
    <xdr:ext cx="637861" cy="317500"/>
    <mc:AlternateContent xmlns:mc="http://schemas.openxmlformats.org/markup-compatibility/2006" xmlns:a14="http://schemas.microsoft.com/office/drawing/2010/main">
      <mc:Choice Requires="a14">
        <xdr:sp macro="" textlink="">
          <xdr:nvSpPr>
            <xdr:cNvPr id="43" name="TextBox 42">
              <a:extLst>
                <a:ext uri="{FF2B5EF4-FFF2-40B4-BE49-F238E27FC236}">
                  <a16:creationId xmlns:a16="http://schemas.microsoft.com/office/drawing/2014/main" id="{00000000-0008-0000-1200-00002B000000}"/>
                </a:ext>
              </a:extLst>
            </xdr:cNvPr>
            <xdr:cNvSpPr txBox="1"/>
          </xdr:nvSpPr>
          <xdr:spPr>
            <a:xfrm>
              <a:off x="514350" y="57750075"/>
              <a:ext cx="641350"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Group"/>
                  </m:oMathParaPr>
                  <m:oMath xmlns:m="http://schemas.openxmlformats.org/officeDocument/2006/math">
                    <m:sSub>
                      <m:sSubPr>
                        <m:ctrlPr>
                          <a:rPr lang="en-AU" sz="1100" i="1" u="none">
                            <a:latin typeface="Cambria Math" panose="02040503050406030204" pitchFamily="18" charset="0"/>
                          </a:rPr>
                        </m:ctrlPr>
                      </m:sSubPr>
                      <m:e>
                        <m:r>
                          <a:rPr lang="en-AU" sz="1100" b="0" i="1" u="none">
                            <a:latin typeface="Cambria Math"/>
                          </a:rPr>
                          <m:t>𝑄</m:t>
                        </m:r>
                      </m:e>
                      <m:sub>
                        <m:r>
                          <a:rPr lang="en-AU" sz="1100" b="0" i="1" u="none">
                            <a:latin typeface="Cambria Math"/>
                          </a:rPr>
                          <m:t>𝑐𝑟𝑜𝑠𝑠</m:t>
                        </m:r>
                      </m:sub>
                    </m:sSub>
                  </m:oMath>
                </m:oMathPara>
              </a14:m>
              <a:endParaRPr lang="en-AU" sz="1100" u="none"/>
            </a:p>
          </xdr:txBody>
        </xdr:sp>
      </mc:Choice>
      <mc:Fallback xmlns="">
        <xdr:sp macro="" textlink="">
          <xdr:nvSpPr>
            <xdr:cNvPr id="43" name="TextBox 42"/>
            <xdr:cNvSpPr txBox="1"/>
          </xdr:nvSpPr>
          <xdr:spPr>
            <a:xfrm xmlns:a="http://schemas.openxmlformats.org/drawingml/2006/main">
              <a:off x="514350" y="57750075"/>
              <a:ext cx="641350" cy="317500"/>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noAutofit/>
            </a:bodyPr>
            <a:lstStyle xmlns:a="http://schemas.openxmlformats.org/drawingml/2006/main"/>
            <a:p xmlns:a="http://schemas.openxmlformats.org/drawingml/2006/main">
              <a:pPr/>
              <a:r>
                <a:rPr lang="en-AU" sz="1100" b="0" i="0" u="none">
                  <a:latin typeface="Cambria Math"/>
                </a:rPr>
                <a:t>𝑄</a:t>
              </a:r>
              <a:r>
                <a:rPr lang="en-AU" sz="1100" b="0" i="0" u="none">
                  <a:latin typeface="Cambria Math" panose="02040503050406030204" pitchFamily="18" charset="0"/>
                </a:rPr>
                <a:t>_</a:t>
              </a:r>
              <a:r>
                <a:rPr lang="en-AU" sz="1100" b="0" i="0" u="none">
                  <a:latin typeface="Cambria Math"/>
                </a:rPr>
                <a:t>𝑐𝑟𝑜𝑠𝑠</a:t>
              </a:r>
              <a:endParaRPr lang="en-AU" sz="1100" u="none"/>
            </a:p>
          </xdr:txBody>
        </xdr:sp>
      </mc:Fallback>
    </mc:AlternateContent>
    <xdr:clientData/>
  </xdr:oneCellAnchor>
  <xdr:oneCellAnchor>
    <xdr:from>
      <xdr:col>2</xdr:col>
      <xdr:colOff>0</xdr:colOff>
      <xdr:row>225</xdr:row>
      <xdr:rowOff>0</xdr:rowOff>
    </xdr:from>
    <xdr:ext cx="674688" cy="317500"/>
    <mc:AlternateContent xmlns:mc="http://schemas.openxmlformats.org/markup-compatibility/2006" xmlns:a14="http://schemas.microsoft.com/office/drawing/2010/main">
      <mc:Choice Requires="a14">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590550" y="58321575"/>
              <a:ext cx="674688" cy="3175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Group"/>
                  </m:oMathParaPr>
                  <m:oMath xmlns:m="http://schemas.openxmlformats.org/officeDocument/2006/math">
                    <m:sSubSup>
                      <m:sSubSupPr>
                        <m:ctrlPr>
                          <a:rPr lang="en-AU" sz="1100" i="1">
                            <a:solidFill>
                              <a:schemeClr val="tx1"/>
                            </a:solidFill>
                            <a:effectLst/>
                            <a:latin typeface="Cambria Math" panose="02040503050406030204" pitchFamily="18" charset="0"/>
                            <a:ea typeface="+mn-ea"/>
                            <a:cs typeface="+mn-cs"/>
                          </a:rPr>
                        </m:ctrlPr>
                      </m:sSubSupPr>
                      <m:e>
                        <m:r>
                          <a:rPr lang="en-AU" sz="1100" b="0" i="1">
                            <a:solidFill>
                              <a:schemeClr val="tx1"/>
                            </a:solidFill>
                            <a:effectLst/>
                            <a:latin typeface="Cambria Math"/>
                            <a:ea typeface="+mn-ea"/>
                            <a:cs typeface="+mn-cs"/>
                          </a:rPr>
                          <m:t>𝑘</m:t>
                        </m:r>
                      </m:e>
                      <m:sub>
                        <m:r>
                          <a:rPr lang="en-AU" sz="1100" b="0" i="1">
                            <a:solidFill>
                              <a:schemeClr val="tx1"/>
                            </a:solidFill>
                            <a:effectLst/>
                            <a:latin typeface="Cambria Math"/>
                            <a:ea typeface="+mn-ea"/>
                            <a:cs typeface="+mn-cs"/>
                          </a:rPr>
                          <m:t>𝑄</m:t>
                        </m:r>
                        <m:r>
                          <a:rPr lang="en-AU" sz="1100" b="0" i="1" baseline="0">
                            <a:solidFill>
                              <a:schemeClr val="tx1"/>
                            </a:solidFill>
                            <a:effectLst/>
                            <a:latin typeface="Cambria Math"/>
                            <a:ea typeface="+mn-ea"/>
                            <a:cs typeface="+mn-cs"/>
                          </a:rPr>
                          <m:t>,</m:t>
                        </m:r>
                        <m:sSub>
                          <m:sSubPr>
                            <m:ctrlPr>
                              <a:rPr lang="en-AU" sz="1100" b="0" i="1" baseline="0">
                                <a:solidFill>
                                  <a:schemeClr val="tx1"/>
                                </a:solidFill>
                                <a:effectLst/>
                                <a:latin typeface="Cambria Math" panose="02040503050406030204" pitchFamily="18" charset="0"/>
                                <a:ea typeface="+mn-ea"/>
                                <a:cs typeface="+mn-cs"/>
                              </a:rPr>
                            </m:ctrlPr>
                          </m:sSubPr>
                          <m:e>
                            <m:r>
                              <a:rPr lang="en-AU" sz="1100" b="0" i="1" baseline="0">
                                <a:solidFill>
                                  <a:schemeClr val="tx1"/>
                                </a:solidFill>
                                <a:effectLst/>
                                <a:latin typeface="Cambria Math"/>
                                <a:ea typeface="+mn-ea"/>
                                <a:cs typeface="+mn-cs"/>
                              </a:rPr>
                              <m:t>𝑄</m:t>
                            </m:r>
                          </m:e>
                          <m:sub>
                            <m:r>
                              <a:rPr lang="en-AU" sz="1100" b="0" i="1" baseline="0">
                                <a:solidFill>
                                  <a:schemeClr val="tx1"/>
                                </a:solidFill>
                                <a:effectLst/>
                                <a:latin typeface="Cambria Math"/>
                                <a:ea typeface="+mn-ea"/>
                                <a:cs typeface="+mn-cs"/>
                              </a:rPr>
                              <m:t>𝑐𝑟𝑜𝑠𝑠</m:t>
                            </m:r>
                          </m:sub>
                        </m:sSub>
                      </m:sub>
                      <m:sup>
                        <m:r>
                          <a:rPr lang="en-AU" sz="1100" b="0" i="1">
                            <a:solidFill>
                              <a:schemeClr val="tx1"/>
                            </a:solidFill>
                            <a:effectLst/>
                            <a:latin typeface="Cambria Math"/>
                            <a:ea typeface="+mn-ea"/>
                            <a:cs typeface="+mn-cs"/>
                          </a:rPr>
                          <m:t>𝑥</m:t>
                        </m:r>
                      </m:sup>
                    </m:sSubSup>
                  </m:oMath>
                </m:oMathPara>
              </a14:m>
              <a:endParaRPr lang="en-AU" sz="1100" u="none"/>
            </a:p>
          </xdr:txBody>
        </xdr:sp>
      </mc:Choice>
      <mc:Fallback xmlns="">
        <xdr:sp macro="" textlink="">
          <xdr:nvSpPr>
            <xdr:cNvPr id="44" name="TextBox 43"/>
            <xdr:cNvSpPr txBox="1"/>
          </xdr:nvSpPr>
          <xdr:spPr>
            <a:xfrm xmlns:a="http://schemas.openxmlformats.org/drawingml/2006/main">
              <a:off x="590550" y="58321575"/>
              <a:ext cx="674688" cy="317500"/>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noAutofit/>
            </a:bodyPr>
            <a:lstStyle xmlns:a="http://schemas.openxmlformats.org/drawingml/2006/main"/>
            <a:p xmlns:a="http://schemas.openxmlformats.org/drawingml/2006/main">
              <a:pPr/>
              <a:r>
                <a:rPr lang="en-AU" sz="1100" b="0" i="0">
                  <a:solidFill>
                    <a:schemeClr val="tx1"/>
                  </a:solidFill>
                  <a:effectLst/>
                  <a:latin typeface="Cambria Math"/>
                  <a:ea typeface="+mn-ea"/>
                  <a:cs typeface="+mn-cs"/>
                </a:rPr>
                <a:t>𝑘</a:t>
              </a:r>
              <a:r>
                <a:rPr lang="en-AU" sz="1100" b="0" i="0">
                  <a:solidFill>
                    <a:schemeClr val="tx1"/>
                  </a:solidFill>
                  <a:effectLst/>
                  <a:latin typeface="Cambria Math" panose="02040503050406030204" pitchFamily="18" charset="0"/>
                  <a:ea typeface="+mn-ea"/>
                  <a:cs typeface="+mn-cs"/>
                </a:rPr>
                <a:t>_(</a:t>
              </a:r>
              <a:r>
                <a:rPr lang="en-AU" sz="1100" b="0" i="0">
                  <a:solidFill>
                    <a:schemeClr val="tx1"/>
                  </a:solidFill>
                  <a:effectLst/>
                  <a:latin typeface="Cambria Math"/>
                  <a:ea typeface="+mn-ea"/>
                  <a:cs typeface="+mn-cs"/>
                </a:rPr>
                <a:t>𝑄</a:t>
              </a:r>
              <a:r>
                <a:rPr lang="en-AU" sz="1100" b="0" i="0" baseline="0">
                  <a:solidFill>
                    <a:schemeClr val="tx1"/>
                  </a:solidFill>
                  <a:effectLst/>
                  <a:latin typeface="Cambria Math"/>
                  <a:ea typeface="+mn-ea"/>
                  <a:cs typeface="+mn-cs"/>
                </a:rPr>
                <a:t>,𝑄</a:t>
              </a:r>
              <a:r>
                <a:rPr lang="en-AU" sz="1100" b="0" i="0" baseline="0">
                  <a:solidFill>
                    <a:schemeClr val="tx1"/>
                  </a:solidFill>
                  <a:effectLst/>
                  <a:latin typeface="Cambria Math" panose="02040503050406030204" pitchFamily="18" charset="0"/>
                  <a:ea typeface="+mn-ea"/>
                  <a:cs typeface="+mn-cs"/>
                </a:rPr>
                <a:t>_</a:t>
              </a:r>
              <a:r>
                <a:rPr lang="en-AU" sz="1100" b="0" i="0" baseline="0">
                  <a:solidFill>
                    <a:schemeClr val="tx1"/>
                  </a:solidFill>
                  <a:effectLst/>
                  <a:latin typeface="Cambria Math"/>
                  <a:ea typeface="+mn-ea"/>
                  <a:cs typeface="+mn-cs"/>
                </a:rPr>
                <a:t>𝑐𝑟𝑜𝑠𝑠</a:t>
              </a:r>
              <a:r>
                <a:rPr lang="en-AU" sz="1100" b="0" i="0" baseline="0">
                  <a:solidFill>
                    <a:schemeClr val="tx1"/>
                  </a:solidFill>
                  <a:effectLst/>
                  <a:latin typeface="Cambria Math" panose="02040503050406030204" pitchFamily="18" charset="0"/>
                  <a:ea typeface="+mn-ea"/>
                  <a:cs typeface="+mn-cs"/>
                </a:rPr>
                <a:t>)^</a:t>
              </a:r>
              <a:r>
                <a:rPr lang="en-AU" sz="1100" b="0" i="0">
                  <a:solidFill>
                    <a:schemeClr val="tx1"/>
                  </a:solidFill>
                  <a:effectLst/>
                  <a:latin typeface="Cambria Math"/>
                  <a:ea typeface="+mn-ea"/>
                  <a:cs typeface="+mn-cs"/>
                </a:rPr>
                <a:t>𝑥</a:t>
              </a:r>
              <a:endParaRPr lang="en-AU" sz="1100" u="none"/>
            </a:p>
          </xdr:txBody>
        </xdr:sp>
      </mc:Fallback>
    </mc:AlternateContent>
    <xdr:clientData/>
  </xdr:oneCellAnchor>
  <xdr:oneCellAnchor>
    <xdr:from>
      <xdr:col>1</xdr:col>
      <xdr:colOff>9525</xdr:colOff>
      <xdr:row>226</xdr:row>
      <xdr:rowOff>60325</xdr:rowOff>
    </xdr:from>
    <xdr:ext cx="1469357" cy="665272"/>
    <mc:AlternateContent xmlns:mc="http://schemas.openxmlformats.org/markup-compatibility/2006" xmlns:a14="http://schemas.microsoft.com/office/drawing/2010/main">
      <mc:Choice Requires="a14">
        <xdr:sp macro="" textlink="">
          <xdr:nvSpPr>
            <xdr:cNvPr id="45" name="TextBox 44">
              <a:extLst>
                <a:ext uri="{FF2B5EF4-FFF2-40B4-BE49-F238E27FC236}">
                  <a16:creationId xmlns:a16="http://schemas.microsoft.com/office/drawing/2014/main" id="{00000000-0008-0000-1200-00002D000000}"/>
                </a:ext>
              </a:extLst>
            </xdr:cNvPr>
            <xdr:cNvSpPr txBox="1"/>
          </xdr:nvSpPr>
          <xdr:spPr>
            <a:xfrm>
              <a:off x="304800" y="58826400"/>
              <a:ext cx="1476375" cy="65881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left"/>
                  </m:oMathParaPr>
                  <m:oMath xmlns:m="http://schemas.openxmlformats.org/officeDocument/2006/math">
                    <m:sSubSup>
                      <m:sSubSupPr>
                        <m:ctrlPr>
                          <a:rPr lang="en-AU" sz="1100" b="0" i="1" u="none">
                            <a:latin typeface="Cambria Math" panose="02040503050406030204" pitchFamily="18" charset="0"/>
                          </a:rPr>
                        </m:ctrlPr>
                      </m:sSubSupPr>
                      <m:e>
                        <m:r>
                          <a:rPr lang="en-AU" sz="1100" b="0" i="1" u="none">
                            <a:latin typeface="Cambria Math"/>
                          </a:rPr>
                          <m:t>𝑘</m:t>
                        </m:r>
                      </m:e>
                      <m:sub>
                        <m:r>
                          <a:rPr lang="en-AU" sz="1100" b="0" i="1" u="none">
                            <a:latin typeface="Cambria Math"/>
                          </a:rPr>
                          <m:t>𝑄</m:t>
                        </m:r>
                        <m:r>
                          <a:rPr lang="en-AU" sz="1100" b="0" i="1" u="none">
                            <a:latin typeface="Cambria Math"/>
                          </a:rPr>
                          <m:t>,</m:t>
                        </m:r>
                        <m:sSub>
                          <m:sSubPr>
                            <m:ctrlPr>
                              <a:rPr lang="en-AU" sz="1100" b="0" i="1" u="none">
                                <a:latin typeface="Cambria Math" panose="02040503050406030204" pitchFamily="18" charset="0"/>
                              </a:rPr>
                            </m:ctrlPr>
                          </m:sSubPr>
                          <m:e>
                            <m:r>
                              <a:rPr lang="en-AU" sz="1100" b="0" i="1" u="none">
                                <a:latin typeface="Cambria Math"/>
                              </a:rPr>
                              <m:t>𝑄</m:t>
                            </m:r>
                          </m:e>
                          <m:sub>
                            <m:r>
                              <a:rPr lang="en-AU" sz="1100" b="0" i="1" u="none">
                                <a:latin typeface="Cambria Math"/>
                              </a:rPr>
                              <m:t>𝑐𝑟𝑜𝑠𝑠</m:t>
                            </m:r>
                          </m:sub>
                        </m:sSub>
                      </m:sub>
                      <m:sup>
                        <m:r>
                          <a:rPr lang="en-AU" sz="1100" b="0" i="1" u="none">
                            <a:latin typeface="Cambria Math"/>
                          </a:rPr>
                          <m:t>𝑥</m:t>
                        </m:r>
                      </m:sup>
                    </m:sSubSup>
                    <m:r>
                      <a:rPr lang="en-AU" sz="1100" b="0" i="1" u="none">
                        <a:latin typeface="Cambria Math"/>
                      </a:rPr>
                      <m:t>=</m:t>
                    </m:r>
                    <m:f>
                      <m:fPr>
                        <m:ctrlPr>
                          <a:rPr lang="en-AU" sz="1100" b="0" i="1" u="none">
                            <a:latin typeface="Cambria Math" panose="02040503050406030204" pitchFamily="18" charset="0"/>
                          </a:rPr>
                        </m:ctrlPr>
                      </m:fPr>
                      <m:num>
                        <m:sSubSup>
                          <m:sSubSupPr>
                            <m:ctrlPr>
                              <a:rPr lang="en-AU" sz="1100" b="0" i="1" u="none">
                                <a:latin typeface="Cambria Math" panose="02040503050406030204" pitchFamily="18" charset="0"/>
                              </a:rPr>
                            </m:ctrlPr>
                          </m:sSubSupPr>
                          <m:e>
                            <m:r>
                              <a:rPr lang="en-AU" sz="1100" b="0" i="1" u="none">
                                <a:latin typeface="Cambria Math"/>
                              </a:rPr>
                              <m:t>𝑘</m:t>
                            </m:r>
                          </m:e>
                          <m:sub>
                            <m:r>
                              <a:rPr lang="en-AU" sz="1100" b="0" i="1" u="none">
                                <a:latin typeface="Cambria Math"/>
                              </a:rPr>
                              <m:t>𝑄</m:t>
                            </m:r>
                            <m:r>
                              <a:rPr lang="en-AU" sz="1100" b="0" i="1" u="none">
                                <a:latin typeface="Cambria Math"/>
                              </a:rPr>
                              <m:t>,</m:t>
                            </m:r>
                            <m:sSub>
                              <m:sSubPr>
                                <m:ctrlPr>
                                  <a:rPr lang="en-AU" sz="1100" b="0" i="1" u="none">
                                    <a:latin typeface="Cambria Math" panose="02040503050406030204" pitchFamily="18" charset="0"/>
                                  </a:rPr>
                                </m:ctrlPr>
                              </m:sSubPr>
                              <m:e>
                                <m:r>
                                  <a:rPr lang="en-AU" sz="1100" b="0" i="1" u="none">
                                    <a:latin typeface="Cambria Math"/>
                                  </a:rPr>
                                  <m:t>𝑄</m:t>
                                </m:r>
                              </m:e>
                              <m:sub>
                                <m:r>
                                  <a:rPr lang="en-AU" sz="1100" b="0" i="1" u="none">
                                    <a:latin typeface="Cambria Math"/>
                                  </a:rPr>
                                  <m:t>𝑖𝑛𝑡</m:t>
                                </m:r>
                              </m:sub>
                            </m:sSub>
                          </m:sub>
                          <m:sup>
                            <m:r>
                              <a:rPr lang="en-AU" sz="1100" b="0" i="1" u="none">
                                <a:latin typeface="Cambria Math"/>
                              </a:rPr>
                              <m:t>𝑥</m:t>
                            </m:r>
                          </m:sup>
                        </m:sSubSup>
                      </m:num>
                      <m:den>
                        <m:sSubSup>
                          <m:sSubSupPr>
                            <m:ctrlPr>
                              <a:rPr lang="en-AU" sz="1100" i="1">
                                <a:solidFill>
                                  <a:schemeClr val="tx1"/>
                                </a:solidFill>
                                <a:effectLst/>
                                <a:latin typeface="Cambria Math" panose="02040503050406030204" pitchFamily="18" charset="0"/>
                                <a:ea typeface="+mn-ea"/>
                                <a:cs typeface="+mn-cs"/>
                              </a:rPr>
                            </m:ctrlPr>
                          </m:sSubSupPr>
                          <m:e>
                            <m:r>
                              <a:rPr lang="en-AU" sz="1100" b="0" i="1">
                                <a:solidFill>
                                  <a:schemeClr val="tx1"/>
                                </a:solidFill>
                                <a:effectLst/>
                                <a:latin typeface="Cambria Math"/>
                                <a:ea typeface="+mn-ea"/>
                                <a:cs typeface="+mn-cs"/>
                              </a:rPr>
                              <m:t>𝑘</m:t>
                            </m:r>
                          </m:e>
                          <m:sub>
                            <m:sSub>
                              <m:sSubPr>
                                <m:ctrlPr>
                                  <a:rPr lang="en-AU" sz="1100" b="0" i="1">
                                    <a:solidFill>
                                      <a:schemeClr val="tx1"/>
                                    </a:solidFill>
                                    <a:effectLst/>
                                    <a:latin typeface="Cambria Math" panose="02040503050406030204" pitchFamily="18" charset="0"/>
                                    <a:ea typeface="+mn-ea"/>
                                    <a:cs typeface="+mn-cs"/>
                                  </a:rPr>
                                </m:ctrlPr>
                              </m:sSubPr>
                              <m:e>
                                <m:r>
                                  <a:rPr lang="en-AU" sz="1100" b="0" i="1">
                                    <a:solidFill>
                                      <a:schemeClr val="tx1"/>
                                    </a:solidFill>
                                    <a:effectLst/>
                                    <a:latin typeface="Cambria Math"/>
                                    <a:ea typeface="+mn-ea"/>
                                    <a:cs typeface="+mn-cs"/>
                                  </a:rPr>
                                  <m:t>𝑄</m:t>
                                </m:r>
                              </m:e>
                              <m:sub>
                                <m:r>
                                  <a:rPr lang="en-AU" sz="1100" b="0" i="1">
                                    <a:solidFill>
                                      <a:schemeClr val="tx1"/>
                                    </a:solidFill>
                                    <a:effectLst/>
                                    <a:latin typeface="Cambria Math"/>
                                    <a:ea typeface="+mn-ea"/>
                                    <a:cs typeface="+mn-cs"/>
                                  </a:rPr>
                                  <m:t>𝑐𝑟𝑜𝑠𝑠</m:t>
                                </m:r>
                              </m:sub>
                            </m:sSub>
                            <m:r>
                              <a:rPr lang="en-AU" sz="1100" b="0" i="1">
                                <a:solidFill>
                                  <a:schemeClr val="tx1"/>
                                </a:solidFill>
                                <a:effectLst/>
                                <a:latin typeface="Cambria Math"/>
                                <a:ea typeface="+mn-ea"/>
                                <a:cs typeface="+mn-cs"/>
                              </a:rPr>
                              <m:t>,</m:t>
                            </m:r>
                            <m:sSub>
                              <m:sSubPr>
                                <m:ctrlPr>
                                  <a:rPr lang="en-AU" sz="1100" b="0" i="1">
                                    <a:solidFill>
                                      <a:schemeClr val="tx1"/>
                                    </a:solidFill>
                                    <a:effectLst/>
                                    <a:latin typeface="Cambria Math" panose="02040503050406030204" pitchFamily="18" charset="0"/>
                                    <a:ea typeface="+mn-ea"/>
                                    <a:cs typeface="+mn-cs"/>
                                  </a:rPr>
                                </m:ctrlPr>
                              </m:sSubPr>
                              <m:e>
                                <m:r>
                                  <a:rPr lang="en-AU" sz="1100" b="0" i="1">
                                    <a:solidFill>
                                      <a:schemeClr val="tx1"/>
                                    </a:solidFill>
                                    <a:effectLst/>
                                    <a:latin typeface="Cambria Math"/>
                                    <a:ea typeface="+mn-ea"/>
                                    <a:cs typeface="+mn-cs"/>
                                  </a:rPr>
                                  <m:t>𝑄</m:t>
                                </m:r>
                              </m:e>
                              <m:sub>
                                <m:r>
                                  <a:rPr lang="en-AU" sz="1100" b="0" i="1">
                                    <a:solidFill>
                                      <a:schemeClr val="tx1"/>
                                    </a:solidFill>
                                    <a:effectLst/>
                                    <a:latin typeface="Cambria Math"/>
                                    <a:ea typeface="+mn-ea"/>
                                    <a:cs typeface="+mn-cs"/>
                                  </a:rPr>
                                  <m:t>𝑖𝑛𝑡</m:t>
                                </m:r>
                              </m:sub>
                            </m:sSub>
                          </m:sub>
                          <m:sup>
                            <m:r>
                              <a:rPr lang="en-AU" sz="1100" b="0" i="1">
                                <a:solidFill>
                                  <a:schemeClr val="tx1"/>
                                </a:solidFill>
                                <a:effectLst/>
                                <a:latin typeface="Cambria Math"/>
                                <a:ea typeface="+mn-ea"/>
                                <a:cs typeface="+mn-cs"/>
                              </a:rPr>
                              <m:t>𝑥</m:t>
                            </m:r>
                          </m:sup>
                        </m:sSubSup>
                      </m:den>
                    </m:f>
                  </m:oMath>
                </m:oMathPara>
              </a14:m>
              <a:endParaRPr lang="en-AU" sz="1100" u="none"/>
            </a:p>
          </xdr:txBody>
        </xdr:sp>
      </mc:Choice>
      <mc:Fallback xmlns="">
        <xdr:sp macro="" textlink="">
          <xdr:nvSpPr>
            <xdr:cNvPr id="45" name="TextBox 44"/>
            <xdr:cNvSpPr txBox="1"/>
          </xdr:nvSpPr>
          <xdr:spPr>
            <a:xfrm xmlns:a="http://schemas.openxmlformats.org/drawingml/2006/main">
              <a:off x="304800" y="58826400"/>
              <a:ext cx="1476375" cy="658813"/>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noAutofit/>
            </a:bodyPr>
            <a:lstStyle xmlns:a="http://schemas.openxmlformats.org/drawingml/2006/main"/>
            <a:p xmlns:a="http://schemas.openxmlformats.org/drawingml/2006/main">
              <a:pPr/>
              <a:r>
                <a:rPr lang="en-AU" sz="1100" b="0" i="0" u="none">
                  <a:latin typeface="Cambria Math"/>
                </a:rPr>
                <a:t>𝑘</a:t>
              </a:r>
              <a:r>
                <a:rPr lang="en-AU" sz="1100" b="0" i="0" u="none">
                  <a:latin typeface="Cambria Math" panose="02040503050406030204" pitchFamily="18" charset="0"/>
                </a:rPr>
                <a:t>_(</a:t>
              </a:r>
              <a:r>
                <a:rPr lang="en-AU" sz="1100" b="0" i="0" u="none">
                  <a:latin typeface="Cambria Math"/>
                </a:rPr>
                <a:t>𝑄,𝑄</a:t>
              </a:r>
              <a:r>
                <a:rPr lang="en-AU" sz="1100" b="0" i="0" u="none">
                  <a:latin typeface="Cambria Math" panose="02040503050406030204" pitchFamily="18" charset="0"/>
                </a:rPr>
                <a:t>_</a:t>
              </a:r>
              <a:r>
                <a:rPr lang="en-AU" sz="1100" b="0" i="0" u="none">
                  <a:latin typeface="Cambria Math"/>
                </a:rPr>
                <a:t>𝑐𝑟𝑜𝑠𝑠</a:t>
              </a:r>
              <a:r>
                <a:rPr lang="en-AU" sz="1100" b="0" i="0" u="none">
                  <a:latin typeface="Cambria Math" panose="02040503050406030204" pitchFamily="18" charset="0"/>
                </a:rPr>
                <a:t>)^</a:t>
              </a:r>
              <a:r>
                <a:rPr lang="en-AU" sz="1100" b="0" i="0" u="none">
                  <a:latin typeface="Cambria Math"/>
                </a:rPr>
                <a:t>𝑥=</a:t>
              </a:r>
              <a:r>
                <a:rPr lang="en-AU" sz="1100" b="0" i="0" u="none">
                  <a:latin typeface="Cambria Math" panose="02040503050406030204" pitchFamily="18" charset="0"/>
                </a:rPr>
                <a:t>(</a:t>
              </a:r>
              <a:r>
                <a:rPr lang="en-AU" sz="1100" b="0" i="0" u="none">
                  <a:latin typeface="Cambria Math"/>
                </a:rPr>
                <a:t>𝑘</a:t>
              </a:r>
              <a:r>
                <a:rPr lang="en-AU" sz="1100" b="0" i="0" u="none">
                  <a:latin typeface="Cambria Math" panose="02040503050406030204" pitchFamily="18" charset="0"/>
                </a:rPr>
                <a:t>_(</a:t>
              </a:r>
              <a:r>
                <a:rPr lang="en-AU" sz="1100" b="0" i="0" u="none">
                  <a:latin typeface="Cambria Math"/>
                </a:rPr>
                <a:t>𝑄,𝑄</a:t>
              </a:r>
              <a:r>
                <a:rPr lang="en-AU" sz="1100" b="0" i="0" u="none">
                  <a:latin typeface="Cambria Math" panose="02040503050406030204" pitchFamily="18" charset="0"/>
                </a:rPr>
                <a:t>_</a:t>
              </a:r>
              <a:r>
                <a:rPr lang="en-AU" sz="1100" b="0" i="0" u="none">
                  <a:latin typeface="Cambria Math"/>
                </a:rPr>
                <a:t>𝑖𝑛𝑡</a:t>
              </a:r>
              <a:r>
                <a:rPr lang="en-AU" sz="1100" b="0" i="0" u="none">
                  <a:latin typeface="Cambria Math" panose="02040503050406030204" pitchFamily="18" charset="0"/>
                </a:rPr>
                <a:t>)^</a:t>
              </a:r>
              <a:r>
                <a:rPr lang="en-AU" sz="1100" b="0" i="0" u="none">
                  <a:latin typeface="Cambria Math"/>
                </a:rPr>
                <a:t>𝑥</a:t>
              </a:r>
              <a:r>
                <a:rPr lang="en-AU" sz="1100" b="0" i="0" u="none">
                  <a:latin typeface="Cambria Math" panose="02040503050406030204" pitchFamily="18" charset="0"/>
                </a:rPr>
                <a:t>)/(</a:t>
              </a:r>
              <a:r>
                <a:rPr lang="en-AU" sz="1100" b="0" i="0">
                  <a:solidFill>
                    <a:schemeClr val="tx1"/>
                  </a:solidFill>
                  <a:effectLst/>
                  <a:latin typeface="Cambria Math"/>
                  <a:ea typeface="+mn-ea"/>
                  <a:cs typeface="+mn-cs"/>
                </a:rPr>
                <a:t>𝑘</a:t>
              </a:r>
              <a:r>
                <a:rPr lang="en-AU" sz="1100" b="0" i="0">
                  <a:solidFill>
                    <a:schemeClr val="tx1"/>
                  </a:solidFill>
                  <a:effectLst/>
                  <a:latin typeface="Cambria Math" panose="02040503050406030204" pitchFamily="18" charset="0"/>
                  <a:ea typeface="+mn-ea"/>
                  <a:cs typeface="+mn-cs"/>
                </a:rPr>
                <a:t>_(</a:t>
              </a:r>
              <a:r>
                <a:rPr lang="en-AU" sz="1100" b="0" i="0">
                  <a:solidFill>
                    <a:schemeClr val="tx1"/>
                  </a:solidFill>
                  <a:effectLst/>
                  <a:latin typeface="Cambria Math"/>
                  <a:ea typeface="+mn-ea"/>
                  <a:cs typeface="+mn-cs"/>
                </a:rPr>
                <a:t>𝑄</a:t>
              </a:r>
              <a:r>
                <a:rPr lang="en-AU" sz="1100" b="0" i="0">
                  <a:solidFill>
                    <a:schemeClr val="tx1"/>
                  </a:solidFill>
                  <a:effectLst/>
                  <a:latin typeface="Cambria Math" panose="02040503050406030204" pitchFamily="18" charset="0"/>
                  <a:ea typeface="+mn-ea"/>
                  <a:cs typeface="+mn-cs"/>
                </a:rPr>
                <a:t>_</a:t>
              </a:r>
              <a:r>
                <a:rPr lang="en-AU" sz="1100" b="0" i="0">
                  <a:solidFill>
                    <a:schemeClr val="tx1"/>
                  </a:solidFill>
                  <a:effectLst/>
                  <a:latin typeface="Cambria Math"/>
                  <a:ea typeface="+mn-ea"/>
                  <a:cs typeface="+mn-cs"/>
                </a:rPr>
                <a:t>𝑐𝑟𝑜𝑠𝑠,𝑄</a:t>
              </a:r>
              <a:r>
                <a:rPr lang="en-AU" sz="1100" b="0" i="0">
                  <a:solidFill>
                    <a:schemeClr val="tx1"/>
                  </a:solidFill>
                  <a:effectLst/>
                  <a:latin typeface="Cambria Math" panose="02040503050406030204" pitchFamily="18" charset="0"/>
                  <a:ea typeface="+mn-ea"/>
                  <a:cs typeface="+mn-cs"/>
                </a:rPr>
                <a:t>_</a:t>
              </a:r>
              <a:r>
                <a:rPr lang="en-AU" sz="1100" b="0" i="0">
                  <a:solidFill>
                    <a:schemeClr val="tx1"/>
                  </a:solidFill>
                  <a:effectLst/>
                  <a:latin typeface="Cambria Math"/>
                  <a:ea typeface="+mn-ea"/>
                  <a:cs typeface="+mn-cs"/>
                </a:rPr>
                <a:t>𝑖𝑛𝑡</a:t>
              </a:r>
              <a:r>
                <a:rPr lang="en-AU" sz="1100" b="0" i="0">
                  <a:solidFill>
                    <a:schemeClr val="tx1"/>
                  </a:solidFill>
                  <a:effectLst/>
                  <a:latin typeface="Cambria Math" panose="02040503050406030204" pitchFamily="18" charset="0"/>
                  <a:ea typeface="+mn-ea"/>
                  <a:cs typeface="+mn-cs"/>
                </a:rPr>
                <a:t>)^</a:t>
              </a:r>
              <a:r>
                <a:rPr lang="en-AU" sz="1100" b="0" i="0">
                  <a:solidFill>
                    <a:schemeClr val="tx1"/>
                  </a:solidFill>
                  <a:effectLst/>
                  <a:latin typeface="Cambria Math"/>
                  <a:ea typeface="+mn-ea"/>
                  <a:cs typeface="+mn-cs"/>
                </a:rPr>
                <a:t>𝑥</a:t>
              </a:r>
              <a:r>
                <a:rPr lang="en-AU" sz="1100" b="0" i="0">
                  <a:solidFill>
                    <a:schemeClr val="tx1"/>
                  </a:solidFill>
                  <a:effectLst/>
                  <a:latin typeface="Cambria Math" panose="02040503050406030204" pitchFamily="18" charset="0"/>
                  <a:ea typeface="+mn-ea"/>
                  <a:cs typeface="+mn-cs"/>
                </a:rPr>
                <a:t> </a:t>
              </a:r>
              <a:r>
                <a:rPr lang="en-AU" sz="1100" b="0" i="0" u="none">
                  <a:solidFill>
                    <a:schemeClr val="tx1"/>
                  </a:solidFill>
                  <a:effectLst/>
                  <a:latin typeface="Cambria Math" panose="02040503050406030204" pitchFamily="18" charset="0"/>
                  <a:ea typeface="+mn-ea"/>
                  <a:cs typeface="+mn-cs"/>
                </a:rPr>
                <a:t>)</a:t>
              </a:r>
              <a:endParaRPr lang="en-AU" sz="1100" u="none"/>
            </a:p>
          </xdr:txBody>
        </xdr:sp>
      </mc:Fallback>
    </mc:AlternateContent>
    <xdr:clientData/>
  </xdr:oneCellAnchor>
  <xdr:oneCellAnchor>
    <xdr:from>
      <xdr:col>7</xdr:col>
      <xdr:colOff>250825</xdr:colOff>
      <xdr:row>226</xdr:row>
      <xdr:rowOff>142875</xdr:rowOff>
    </xdr:from>
    <xdr:ext cx="503936" cy="282193"/>
    <mc:AlternateContent xmlns:mc="http://schemas.openxmlformats.org/markup-compatibility/2006" xmlns:a14="http://schemas.microsoft.com/office/drawing/2010/main">
      <mc:Choice Requires="a14">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36825" y="58600975"/>
              <a:ext cx="493652" cy="2821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Sup>
                      <m:sSubSupPr>
                        <m:ctrlPr>
                          <a:rPr lang="en-AU" sz="1100" i="1" u="none">
                            <a:latin typeface="Cambria Math" panose="02040503050406030204" pitchFamily="18" charset="0"/>
                          </a:rPr>
                        </m:ctrlPr>
                      </m:sSubSupPr>
                      <m:e>
                        <m:r>
                          <a:rPr lang="en-AU" sz="1100" b="0" i="1" u="none">
                            <a:latin typeface="Cambria Math"/>
                          </a:rPr>
                          <m:t>𝑘</m:t>
                        </m:r>
                      </m:e>
                      <m:sub>
                        <m:r>
                          <a:rPr lang="en-AU" sz="1100" b="0" i="1" u="none">
                            <a:latin typeface="Cambria Math"/>
                          </a:rPr>
                          <m:t>𝑄</m:t>
                        </m:r>
                        <m:r>
                          <a:rPr lang="en-AU" sz="1100" b="0" i="1" u="none">
                            <a:latin typeface="Cambria Math"/>
                          </a:rPr>
                          <m:t>,</m:t>
                        </m:r>
                        <m:sSub>
                          <m:sSubPr>
                            <m:ctrlPr>
                              <a:rPr lang="en-AU" sz="1100" b="0" i="1" u="none">
                                <a:latin typeface="Cambria Math" panose="02040503050406030204" pitchFamily="18" charset="0"/>
                              </a:rPr>
                            </m:ctrlPr>
                          </m:sSubPr>
                          <m:e>
                            <m:r>
                              <a:rPr lang="en-AU" sz="1100" b="0" i="1" u="none">
                                <a:latin typeface="Cambria Math"/>
                              </a:rPr>
                              <m:t>𝑄</m:t>
                            </m:r>
                          </m:e>
                          <m:sub>
                            <m:r>
                              <a:rPr lang="en-AU" sz="1100" b="0" i="1" u="none">
                                <a:latin typeface="Cambria Math"/>
                              </a:rPr>
                              <m:t>𝑖𝑛𝑡</m:t>
                            </m:r>
                          </m:sub>
                        </m:sSub>
                      </m:sub>
                      <m:sup>
                        <m:r>
                          <a:rPr lang="en-AU" sz="1100" b="0" i="1" u="none">
                            <a:latin typeface="Cambria Math"/>
                          </a:rPr>
                          <m:t>𝑥</m:t>
                        </m:r>
                      </m:sup>
                    </m:sSubSup>
                  </m:oMath>
                </m:oMathPara>
              </a14:m>
              <a:endParaRPr lang="en-AU" sz="1100" u="none"/>
            </a:p>
          </xdr:txBody>
        </xdr:sp>
      </mc:Choice>
      <mc:Fallback xmlns="">
        <xdr:sp macro="" textlink="">
          <xdr:nvSpPr>
            <xdr:cNvPr id="46" name="TextBox 45"/>
            <xdr:cNvSpPr txBox="1"/>
          </xdr:nvSpPr>
          <xdr:spPr>
            <a:xfrm xmlns:a="http://schemas.openxmlformats.org/drawingml/2006/main">
              <a:off x="2536825" y="58600975"/>
              <a:ext cx="493652" cy="282193"/>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spAutoFit/>
            </a:bodyPr>
            <a:lstStyle xmlns:a="http://schemas.openxmlformats.org/drawingml/2006/main"/>
            <a:p xmlns:a="http://schemas.openxmlformats.org/drawingml/2006/main">
              <a:pPr/>
              <a:r>
                <a:rPr lang="en-AU" sz="1100" b="0" i="0" u="none">
                  <a:latin typeface="Cambria Math"/>
                </a:rPr>
                <a:t>𝑘</a:t>
              </a:r>
              <a:r>
                <a:rPr lang="en-AU" sz="1100" b="0" i="0" u="none">
                  <a:latin typeface="Cambria Math" panose="02040503050406030204" pitchFamily="18" charset="0"/>
                </a:rPr>
                <a:t>_(</a:t>
              </a:r>
              <a:r>
                <a:rPr lang="en-AU" sz="1100" b="0" i="0" u="none">
                  <a:latin typeface="Cambria Math"/>
                </a:rPr>
                <a:t>𝑄,𝑄</a:t>
              </a:r>
              <a:r>
                <a:rPr lang="en-AU" sz="1100" b="0" i="0" u="none">
                  <a:latin typeface="Cambria Math" panose="02040503050406030204" pitchFamily="18" charset="0"/>
                </a:rPr>
                <a:t>_</a:t>
              </a:r>
              <a:r>
                <a:rPr lang="en-AU" sz="1100" b="0" i="0" u="none">
                  <a:latin typeface="Cambria Math"/>
                </a:rPr>
                <a:t>𝑖𝑛𝑡</a:t>
              </a:r>
              <a:r>
                <a:rPr lang="en-AU" sz="1100" b="0" i="0" u="none">
                  <a:latin typeface="Cambria Math" panose="02040503050406030204" pitchFamily="18" charset="0"/>
                </a:rPr>
                <a:t>)^</a:t>
              </a:r>
              <a:r>
                <a:rPr lang="en-AU" sz="1100" b="0" i="0" u="none">
                  <a:latin typeface="Cambria Math"/>
                </a:rPr>
                <a:t>𝑥</a:t>
              </a:r>
              <a:endParaRPr lang="en-AU" sz="1100" u="none"/>
            </a:p>
          </xdr:txBody>
        </xdr:sp>
      </mc:Fallback>
    </mc:AlternateContent>
    <xdr:clientData/>
  </xdr:oneCellAnchor>
  <xdr:oneCellAnchor>
    <xdr:from>
      <xdr:col>11</xdr:col>
      <xdr:colOff>28575</xdr:colOff>
      <xdr:row>226</xdr:row>
      <xdr:rowOff>152400</xdr:rowOff>
    </xdr:from>
    <xdr:ext cx="766400" cy="282129"/>
    <mc:AlternateContent xmlns:mc="http://schemas.openxmlformats.org/markup-compatibility/2006" xmlns:a14="http://schemas.microsoft.com/office/drawing/2010/main">
      <mc:Choice Requires="a14">
        <xdr:sp macro="" textlink="">
          <xdr:nvSpPr>
            <xdr:cNvPr id="47" name="TextBox 46">
              <a:extLst>
                <a:ext uri="{FF2B5EF4-FFF2-40B4-BE49-F238E27FC236}">
                  <a16:creationId xmlns:a16="http://schemas.microsoft.com/office/drawing/2014/main" id="{00000000-0008-0000-1200-00002F000000}"/>
                </a:ext>
              </a:extLst>
            </xdr:cNvPr>
            <xdr:cNvSpPr txBox="1"/>
          </xdr:nvSpPr>
          <xdr:spPr>
            <a:xfrm>
              <a:off x="3276600" y="58912125"/>
              <a:ext cx="769937" cy="28212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Sup>
                      <m:sSubSupPr>
                        <m:ctrlPr>
                          <a:rPr lang="en-AU" sz="1100" i="1">
                            <a:solidFill>
                              <a:schemeClr val="tx1"/>
                            </a:solidFill>
                            <a:effectLst/>
                            <a:latin typeface="Cambria Math" panose="02040503050406030204" pitchFamily="18" charset="0"/>
                            <a:ea typeface="+mn-ea"/>
                            <a:cs typeface="+mn-cs"/>
                          </a:rPr>
                        </m:ctrlPr>
                      </m:sSubSupPr>
                      <m:e>
                        <m:r>
                          <a:rPr lang="en-AU" sz="1100" b="0" i="1">
                            <a:solidFill>
                              <a:schemeClr val="tx1"/>
                            </a:solidFill>
                            <a:effectLst/>
                            <a:latin typeface="Cambria Math"/>
                            <a:ea typeface="+mn-ea"/>
                            <a:cs typeface="+mn-cs"/>
                          </a:rPr>
                          <m:t>𝑘</m:t>
                        </m:r>
                      </m:e>
                      <m:sub>
                        <m:sSub>
                          <m:sSubPr>
                            <m:ctrlPr>
                              <a:rPr lang="en-AU" sz="1100" b="0" i="1">
                                <a:solidFill>
                                  <a:schemeClr val="tx1"/>
                                </a:solidFill>
                                <a:effectLst/>
                                <a:latin typeface="Cambria Math" panose="02040503050406030204" pitchFamily="18" charset="0"/>
                                <a:ea typeface="+mn-ea"/>
                                <a:cs typeface="+mn-cs"/>
                              </a:rPr>
                            </m:ctrlPr>
                          </m:sSubPr>
                          <m:e>
                            <m:r>
                              <a:rPr lang="en-AU" sz="1100" b="0" i="1">
                                <a:solidFill>
                                  <a:schemeClr val="tx1"/>
                                </a:solidFill>
                                <a:effectLst/>
                                <a:latin typeface="Cambria Math"/>
                                <a:ea typeface="+mn-ea"/>
                                <a:cs typeface="+mn-cs"/>
                              </a:rPr>
                              <m:t>𝑄</m:t>
                            </m:r>
                          </m:e>
                          <m:sub>
                            <m:r>
                              <a:rPr lang="en-AU" sz="1100" b="0" i="1">
                                <a:solidFill>
                                  <a:schemeClr val="tx1"/>
                                </a:solidFill>
                                <a:effectLst/>
                                <a:latin typeface="Cambria Math"/>
                                <a:ea typeface="+mn-ea"/>
                                <a:cs typeface="+mn-cs"/>
                              </a:rPr>
                              <m:t>𝑐𝑟𝑜𝑠𝑠</m:t>
                            </m:r>
                          </m:sub>
                        </m:sSub>
                        <m:r>
                          <a:rPr lang="en-AU" sz="1100" b="0" i="1">
                            <a:solidFill>
                              <a:schemeClr val="tx1"/>
                            </a:solidFill>
                            <a:effectLst/>
                            <a:latin typeface="Cambria Math"/>
                            <a:ea typeface="+mn-ea"/>
                            <a:cs typeface="+mn-cs"/>
                          </a:rPr>
                          <m:t>,</m:t>
                        </m:r>
                        <m:sSub>
                          <m:sSubPr>
                            <m:ctrlPr>
                              <a:rPr lang="en-AU" sz="1100" b="0" i="1">
                                <a:solidFill>
                                  <a:schemeClr val="tx1"/>
                                </a:solidFill>
                                <a:effectLst/>
                                <a:latin typeface="Cambria Math" panose="02040503050406030204" pitchFamily="18" charset="0"/>
                                <a:ea typeface="+mn-ea"/>
                                <a:cs typeface="+mn-cs"/>
                              </a:rPr>
                            </m:ctrlPr>
                          </m:sSubPr>
                          <m:e>
                            <m:r>
                              <a:rPr lang="en-AU" sz="1100" b="0" i="1">
                                <a:solidFill>
                                  <a:schemeClr val="tx1"/>
                                </a:solidFill>
                                <a:effectLst/>
                                <a:latin typeface="Cambria Math"/>
                                <a:ea typeface="+mn-ea"/>
                                <a:cs typeface="+mn-cs"/>
                              </a:rPr>
                              <m:t>𝑄</m:t>
                            </m:r>
                          </m:e>
                          <m:sub>
                            <m:r>
                              <a:rPr lang="en-AU" sz="1100" b="0" i="1">
                                <a:solidFill>
                                  <a:schemeClr val="tx1"/>
                                </a:solidFill>
                                <a:effectLst/>
                                <a:latin typeface="Cambria Math"/>
                                <a:ea typeface="+mn-ea"/>
                                <a:cs typeface="+mn-cs"/>
                              </a:rPr>
                              <m:t>𝑖𝑛𝑡</m:t>
                            </m:r>
                          </m:sub>
                        </m:sSub>
                      </m:sub>
                      <m:sup>
                        <m:r>
                          <a:rPr lang="en-AU" sz="1100" b="0" i="1">
                            <a:solidFill>
                              <a:schemeClr val="tx1"/>
                            </a:solidFill>
                            <a:effectLst/>
                            <a:latin typeface="Cambria Math"/>
                            <a:ea typeface="+mn-ea"/>
                            <a:cs typeface="+mn-cs"/>
                          </a:rPr>
                          <m:t>𝑥</m:t>
                        </m:r>
                      </m:sup>
                    </m:sSubSup>
                  </m:oMath>
                </m:oMathPara>
              </a14:m>
              <a:endParaRPr lang="en-AU" sz="1100" u="none"/>
            </a:p>
          </xdr:txBody>
        </xdr:sp>
      </mc:Choice>
      <mc:Fallback xmlns="">
        <xdr:sp macro="" textlink="">
          <xdr:nvSpPr>
            <xdr:cNvPr id="47" name="TextBox 46"/>
            <xdr:cNvSpPr txBox="1"/>
          </xdr:nvSpPr>
          <xdr:spPr>
            <a:xfrm xmlns:a="http://schemas.openxmlformats.org/drawingml/2006/main">
              <a:off x="3276600" y="58912125"/>
              <a:ext cx="769937" cy="282129"/>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spAutoFit/>
            </a:bodyPr>
            <a:lstStyle xmlns:a="http://schemas.openxmlformats.org/drawingml/2006/main"/>
            <a:p xmlns:a="http://schemas.openxmlformats.org/drawingml/2006/main">
              <a:pPr/>
              <a:r>
                <a:rPr lang="en-AU" sz="1100" b="0" i="0">
                  <a:solidFill>
                    <a:schemeClr val="tx1"/>
                  </a:solidFill>
                  <a:effectLst/>
                  <a:latin typeface="Cambria Math"/>
                  <a:ea typeface="+mn-ea"/>
                  <a:cs typeface="+mn-cs"/>
                </a:rPr>
                <a:t>𝑘</a:t>
              </a:r>
              <a:r>
                <a:rPr lang="en-AU" sz="1100" b="0" i="0">
                  <a:solidFill>
                    <a:schemeClr val="tx1"/>
                  </a:solidFill>
                  <a:effectLst/>
                  <a:latin typeface="Cambria Math" panose="02040503050406030204" pitchFamily="18" charset="0"/>
                  <a:ea typeface="+mn-ea"/>
                  <a:cs typeface="+mn-cs"/>
                </a:rPr>
                <a:t>_(</a:t>
              </a:r>
              <a:r>
                <a:rPr lang="en-AU" sz="1100" b="0" i="0">
                  <a:solidFill>
                    <a:schemeClr val="tx1"/>
                  </a:solidFill>
                  <a:effectLst/>
                  <a:latin typeface="Cambria Math"/>
                  <a:ea typeface="+mn-ea"/>
                  <a:cs typeface="+mn-cs"/>
                </a:rPr>
                <a:t>𝑄</a:t>
              </a:r>
              <a:r>
                <a:rPr lang="en-AU" sz="1100" b="0" i="0">
                  <a:solidFill>
                    <a:schemeClr val="tx1"/>
                  </a:solidFill>
                  <a:effectLst/>
                  <a:latin typeface="Cambria Math" panose="02040503050406030204" pitchFamily="18" charset="0"/>
                  <a:ea typeface="+mn-ea"/>
                  <a:cs typeface="+mn-cs"/>
                </a:rPr>
                <a:t>_</a:t>
              </a:r>
              <a:r>
                <a:rPr lang="en-AU" sz="1100" b="0" i="0">
                  <a:solidFill>
                    <a:schemeClr val="tx1"/>
                  </a:solidFill>
                  <a:effectLst/>
                  <a:latin typeface="Cambria Math"/>
                  <a:ea typeface="+mn-ea"/>
                  <a:cs typeface="+mn-cs"/>
                </a:rPr>
                <a:t>𝑐𝑟𝑜𝑠𝑠,𝑄</a:t>
              </a:r>
              <a:r>
                <a:rPr lang="en-AU" sz="1100" b="0" i="0">
                  <a:solidFill>
                    <a:schemeClr val="tx1"/>
                  </a:solidFill>
                  <a:effectLst/>
                  <a:latin typeface="Cambria Math" panose="02040503050406030204" pitchFamily="18" charset="0"/>
                  <a:ea typeface="+mn-ea"/>
                  <a:cs typeface="+mn-cs"/>
                </a:rPr>
                <a:t>_</a:t>
              </a:r>
              <a:r>
                <a:rPr lang="en-AU" sz="1100" b="0" i="0">
                  <a:solidFill>
                    <a:schemeClr val="tx1"/>
                  </a:solidFill>
                  <a:effectLst/>
                  <a:latin typeface="Cambria Math"/>
                  <a:ea typeface="+mn-ea"/>
                  <a:cs typeface="+mn-cs"/>
                </a:rPr>
                <a:t>𝑖𝑛𝑡</a:t>
              </a:r>
              <a:r>
                <a:rPr lang="en-AU" sz="1100" b="0" i="0">
                  <a:solidFill>
                    <a:schemeClr val="tx1"/>
                  </a:solidFill>
                  <a:effectLst/>
                  <a:latin typeface="Cambria Math" panose="02040503050406030204" pitchFamily="18" charset="0"/>
                  <a:ea typeface="+mn-ea"/>
                  <a:cs typeface="+mn-cs"/>
                </a:rPr>
                <a:t>)^</a:t>
              </a:r>
              <a:r>
                <a:rPr lang="en-AU" sz="1100" b="0" i="0">
                  <a:solidFill>
                    <a:schemeClr val="tx1"/>
                  </a:solidFill>
                  <a:effectLst/>
                  <a:latin typeface="Cambria Math"/>
                  <a:ea typeface="+mn-ea"/>
                  <a:cs typeface="+mn-cs"/>
                </a:rPr>
                <a:t>𝑥</a:t>
              </a:r>
              <a:endParaRPr lang="en-AU" sz="1100" u="none"/>
            </a:p>
          </xdr:txBody>
        </xdr:sp>
      </mc:Fallback>
    </mc:AlternateContent>
    <xdr:clientData/>
  </xdr:oneCellAnchor>
  <xdr:oneCellAnchor>
    <xdr:from>
      <xdr:col>8</xdr:col>
      <xdr:colOff>9525</xdr:colOff>
      <xdr:row>230</xdr:row>
      <xdr:rowOff>0</xdr:rowOff>
    </xdr:from>
    <xdr:ext cx="766400" cy="282193"/>
    <mc:AlternateContent xmlns:mc="http://schemas.openxmlformats.org/markup-compatibility/2006" xmlns:a14="http://schemas.microsoft.com/office/drawing/2010/main">
      <mc:Choice Requires="a14">
        <xdr:sp macro="" textlink="">
          <xdr:nvSpPr>
            <xdr:cNvPr id="31" name="TextBox 30">
              <a:extLst>
                <a:ext uri="{FF2B5EF4-FFF2-40B4-BE49-F238E27FC236}">
                  <a16:creationId xmlns:a16="http://schemas.microsoft.com/office/drawing/2014/main" id="{00000000-0008-0000-1200-00001F000000}"/>
                </a:ext>
              </a:extLst>
            </xdr:cNvPr>
            <xdr:cNvSpPr txBox="1"/>
          </xdr:nvSpPr>
          <xdr:spPr>
            <a:xfrm>
              <a:off x="2587625" y="59359800"/>
              <a:ext cx="776353" cy="2821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left"/>
                  </m:oMathParaPr>
                  <m:oMath xmlns:m="http://schemas.openxmlformats.org/officeDocument/2006/math">
                    <m:sSubSup>
                      <m:sSubSupPr>
                        <m:ctrlPr>
                          <a:rPr lang="en-AU" sz="1100" i="1">
                            <a:solidFill>
                              <a:schemeClr val="tx1"/>
                            </a:solidFill>
                            <a:effectLst/>
                            <a:latin typeface="Cambria Math" panose="02040503050406030204" pitchFamily="18" charset="0"/>
                            <a:ea typeface="+mn-ea"/>
                            <a:cs typeface="+mn-cs"/>
                          </a:rPr>
                        </m:ctrlPr>
                      </m:sSubSupPr>
                      <m:e>
                        <m:r>
                          <a:rPr lang="en-AU" sz="1100" b="0" i="1">
                            <a:solidFill>
                              <a:schemeClr val="tx1"/>
                            </a:solidFill>
                            <a:effectLst/>
                            <a:latin typeface="Cambria Math"/>
                            <a:ea typeface="+mn-ea"/>
                            <a:cs typeface="+mn-cs"/>
                          </a:rPr>
                          <m:t>𝑘</m:t>
                        </m:r>
                      </m:e>
                      <m:sub>
                        <m:sSub>
                          <m:sSubPr>
                            <m:ctrlPr>
                              <a:rPr lang="en-AU" sz="1100" b="0" i="1">
                                <a:solidFill>
                                  <a:schemeClr val="tx1"/>
                                </a:solidFill>
                                <a:effectLst/>
                                <a:latin typeface="Cambria Math" panose="02040503050406030204" pitchFamily="18" charset="0"/>
                                <a:ea typeface="+mn-ea"/>
                                <a:cs typeface="+mn-cs"/>
                              </a:rPr>
                            </m:ctrlPr>
                          </m:sSubPr>
                          <m:e>
                            <m:r>
                              <a:rPr lang="en-AU" sz="1100" b="0" i="1">
                                <a:solidFill>
                                  <a:schemeClr val="tx1"/>
                                </a:solidFill>
                                <a:effectLst/>
                                <a:latin typeface="Cambria Math"/>
                                <a:ea typeface="+mn-ea"/>
                                <a:cs typeface="+mn-cs"/>
                              </a:rPr>
                              <m:t>𝑄</m:t>
                            </m:r>
                          </m:e>
                          <m:sub>
                            <m:r>
                              <a:rPr lang="en-AU" sz="1100" b="0" i="1">
                                <a:solidFill>
                                  <a:schemeClr val="tx1"/>
                                </a:solidFill>
                                <a:effectLst/>
                                <a:latin typeface="Cambria Math"/>
                                <a:ea typeface="+mn-ea"/>
                                <a:cs typeface="+mn-cs"/>
                              </a:rPr>
                              <m:t>𝑐𝑟𝑜𝑠𝑠</m:t>
                            </m:r>
                          </m:sub>
                        </m:sSub>
                        <m:r>
                          <a:rPr lang="en-AU" sz="1100" b="0" i="1">
                            <a:solidFill>
                              <a:schemeClr val="tx1"/>
                            </a:solidFill>
                            <a:effectLst/>
                            <a:latin typeface="Cambria Math"/>
                            <a:ea typeface="+mn-ea"/>
                            <a:cs typeface="+mn-cs"/>
                          </a:rPr>
                          <m:t>,</m:t>
                        </m:r>
                        <m:sSub>
                          <m:sSubPr>
                            <m:ctrlPr>
                              <a:rPr lang="en-AU" sz="1100" b="0" i="1">
                                <a:solidFill>
                                  <a:schemeClr val="tx1"/>
                                </a:solidFill>
                                <a:effectLst/>
                                <a:latin typeface="Cambria Math" panose="02040503050406030204" pitchFamily="18" charset="0"/>
                                <a:ea typeface="+mn-ea"/>
                                <a:cs typeface="+mn-cs"/>
                              </a:rPr>
                            </m:ctrlPr>
                          </m:sSubPr>
                          <m:e>
                            <m:r>
                              <a:rPr lang="en-AU" sz="1100" b="0" i="1">
                                <a:solidFill>
                                  <a:schemeClr val="tx1"/>
                                </a:solidFill>
                                <a:effectLst/>
                                <a:latin typeface="Cambria Math"/>
                                <a:ea typeface="+mn-ea"/>
                                <a:cs typeface="+mn-cs"/>
                              </a:rPr>
                              <m:t>𝑄</m:t>
                            </m:r>
                          </m:e>
                          <m:sub>
                            <m:r>
                              <a:rPr lang="en-AU" sz="1100" b="0" i="1">
                                <a:solidFill>
                                  <a:schemeClr val="tx1"/>
                                </a:solidFill>
                                <a:effectLst/>
                                <a:latin typeface="Cambria Math"/>
                                <a:ea typeface="+mn-ea"/>
                                <a:cs typeface="+mn-cs"/>
                              </a:rPr>
                              <m:t>𝑖𝑛𝑡</m:t>
                            </m:r>
                          </m:sub>
                        </m:sSub>
                      </m:sub>
                      <m:sup>
                        <m:r>
                          <a:rPr lang="en-AU" sz="1100" b="0" i="1">
                            <a:solidFill>
                              <a:schemeClr val="tx1"/>
                            </a:solidFill>
                            <a:effectLst/>
                            <a:latin typeface="Cambria Math"/>
                            <a:ea typeface="+mn-ea"/>
                            <a:cs typeface="+mn-cs"/>
                          </a:rPr>
                          <m:t>𝑥</m:t>
                        </m:r>
                      </m:sup>
                    </m:sSubSup>
                  </m:oMath>
                </m:oMathPara>
              </a14:m>
              <a:endParaRPr lang="en-AU" sz="1100" u="none"/>
            </a:p>
          </xdr:txBody>
        </xdr:sp>
      </mc:Choice>
      <mc:Fallback xmlns="">
        <xdr:sp macro="" textlink="">
          <xdr:nvSpPr>
            <xdr:cNvPr id="31" name="TextBox 30"/>
            <xdr:cNvSpPr txBox="1"/>
          </xdr:nvSpPr>
          <xdr:spPr>
            <a:xfrm xmlns:a="http://schemas.openxmlformats.org/drawingml/2006/main">
              <a:off x="2587625" y="59359800"/>
              <a:ext cx="776353" cy="282193"/>
            </a:xfrm>
            <a:prstGeom xmlns:a="http://schemas.openxmlformats.org/drawingml/2006/main" prst="rect">
              <a:avLst/>
            </a:prstGeom>
            <a:noFill xmlns:a="http://schemas.openxmlformats.org/drawingml/2006/main"/>
          </xdr:spPr>
          <x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xdr:style>
          <xdr:txBody>
            <a:bodyPr xmlns:a="http://schemas.openxmlformats.org/drawingml/2006/main" vertOverflow="clip" horzOverflow="clip" wrap="square" rtlCol="0" anchor="t">
              <a:spAutoFit/>
            </a:bodyPr>
            <a:lstStyle xmlns:a="http://schemas.openxmlformats.org/drawingml/2006/main"/>
            <a:p xmlns:a="http://schemas.openxmlformats.org/drawingml/2006/main">
              <a:pPr/>
              <a:r>
                <a:rPr lang="en-AU" sz="1100" b="0" i="0">
                  <a:solidFill>
                    <a:schemeClr val="tx1"/>
                  </a:solidFill>
                  <a:effectLst/>
                  <a:latin typeface="Cambria Math"/>
                  <a:ea typeface="+mn-ea"/>
                  <a:cs typeface="+mn-cs"/>
                </a:rPr>
                <a:t>𝑘</a:t>
              </a:r>
              <a:r>
                <a:rPr lang="en-AU" sz="1100" b="0" i="0">
                  <a:solidFill>
                    <a:schemeClr val="tx1"/>
                  </a:solidFill>
                  <a:effectLst/>
                  <a:latin typeface="Cambria Math" panose="02040503050406030204" pitchFamily="18" charset="0"/>
                  <a:ea typeface="+mn-ea"/>
                  <a:cs typeface="+mn-cs"/>
                </a:rPr>
                <a:t>_(</a:t>
              </a:r>
              <a:r>
                <a:rPr lang="en-AU" sz="1100" b="0" i="0">
                  <a:solidFill>
                    <a:schemeClr val="tx1"/>
                  </a:solidFill>
                  <a:effectLst/>
                  <a:latin typeface="Cambria Math"/>
                  <a:ea typeface="+mn-ea"/>
                  <a:cs typeface="+mn-cs"/>
                </a:rPr>
                <a:t>𝑄</a:t>
              </a:r>
              <a:r>
                <a:rPr lang="en-AU" sz="1100" b="0" i="0">
                  <a:solidFill>
                    <a:schemeClr val="tx1"/>
                  </a:solidFill>
                  <a:effectLst/>
                  <a:latin typeface="Cambria Math" panose="02040503050406030204" pitchFamily="18" charset="0"/>
                  <a:ea typeface="+mn-ea"/>
                  <a:cs typeface="+mn-cs"/>
                </a:rPr>
                <a:t>_</a:t>
              </a:r>
              <a:r>
                <a:rPr lang="en-AU" sz="1100" b="0" i="0">
                  <a:solidFill>
                    <a:schemeClr val="tx1"/>
                  </a:solidFill>
                  <a:effectLst/>
                  <a:latin typeface="Cambria Math"/>
                  <a:ea typeface="+mn-ea"/>
                  <a:cs typeface="+mn-cs"/>
                </a:rPr>
                <a:t>𝑐𝑟𝑜𝑠𝑠,𝑄</a:t>
              </a:r>
              <a:r>
                <a:rPr lang="en-AU" sz="1100" b="0" i="0">
                  <a:solidFill>
                    <a:schemeClr val="tx1"/>
                  </a:solidFill>
                  <a:effectLst/>
                  <a:latin typeface="Cambria Math" panose="02040503050406030204" pitchFamily="18" charset="0"/>
                  <a:ea typeface="+mn-ea"/>
                  <a:cs typeface="+mn-cs"/>
                </a:rPr>
                <a:t>_</a:t>
              </a:r>
              <a:r>
                <a:rPr lang="en-AU" sz="1100" b="0" i="0">
                  <a:solidFill>
                    <a:schemeClr val="tx1"/>
                  </a:solidFill>
                  <a:effectLst/>
                  <a:latin typeface="Cambria Math"/>
                  <a:ea typeface="+mn-ea"/>
                  <a:cs typeface="+mn-cs"/>
                </a:rPr>
                <a:t>𝑖𝑛𝑡</a:t>
              </a:r>
              <a:r>
                <a:rPr lang="en-AU" sz="1100" b="0" i="0">
                  <a:solidFill>
                    <a:schemeClr val="tx1"/>
                  </a:solidFill>
                  <a:effectLst/>
                  <a:latin typeface="Cambria Math" panose="02040503050406030204" pitchFamily="18" charset="0"/>
                  <a:ea typeface="+mn-ea"/>
                  <a:cs typeface="+mn-cs"/>
                </a:rPr>
                <a:t>)^</a:t>
              </a:r>
              <a:r>
                <a:rPr lang="en-AU" sz="1100" b="0" i="0">
                  <a:solidFill>
                    <a:schemeClr val="tx1"/>
                  </a:solidFill>
                  <a:effectLst/>
                  <a:latin typeface="Cambria Math"/>
                  <a:ea typeface="+mn-ea"/>
                  <a:cs typeface="+mn-cs"/>
                </a:rPr>
                <a:t>𝑥</a:t>
              </a:r>
              <a:endParaRPr lang="en-AU" sz="1100" u="none"/>
            </a:p>
          </xdr:txBody>
        </xdr:sp>
      </mc:Fallback>
    </mc:AlternateContent>
    <xdr:clientData/>
  </xdr:oneCellAnchor>
  <xdr:twoCellAnchor>
    <xdr:from>
      <xdr:col>3</xdr:col>
      <xdr:colOff>142875</xdr:colOff>
      <xdr:row>41</xdr:row>
      <xdr:rowOff>66675</xdr:rowOff>
    </xdr:from>
    <xdr:to>
      <xdr:col>5</xdr:col>
      <xdr:colOff>161925</xdr:colOff>
      <xdr:row>47</xdr:row>
      <xdr:rowOff>66675</xdr:rowOff>
    </xdr:to>
    <xdr:pic>
      <xdr:nvPicPr>
        <xdr:cNvPr id="15935826" name="Picture 4" descr="725038">
          <a:extLst>
            <a:ext uri="{FF2B5EF4-FFF2-40B4-BE49-F238E27FC236}">
              <a16:creationId xmlns:a16="http://schemas.microsoft.com/office/drawing/2014/main" id="{00000000-0008-0000-1200-00005229F3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28700" y="8258175"/>
          <a:ext cx="609600" cy="9239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38100</xdr:colOff>
          <xdr:row>14</xdr:row>
          <xdr:rowOff>19050</xdr:rowOff>
        </xdr:from>
        <xdr:to>
          <xdr:col>11</xdr:col>
          <xdr:colOff>571500</xdr:colOff>
          <xdr:row>14</xdr:row>
          <xdr:rowOff>400050</xdr:rowOff>
        </xdr:to>
        <xdr:sp macro="" textlink="">
          <xdr:nvSpPr>
            <xdr:cNvPr id="13448193" name="Button 1" hidden="1">
              <a:extLst>
                <a:ext uri="{63B3BB69-23CF-44E3-9099-C40C66FF867C}">
                  <a14:compatExt spid="_x0000_s13448193"/>
                </a:ext>
                <a:ext uri="{FF2B5EF4-FFF2-40B4-BE49-F238E27FC236}">
                  <a16:creationId xmlns:a16="http://schemas.microsoft.com/office/drawing/2014/main" id="{00000000-0008-0000-1700-000001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Electrometer DCC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16</xdr:row>
          <xdr:rowOff>38100</xdr:rowOff>
        </xdr:from>
        <xdr:to>
          <xdr:col>11</xdr:col>
          <xdr:colOff>581025</xdr:colOff>
          <xdr:row>17</xdr:row>
          <xdr:rowOff>0</xdr:rowOff>
        </xdr:to>
        <xdr:sp macro="" textlink="">
          <xdr:nvSpPr>
            <xdr:cNvPr id="13448195" name="Button 3" hidden="1">
              <a:extLst>
                <a:ext uri="{63B3BB69-23CF-44E3-9099-C40C66FF867C}">
                  <a14:compatExt spid="_x0000_s13448195"/>
                </a:ext>
                <a:ext uri="{FF2B5EF4-FFF2-40B4-BE49-F238E27FC236}">
                  <a16:creationId xmlns:a16="http://schemas.microsoft.com/office/drawing/2014/main" id="{00000000-0008-0000-1700-000003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MEX DCC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17</xdr:row>
          <xdr:rowOff>47625</xdr:rowOff>
        </xdr:from>
        <xdr:to>
          <xdr:col>11</xdr:col>
          <xdr:colOff>581025</xdr:colOff>
          <xdr:row>18</xdr:row>
          <xdr:rowOff>0</xdr:rowOff>
        </xdr:to>
        <xdr:sp macro="" textlink="">
          <xdr:nvSpPr>
            <xdr:cNvPr id="13448196" name="Button 4" hidden="1">
              <a:extLst>
                <a:ext uri="{63B3BB69-23CF-44E3-9099-C40C66FF867C}">
                  <a14:compatExt spid="_x0000_s13448196"/>
                </a:ext>
                <a:ext uri="{FF2B5EF4-FFF2-40B4-BE49-F238E27FC236}">
                  <a16:creationId xmlns:a16="http://schemas.microsoft.com/office/drawing/2014/main" id="{00000000-0008-0000-1700-000004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LEX DCC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18</xdr:row>
          <xdr:rowOff>47625</xdr:rowOff>
        </xdr:from>
        <xdr:to>
          <xdr:col>11</xdr:col>
          <xdr:colOff>581025</xdr:colOff>
          <xdr:row>18</xdr:row>
          <xdr:rowOff>409575</xdr:rowOff>
        </xdr:to>
        <xdr:sp macro="" textlink="">
          <xdr:nvSpPr>
            <xdr:cNvPr id="13448197" name="Button 5" hidden="1">
              <a:extLst>
                <a:ext uri="{63B3BB69-23CF-44E3-9099-C40C66FF867C}">
                  <a14:compatExt spid="_x0000_s13448197"/>
                </a:ext>
                <a:ext uri="{FF2B5EF4-FFF2-40B4-BE49-F238E27FC236}">
                  <a16:creationId xmlns:a16="http://schemas.microsoft.com/office/drawing/2014/main" id="{00000000-0008-0000-1700-000005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MV-P/Co DCC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19</xdr:row>
          <xdr:rowOff>28575</xdr:rowOff>
        </xdr:from>
        <xdr:to>
          <xdr:col>11</xdr:col>
          <xdr:colOff>581025</xdr:colOff>
          <xdr:row>19</xdr:row>
          <xdr:rowOff>400050</xdr:rowOff>
        </xdr:to>
        <xdr:sp macro="" textlink="">
          <xdr:nvSpPr>
            <xdr:cNvPr id="13448198" name="Button 6" hidden="1">
              <a:extLst>
                <a:ext uri="{63B3BB69-23CF-44E3-9099-C40C66FF867C}">
                  <a14:compatExt spid="_x0000_s13448198"/>
                </a:ext>
                <a:ext uri="{FF2B5EF4-FFF2-40B4-BE49-F238E27FC236}">
                  <a16:creationId xmlns:a16="http://schemas.microsoft.com/office/drawing/2014/main" id="{00000000-0008-0000-1700-000006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MV-E DCC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15</xdr:row>
          <xdr:rowOff>28575</xdr:rowOff>
        </xdr:from>
        <xdr:to>
          <xdr:col>11</xdr:col>
          <xdr:colOff>581025</xdr:colOff>
          <xdr:row>15</xdr:row>
          <xdr:rowOff>419100</xdr:rowOff>
        </xdr:to>
        <xdr:sp macro="" textlink="">
          <xdr:nvSpPr>
            <xdr:cNvPr id="13448199" name="Button 7" hidden="1">
              <a:extLst>
                <a:ext uri="{63B3BB69-23CF-44E3-9099-C40C66FF867C}">
                  <a14:compatExt spid="_x0000_s13448199"/>
                </a:ext>
                <a:ext uri="{FF2B5EF4-FFF2-40B4-BE49-F238E27FC236}">
                  <a16:creationId xmlns:a16="http://schemas.microsoft.com/office/drawing/2014/main" id="{00000000-0008-0000-1700-000007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Co-60 (only) DCC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14</xdr:row>
          <xdr:rowOff>19050</xdr:rowOff>
        </xdr:from>
        <xdr:to>
          <xdr:col>7</xdr:col>
          <xdr:colOff>609600</xdr:colOff>
          <xdr:row>14</xdr:row>
          <xdr:rowOff>400050</xdr:rowOff>
        </xdr:to>
        <xdr:sp macro="" textlink="">
          <xdr:nvSpPr>
            <xdr:cNvPr id="13448200" name="Button 8" hidden="1">
              <a:extLst>
                <a:ext uri="{63B3BB69-23CF-44E3-9099-C40C66FF867C}">
                  <a14:compatExt spid="_x0000_s13448200"/>
                </a:ext>
                <a:ext uri="{FF2B5EF4-FFF2-40B4-BE49-F238E27FC236}">
                  <a16:creationId xmlns:a16="http://schemas.microsoft.com/office/drawing/2014/main" id="{00000000-0008-0000-1700-000008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Sign as NATA signatory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15</xdr:row>
          <xdr:rowOff>19050</xdr:rowOff>
        </xdr:from>
        <xdr:to>
          <xdr:col>7</xdr:col>
          <xdr:colOff>609600</xdr:colOff>
          <xdr:row>15</xdr:row>
          <xdr:rowOff>400050</xdr:rowOff>
        </xdr:to>
        <xdr:sp macro="" textlink="">
          <xdr:nvSpPr>
            <xdr:cNvPr id="13448201" name="Button 9" hidden="1">
              <a:extLst>
                <a:ext uri="{63B3BB69-23CF-44E3-9099-C40C66FF867C}">
                  <a14:compatExt spid="_x0000_s13448201"/>
                </a:ext>
                <a:ext uri="{FF2B5EF4-FFF2-40B4-BE49-F238E27FC236}">
                  <a16:creationId xmlns:a16="http://schemas.microsoft.com/office/drawing/2014/main" id="{00000000-0008-0000-1700-000009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Sign as NATA signatory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16</xdr:row>
          <xdr:rowOff>19050</xdr:rowOff>
        </xdr:from>
        <xdr:to>
          <xdr:col>7</xdr:col>
          <xdr:colOff>609600</xdr:colOff>
          <xdr:row>16</xdr:row>
          <xdr:rowOff>400050</xdr:rowOff>
        </xdr:to>
        <xdr:sp macro="" textlink="">
          <xdr:nvSpPr>
            <xdr:cNvPr id="13448202" name="Button 10" hidden="1">
              <a:extLst>
                <a:ext uri="{63B3BB69-23CF-44E3-9099-C40C66FF867C}">
                  <a14:compatExt spid="_x0000_s13448202"/>
                </a:ext>
                <a:ext uri="{FF2B5EF4-FFF2-40B4-BE49-F238E27FC236}">
                  <a16:creationId xmlns:a16="http://schemas.microsoft.com/office/drawing/2014/main" id="{00000000-0008-0000-1700-00000A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Sign as NATA signatory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17</xdr:row>
          <xdr:rowOff>19050</xdr:rowOff>
        </xdr:from>
        <xdr:to>
          <xdr:col>7</xdr:col>
          <xdr:colOff>609600</xdr:colOff>
          <xdr:row>17</xdr:row>
          <xdr:rowOff>400050</xdr:rowOff>
        </xdr:to>
        <xdr:sp macro="" textlink="">
          <xdr:nvSpPr>
            <xdr:cNvPr id="13448203" name="Button 11" hidden="1">
              <a:extLst>
                <a:ext uri="{63B3BB69-23CF-44E3-9099-C40C66FF867C}">
                  <a14:compatExt spid="_x0000_s13448203"/>
                </a:ext>
                <a:ext uri="{FF2B5EF4-FFF2-40B4-BE49-F238E27FC236}">
                  <a16:creationId xmlns:a16="http://schemas.microsoft.com/office/drawing/2014/main" id="{00000000-0008-0000-1700-00000B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Sign as NATA signatory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18</xdr:row>
          <xdr:rowOff>19050</xdr:rowOff>
        </xdr:from>
        <xdr:to>
          <xdr:col>7</xdr:col>
          <xdr:colOff>609600</xdr:colOff>
          <xdr:row>18</xdr:row>
          <xdr:rowOff>400050</xdr:rowOff>
        </xdr:to>
        <xdr:sp macro="" textlink="">
          <xdr:nvSpPr>
            <xdr:cNvPr id="13448204" name="Button 12" hidden="1">
              <a:extLst>
                <a:ext uri="{63B3BB69-23CF-44E3-9099-C40C66FF867C}">
                  <a14:compatExt spid="_x0000_s13448204"/>
                </a:ext>
                <a:ext uri="{FF2B5EF4-FFF2-40B4-BE49-F238E27FC236}">
                  <a16:creationId xmlns:a16="http://schemas.microsoft.com/office/drawing/2014/main" id="{00000000-0008-0000-1700-00000C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Sign as NATA signatory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19</xdr:row>
          <xdr:rowOff>19050</xdr:rowOff>
        </xdr:from>
        <xdr:to>
          <xdr:col>7</xdr:col>
          <xdr:colOff>609600</xdr:colOff>
          <xdr:row>19</xdr:row>
          <xdr:rowOff>400050</xdr:rowOff>
        </xdr:to>
        <xdr:sp macro="" textlink="">
          <xdr:nvSpPr>
            <xdr:cNvPr id="13448205" name="Button 13" hidden="1">
              <a:extLst>
                <a:ext uri="{63B3BB69-23CF-44E3-9099-C40C66FF867C}">
                  <a14:compatExt spid="_x0000_s13448205"/>
                </a:ext>
                <a:ext uri="{FF2B5EF4-FFF2-40B4-BE49-F238E27FC236}">
                  <a16:creationId xmlns:a16="http://schemas.microsoft.com/office/drawing/2014/main" id="{00000000-0008-0000-1700-00000D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Sign as NATA signatory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20</xdr:row>
          <xdr:rowOff>28575</xdr:rowOff>
        </xdr:from>
        <xdr:to>
          <xdr:col>11</xdr:col>
          <xdr:colOff>581025</xdr:colOff>
          <xdr:row>20</xdr:row>
          <xdr:rowOff>400050</xdr:rowOff>
        </xdr:to>
        <xdr:sp macro="" textlink="">
          <xdr:nvSpPr>
            <xdr:cNvPr id="13448208" name="Button 16" hidden="1">
              <a:extLst>
                <a:ext uri="{63B3BB69-23CF-44E3-9099-C40C66FF867C}">
                  <a14:compatExt spid="_x0000_s13448208"/>
                </a:ext>
                <a:ext uri="{FF2B5EF4-FFF2-40B4-BE49-F238E27FC236}">
                  <a16:creationId xmlns:a16="http://schemas.microsoft.com/office/drawing/2014/main" id="{00000000-0008-0000-1700-000010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Elec 2CH DCC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19050</xdr:colOff>
          <xdr:row>20</xdr:row>
          <xdr:rowOff>19050</xdr:rowOff>
        </xdr:from>
        <xdr:to>
          <xdr:col>7</xdr:col>
          <xdr:colOff>609600</xdr:colOff>
          <xdr:row>20</xdr:row>
          <xdr:rowOff>400050</xdr:rowOff>
        </xdr:to>
        <xdr:sp macro="" textlink="">
          <xdr:nvSpPr>
            <xdr:cNvPr id="13448211" name="Button 19" hidden="1">
              <a:extLst>
                <a:ext uri="{63B3BB69-23CF-44E3-9099-C40C66FF867C}">
                  <a14:compatExt spid="_x0000_s13448211"/>
                </a:ext>
                <a:ext uri="{FF2B5EF4-FFF2-40B4-BE49-F238E27FC236}">
                  <a16:creationId xmlns:a16="http://schemas.microsoft.com/office/drawing/2014/main" id="{00000000-0008-0000-1700-000013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Sign as NATA signatory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14</xdr:row>
          <xdr:rowOff>19050</xdr:rowOff>
        </xdr:from>
        <xdr:to>
          <xdr:col>4</xdr:col>
          <xdr:colOff>590550</xdr:colOff>
          <xdr:row>14</xdr:row>
          <xdr:rowOff>400050</xdr:rowOff>
        </xdr:to>
        <xdr:sp macro="" textlink="">
          <xdr:nvSpPr>
            <xdr:cNvPr id="13448212" name="Button 20" hidden="1">
              <a:extLst>
                <a:ext uri="{63B3BB69-23CF-44E3-9099-C40C66FF867C}">
                  <a14:compatExt spid="_x0000_s13448212"/>
                </a:ext>
                <a:ext uri="{FF2B5EF4-FFF2-40B4-BE49-F238E27FC236}">
                  <a16:creationId xmlns:a16="http://schemas.microsoft.com/office/drawing/2014/main" id="{00000000-0008-0000-1700-000014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15</xdr:row>
          <xdr:rowOff>19050</xdr:rowOff>
        </xdr:from>
        <xdr:to>
          <xdr:col>4</xdr:col>
          <xdr:colOff>590550</xdr:colOff>
          <xdr:row>15</xdr:row>
          <xdr:rowOff>400050</xdr:rowOff>
        </xdr:to>
        <xdr:sp macro="" textlink="">
          <xdr:nvSpPr>
            <xdr:cNvPr id="13448213" name="Button 21" hidden="1">
              <a:extLst>
                <a:ext uri="{63B3BB69-23CF-44E3-9099-C40C66FF867C}">
                  <a14:compatExt spid="_x0000_s13448213"/>
                </a:ext>
                <a:ext uri="{FF2B5EF4-FFF2-40B4-BE49-F238E27FC236}">
                  <a16:creationId xmlns:a16="http://schemas.microsoft.com/office/drawing/2014/main" id="{00000000-0008-0000-1700-000015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16</xdr:row>
          <xdr:rowOff>19050</xdr:rowOff>
        </xdr:from>
        <xdr:to>
          <xdr:col>4</xdr:col>
          <xdr:colOff>590550</xdr:colOff>
          <xdr:row>16</xdr:row>
          <xdr:rowOff>400050</xdr:rowOff>
        </xdr:to>
        <xdr:sp macro="" textlink="">
          <xdr:nvSpPr>
            <xdr:cNvPr id="13448214" name="Button 22" hidden="1">
              <a:extLst>
                <a:ext uri="{63B3BB69-23CF-44E3-9099-C40C66FF867C}">
                  <a14:compatExt spid="_x0000_s13448214"/>
                </a:ext>
                <a:ext uri="{FF2B5EF4-FFF2-40B4-BE49-F238E27FC236}">
                  <a16:creationId xmlns:a16="http://schemas.microsoft.com/office/drawing/2014/main" id="{00000000-0008-0000-1700-000016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17</xdr:row>
          <xdr:rowOff>19050</xdr:rowOff>
        </xdr:from>
        <xdr:to>
          <xdr:col>4</xdr:col>
          <xdr:colOff>590550</xdr:colOff>
          <xdr:row>17</xdr:row>
          <xdr:rowOff>400050</xdr:rowOff>
        </xdr:to>
        <xdr:sp macro="" textlink="">
          <xdr:nvSpPr>
            <xdr:cNvPr id="13448215" name="Button 23" hidden="1">
              <a:extLst>
                <a:ext uri="{63B3BB69-23CF-44E3-9099-C40C66FF867C}">
                  <a14:compatExt spid="_x0000_s13448215"/>
                </a:ext>
                <a:ext uri="{FF2B5EF4-FFF2-40B4-BE49-F238E27FC236}">
                  <a16:creationId xmlns:a16="http://schemas.microsoft.com/office/drawing/2014/main" id="{00000000-0008-0000-1700-000017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18</xdr:row>
          <xdr:rowOff>19050</xdr:rowOff>
        </xdr:from>
        <xdr:to>
          <xdr:col>4</xdr:col>
          <xdr:colOff>590550</xdr:colOff>
          <xdr:row>18</xdr:row>
          <xdr:rowOff>400050</xdr:rowOff>
        </xdr:to>
        <xdr:sp macro="" textlink="">
          <xdr:nvSpPr>
            <xdr:cNvPr id="13448216" name="Button 24" hidden="1">
              <a:extLst>
                <a:ext uri="{63B3BB69-23CF-44E3-9099-C40C66FF867C}">
                  <a14:compatExt spid="_x0000_s13448216"/>
                </a:ext>
                <a:ext uri="{FF2B5EF4-FFF2-40B4-BE49-F238E27FC236}">
                  <a16:creationId xmlns:a16="http://schemas.microsoft.com/office/drawing/2014/main" id="{00000000-0008-0000-1700-000018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19</xdr:row>
          <xdr:rowOff>19050</xdr:rowOff>
        </xdr:from>
        <xdr:to>
          <xdr:col>4</xdr:col>
          <xdr:colOff>590550</xdr:colOff>
          <xdr:row>19</xdr:row>
          <xdr:rowOff>400050</xdr:rowOff>
        </xdr:to>
        <xdr:sp macro="" textlink="">
          <xdr:nvSpPr>
            <xdr:cNvPr id="13448217" name="Button 25" hidden="1">
              <a:extLst>
                <a:ext uri="{63B3BB69-23CF-44E3-9099-C40C66FF867C}">
                  <a14:compatExt spid="_x0000_s13448217"/>
                </a:ext>
                <a:ext uri="{FF2B5EF4-FFF2-40B4-BE49-F238E27FC236}">
                  <a16:creationId xmlns:a16="http://schemas.microsoft.com/office/drawing/2014/main" id="{00000000-0008-0000-1700-000019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xdr:colOff>
          <xdr:row>20</xdr:row>
          <xdr:rowOff>19050</xdr:rowOff>
        </xdr:from>
        <xdr:to>
          <xdr:col>4</xdr:col>
          <xdr:colOff>590550</xdr:colOff>
          <xdr:row>20</xdr:row>
          <xdr:rowOff>400050</xdr:rowOff>
        </xdr:to>
        <xdr:sp macro="" textlink="">
          <xdr:nvSpPr>
            <xdr:cNvPr id="13448218" name="Button 26" hidden="1">
              <a:extLst>
                <a:ext uri="{63B3BB69-23CF-44E3-9099-C40C66FF867C}">
                  <a14:compatExt spid="_x0000_s13448218"/>
                </a:ext>
                <a:ext uri="{FF2B5EF4-FFF2-40B4-BE49-F238E27FC236}">
                  <a16:creationId xmlns:a16="http://schemas.microsoft.com/office/drawing/2014/main" id="{00000000-0008-0000-1700-00001A34CD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PDF</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180975</xdr:colOff>
          <xdr:row>14</xdr:row>
          <xdr:rowOff>19050</xdr:rowOff>
        </xdr:from>
        <xdr:to>
          <xdr:col>4</xdr:col>
          <xdr:colOff>400050</xdr:colOff>
          <xdr:row>14</xdr:row>
          <xdr:rowOff>180975</xdr:rowOff>
        </xdr:to>
        <xdr:sp macro="" textlink="">
          <xdr:nvSpPr>
            <xdr:cNvPr id="180225" name="Check Box 1" hidden="1">
              <a:extLst>
                <a:ext uri="{63B3BB69-23CF-44E3-9099-C40C66FF867C}">
                  <a14:compatExt spid="_x0000_s180225"/>
                </a:ext>
                <a:ext uri="{FF2B5EF4-FFF2-40B4-BE49-F238E27FC236}">
                  <a16:creationId xmlns:a16="http://schemas.microsoft.com/office/drawing/2014/main" id="{00000000-0008-0000-1800-000001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180975</xdr:colOff>
          <xdr:row>6</xdr:row>
          <xdr:rowOff>0</xdr:rowOff>
        </xdr:from>
        <xdr:to>
          <xdr:col>4</xdr:col>
          <xdr:colOff>400050</xdr:colOff>
          <xdr:row>7</xdr:row>
          <xdr:rowOff>0</xdr:rowOff>
        </xdr:to>
        <xdr:sp macro="" textlink="">
          <xdr:nvSpPr>
            <xdr:cNvPr id="180226" name="Check Box 2" hidden="1">
              <a:extLst>
                <a:ext uri="{63B3BB69-23CF-44E3-9099-C40C66FF867C}">
                  <a14:compatExt spid="_x0000_s180226"/>
                </a:ext>
                <a:ext uri="{FF2B5EF4-FFF2-40B4-BE49-F238E27FC236}">
                  <a16:creationId xmlns:a16="http://schemas.microsoft.com/office/drawing/2014/main" id="{00000000-0008-0000-1800-000002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180975</xdr:colOff>
          <xdr:row>12</xdr:row>
          <xdr:rowOff>0</xdr:rowOff>
        </xdr:from>
        <xdr:to>
          <xdr:col>4</xdr:col>
          <xdr:colOff>400050</xdr:colOff>
          <xdr:row>13</xdr:row>
          <xdr:rowOff>0</xdr:rowOff>
        </xdr:to>
        <xdr:sp macro="" textlink="">
          <xdr:nvSpPr>
            <xdr:cNvPr id="180227" name="Check Box 3" hidden="1">
              <a:extLst>
                <a:ext uri="{63B3BB69-23CF-44E3-9099-C40C66FF867C}">
                  <a14:compatExt spid="_x0000_s180227"/>
                </a:ext>
                <a:ext uri="{FF2B5EF4-FFF2-40B4-BE49-F238E27FC236}">
                  <a16:creationId xmlns:a16="http://schemas.microsoft.com/office/drawing/2014/main" id="{00000000-0008-0000-1800-000003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180975</xdr:colOff>
          <xdr:row>8</xdr:row>
          <xdr:rowOff>180975</xdr:rowOff>
        </xdr:from>
        <xdr:to>
          <xdr:col>4</xdr:col>
          <xdr:colOff>400050</xdr:colOff>
          <xdr:row>9</xdr:row>
          <xdr:rowOff>180975</xdr:rowOff>
        </xdr:to>
        <xdr:sp macro="" textlink="">
          <xdr:nvSpPr>
            <xdr:cNvPr id="180228" name="Check Box 4" hidden="1">
              <a:extLst>
                <a:ext uri="{63B3BB69-23CF-44E3-9099-C40C66FF867C}">
                  <a14:compatExt spid="_x0000_s180228"/>
                </a:ext>
                <a:ext uri="{FF2B5EF4-FFF2-40B4-BE49-F238E27FC236}">
                  <a16:creationId xmlns:a16="http://schemas.microsoft.com/office/drawing/2014/main" id="{00000000-0008-0000-1800-000004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17</xdr:row>
          <xdr:rowOff>9525</xdr:rowOff>
        </xdr:from>
        <xdr:to>
          <xdr:col>4</xdr:col>
          <xdr:colOff>400050</xdr:colOff>
          <xdr:row>17</xdr:row>
          <xdr:rowOff>171450</xdr:rowOff>
        </xdr:to>
        <xdr:sp macro="" textlink="">
          <xdr:nvSpPr>
            <xdr:cNvPr id="180229" name="Check Box 5" hidden="1">
              <a:extLst>
                <a:ext uri="{63B3BB69-23CF-44E3-9099-C40C66FF867C}">
                  <a14:compatExt spid="_x0000_s180229"/>
                </a:ext>
                <a:ext uri="{FF2B5EF4-FFF2-40B4-BE49-F238E27FC236}">
                  <a16:creationId xmlns:a16="http://schemas.microsoft.com/office/drawing/2014/main" id="{00000000-0008-0000-1800-000005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19</xdr:row>
          <xdr:rowOff>28575</xdr:rowOff>
        </xdr:from>
        <xdr:to>
          <xdr:col>4</xdr:col>
          <xdr:colOff>400050</xdr:colOff>
          <xdr:row>20</xdr:row>
          <xdr:rowOff>0</xdr:rowOff>
        </xdr:to>
        <xdr:sp macro="" textlink="">
          <xdr:nvSpPr>
            <xdr:cNvPr id="180230" name="Check Box 6" hidden="1">
              <a:extLst>
                <a:ext uri="{63B3BB69-23CF-44E3-9099-C40C66FF867C}">
                  <a14:compatExt spid="_x0000_s180230"/>
                </a:ext>
                <a:ext uri="{FF2B5EF4-FFF2-40B4-BE49-F238E27FC236}">
                  <a16:creationId xmlns:a16="http://schemas.microsoft.com/office/drawing/2014/main" id="{00000000-0008-0000-1800-000006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23</xdr:row>
          <xdr:rowOff>28575</xdr:rowOff>
        </xdr:from>
        <xdr:to>
          <xdr:col>4</xdr:col>
          <xdr:colOff>400050</xdr:colOff>
          <xdr:row>24</xdr:row>
          <xdr:rowOff>0</xdr:rowOff>
        </xdr:to>
        <xdr:sp macro="" textlink="">
          <xdr:nvSpPr>
            <xdr:cNvPr id="180231" name="Check Box 7" hidden="1">
              <a:extLst>
                <a:ext uri="{63B3BB69-23CF-44E3-9099-C40C66FF867C}">
                  <a14:compatExt spid="_x0000_s180231"/>
                </a:ext>
                <a:ext uri="{FF2B5EF4-FFF2-40B4-BE49-F238E27FC236}">
                  <a16:creationId xmlns:a16="http://schemas.microsoft.com/office/drawing/2014/main" id="{00000000-0008-0000-1800-000007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25</xdr:row>
          <xdr:rowOff>28575</xdr:rowOff>
        </xdr:from>
        <xdr:to>
          <xdr:col>4</xdr:col>
          <xdr:colOff>400050</xdr:colOff>
          <xdr:row>26</xdr:row>
          <xdr:rowOff>0</xdr:rowOff>
        </xdr:to>
        <xdr:sp macro="" textlink="">
          <xdr:nvSpPr>
            <xdr:cNvPr id="180232" name="Check Box 8" hidden="1">
              <a:extLst>
                <a:ext uri="{63B3BB69-23CF-44E3-9099-C40C66FF867C}">
                  <a14:compatExt spid="_x0000_s180232"/>
                </a:ext>
                <a:ext uri="{FF2B5EF4-FFF2-40B4-BE49-F238E27FC236}">
                  <a16:creationId xmlns:a16="http://schemas.microsoft.com/office/drawing/2014/main" id="{00000000-0008-0000-1800-000008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45</xdr:row>
          <xdr:rowOff>28575</xdr:rowOff>
        </xdr:from>
        <xdr:to>
          <xdr:col>4</xdr:col>
          <xdr:colOff>400050</xdr:colOff>
          <xdr:row>46</xdr:row>
          <xdr:rowOff>0</xdr:rowOff>
        </xdr:to>
        <xdr:sp macro="" textlink="">
          <xdr:nvSpPr>
            <xdr:cNvPr id="180233" name="Check Box 9" hidden="1">
              <a:extLst>
                <a:ext uri="{63B3BB69-23CF-44E3-9099-C40C66FF867C}">
                  <a14:compatExt spid="_x0000_s180233"/>
                </a:ext>
                <a:ext uri="{FF2B5EF4-FFF2-40B4-BE49-F238E27FC236}">
                  <a16:creationId xmlns:a16="http://schemas.microsoft.com/office/drawing/2014/main" id="{00000000-0008-0000-1800-000009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46</xdr:row>
          <xdr:rowOff>28575</xdr:rowOff>
        </xdr:from>
        <xdr:to>
          <xdr:col>4</xdr:col>
          <xdr:colOff>400050</xdr:colOff>
          <xdr:row>47</xdr:row>
          <xdr:rowOff>0</xdr:rowOff>
        </xdr:to>
        <xdr:sp macro="" textlink="">
          <xdr:nvSpPr>
            <xdr:cNvPr id="180234" name="Check Box 10" hidden="1">
              <a:extLst>
                <a:ext uri="{63B3BB69-23CF-44E3-9099-C40C66FF867C}">
                  <a14:compatExt spid="_x0000_s180234"/>
                </a:ext>
                <a:ext uri="{FF2B5EF4-FFF2-40B4-BE49-F238E27FC236}">
                  <a16:creationId xmlns:a16="http://schemas.microsoft.com/office/drawing/2014/main" id="{00000000-0008-0000-1800-00000A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46</xdr:row>
          <xdr:rowOff>28575</xdr:rowOff>
        </xdr:from>
        <xdr:to>
          <xdr:col>4</xdr:col>
          <xdr:colOff>400050</xdr:colOff>
          <xdr:row>47</xdr:row>
          <xdr:rowOff>0</xdr:rowOff>
        </xdr:to>
        <xdr:sp macro="" textlink="">
          <xdr:nvSpPr>
            <xdr:cNvPr id="180235" name="Check Box 11" hidden="1">
              <a:extLst>
                <a:ext uri="{63B3BB69-23CF-44E3-9099-C40C66FF867C}">
                  <a14:compatExt spid="_x0000_s180235"/>
                </a:ext>
                <a:ext uri="{FF2B5EF4-FFF2-40B4-BE49-F238E27FC236}">
                  <a16:creationId xmlns:a16="http://schemas.microsoft.com/office/drawing/2014/main" id="{00000000-0008-0000-1800-00000B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48</xdr:row>
          <xdr:rowOff>28575</xdr:rowOff>
        </xdr:from>
        <xdr:to>
          <xdr:col>4</xdr:col>
          <xdr:colOff>400050</xdr:colOff>
          <xdr:row>49</xdr:row>
          <xdr:rowOff>0</xdr:rowOff>
        </xdr:to>
        <xdr:sp macro="" textlink="">
          <xdr:nvSpPr>
            <xdr:cNvPr id="180236" name="Check Box 12" hidden="1">
              <a:extLst>
                <a:ext uri="{63B3BB69-23CF-44E3-9099-C40C66FF867C}">
                  <a14:compatExt spid="_x0000_s180236"/>
                </a:ext>
                <a:ext uri="{FF2B5EF4-FFF2-40B4-BE49-F238E27FC236}">
                  <a16:creationId xmlns:a16="http://schemas.microsoft.com/office/drawing/2014/main" id="{00000000-0008-0000-1800-00000C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48</xdr:row>
          <xdr:rowOff>28575</xdr:rowOff>
        </xdr:from>
        <xdr:to>
          <xdr:col>4</xdr:col>
          <xdr:colOff>400050</xdr:colOff>
          <xdr:row>49</xdr:row>
          <xdr:rowOff>0</xdr:rowOff>
        </xdr:to>
        <xdr:sp macro="" textlink="">
          <xdr:nvSpPr>
            <xdr:cNvPr id="180237" name="Check Box 13" hidden="1">
              <a:extLst>
                <a:ext uri="{63B3BB69-23CF-44E3-9099-C40C66FF867C}">
                  <a14:compatExt spid="_x0000_s180237"/>
                </a:ext>
                <a:ext uri="{FF2B5EF4-FFF2-40B4-BE49-F238E27FC236}">
                  <a16:creationId xmlns:a16="http://schemas.microsoft.com/office/drawing/2014/main" id="{00000000-0008-0000-1800-00000D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49</xdr:row>
          <xdr:rowOff>28575</xdr:rowOff>
        </xdr:from>
        <xdr:to>
          <xdr:col>4</xdr:col>
          <xdr:colOff>400050</xdr:colOff>
          <xdr:row>50</xdr:row>
          <xdr:rowOff>0</xdr:rowOff>
        </xdr:to>
        <xdr:sp macro="" textlink="">
          <xdr:nvSpPr>
            <xdr:cNvPr id="180238" name="Check Box 14" hidden="1">
              <a:extLst>
                <a:ext uri="{63B3BB69-23CF-44E3-9099-C40C66FF867C}">
                  <a14:compatExt spid="_x0000_s180238"/>
                </a:ext>
                <a:ext uri="{FF2B5EF4-FFF2-40B4-BE49-F238E27FC236}">
                  <a16:creationId xmlns:a16="http://schemas.microsoft.com/office/drawing/2014/main" id="{00000000-0008-0000-1800-00000E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49</xdr:row>
          <xdr:rowOff>28575</xdr:rowOff>
        </xdr:from>
        <xdr:to>
          <xdr:col>4</xdr:col>
          <xdr:colOff>400050</xdr:colOff>
          <xdr:row>50</xdr:row>
          <xdr:rowOff>0</xdr:rowOff>
        </xdr:to>
        <xdr:sp macro="" textlink="">
          <xdr:nvSpPr>
            <xdr:cNvPr id="180239" name="Check Box 15" hidden="1">
              <a:extLst>
                <a:ext uri="{63B3BB69-23CF-44E3-9099-C40C66FF867C}">
                  <a14:compatExt spid="_x0000_s180239"/>
                </a:ext>
                <a:ext uri="{FF2B5EF4-FFF2-40B4-BE49-F238E27FC236}">
                  <a16:creationId xmlns:a16="http://schemas.microsoft.com/office/drawing/2014/main" id="{00000000-0008-0000-1800-00000F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50</xdr:row>
          <xdr:rowOff>28575</xdr:rowOff>
        </xdr:from>
        <xdr:to>
          <xdr:col>4</xdr:col>
          <xdr:colOff>400050</xdr:colOff>
          <xdr:row>51</xdr:row>
          <xdr:rowOff>0</xdr:rowOff>
        </xdr:to>
        <xdr:sp macro="" textlink="">
          <xdr:nvSpPr>
            <xdr:cNvPr id="180240" name="Check Box 16" hidden="1">
              <a:extLst>
                <a:ext uri="{63B3BB69-23CF-44E3-9099-C40C66FF867C}">
                  <a14:compatExt spid="_x0000_s180240"/>
                </a:ext>
                <a:ext uri="{FF2B5EF4-FFF2-40B4-BE49-F238E27FC236}">
                  <a16:creationId xmlns:a16="http://schemas.microsoft.com/office/drawing/2014/main" id="{00000000-0008-0000-1800-000010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50</xdr:row>
          <xdr:rowOff>28575</xdr:rowOff>
        </xdr:from>
        <xdr:to>
          <xdr:col>4</xdr:col>
          <xdr:colOff>400050</xdr:colOff>
          <xdr:row>51</xdr:row>
          <xdr:rowOff>0</xdr:rowOff>
        </xdr:to>
        <xdr:sp macro="" textlink="">
          <xdr:nvSpPr>
            <xdr:cNvPr id="180241" name="Check Box 17" hidden="1">
              <a:extLst>
                <a:ext uri="{63B3BB69-23CF-44E3-9099-C40C66FF867C}">
                  <a14:compatExt spid="_x0000_s180241"/>
                </a:ext>
                <a:ext uri="{FF2B5EF4-FFF2-40B4-BE49-F238E27FC236}">
                  <a16:creationId xmlns:a16="http://schemas.microsoft.com/office/drawing/2014/main" id="{00000000-0008-0000-1800-000011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51</xdr:row>
          <xdr:rowOff>28575</xdr:rowOff>
        </xdr:from>
        <xdr:to>
          <xdr:col>4</xdr:col>
          <xdr:colOff>400050</xdr:colOff>
          <xdr:row>52</xdr:row>
          <xdr:rowOff>0</xdr:rowOff>
        </xdr:to>
        <xdr:sp macro="" textlink="">
          <xdr:nvSpPr>
            <xdr:cNvPr id="180242" name="Check Box 18" hidden="1">
              <a:extLst>
                <a:ext uri="{63B3BB69-23CF-44E3-9099-C40C66FF867C}">
                  <a14:compatExt spid="_x0000_s180242"/>
                </a:ext>
                <a:ext uri="{FF2B5EF4-FFF2-40B4-BE49-F238E27FC236}">
                  <a16:creationId xmlns:a16="http://schemas.microsoft.com/office/drawing/2014/main" id="{00000000-0008-0000-1800-000012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51</xdr:row>
          <xdr:rowOff>28575</xdr:rowOff>
        </xdr:from>
        <xdr:to>
          <xdr:col>4</xdr:col>
          <xdr:colOff>400050</xdr:colOff>
          <xdr:row>52</xdr:row>
          <xdr:rowOff>0</xdr:rowOff>
        </xdr:to>
        <xdr:sp macro="" textlink="">
          <xdr:nvSpPr>
            <xdr:cNvPr id="180243" name="Check Box 19" hidden="1">
              <a:extLst>
                <a:ext uri="{63B3BB69-23CF-44E3-9099-C40C66FF867C}">
                  <a14:compatExt spid="_x0000_s180243"/>
                </a:ext>
                <a:ext uri="{FF2B5EF4-FFF2-40B4-BE49-F238E27FC236}">
                  <a16:creationId xmlns:a16="http://schemas.microsoft.com/office/drawing/2014/main" id="{00000000-0008-0000-1800-000013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52</xdr:row>
          <xdr:rowOff>28575</xdr:rowOff>
        </xdr:from>
        <xdr:to>
          <xdr:col>4</xdr:col>
          <xdr:colOff>400050</xdr:colOff>
          <xdr:row>53</xdr:row>
          <xdr:rowOff>0</xdr:rowOff>
        </xdr:to>
        <xdr:sp macro="" textlink="">
          <xdr:nvSpPr>
            <xdr:cNvPr id="180244" name="Check Box 20" hidden="1">
              <a:extLst>
                <a:ext uri="{63B3BB69-23CF-44E3-9099-C40C66FF867C}">
                  <a14:compatExt spid="_x0000_s180244"/>
                </a:ext>
                <a:ext uri="{FF2B5EF4-FFF2-40B4-BE49-F238E27FC236}">
                  <a16:creationId xmlns:a16="http://schemas.microsoft.com/office/drawing/2014/main" id="{00000000-0008-0000-1800-000014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52</xdr:row>
          <xdr:rowOff>28575</xdr:rowOff>
        </xdr:from>
        <xdr:to>
          <xdr:col>4</xdr:col>
          <xdr:colOff>400050</xdr:colOff>
          <xdr:row>53</xdr:row>
          <xdr:rowOff>0</xdr:rowOff>
        </xdr:to>
        <xdr:sp macro="" textlink="">
          <xdr:nvSpPr>
            <xdr:cNvPr id="180245" name="Check Box 21" hidden="1">
              <a:extLst>
                <a:ext uri="{63B3BB69-23CF-44E3-9099-C40C66FF867C}">
                  <a14:compatExt spid="_x0000_s180245"/>
                </a:ext>
                <a:ext uri="{FF2B5EF4-FFF2-40B4-BE49-F238E27FC236}">
                  <a16:creationId xmlns:a16="http://schemas.microsoft.com/office/drawing/2014/main" id="{00000000-0008-0000-1800-000015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53</xdr:row>
          <xdr:rowOff>28575</xdr:rowOff>
        </xdr:from>
        <xdr:to>
          <xdr:col>4</xdr:col>
          <xdr:colOff>400050</xdr:colOff>
          <xdr:row>54</xdr:row>
          <xdr:rowOff>0</xdr:rowOff>
        </xdr:to>
        <xdr:sp macro="" textlink="">
          <xdr:nvSpPr>
            <xdr:cNvPr id="180246" name="Check Box 22" hidden="1">
              <a:extLst>
                <a:ext uri="{63B3BB69-23CF-44E3-9099-C40C66FF867C}">
                  <a14:compatExt spid="_x0000_s180246"/>
                </a:ext>
                <a:ext uri="{FF2B5EF4-FFF2-40B4-BE49-F238E27FC236}">
                  <a16:creationId xmlns:a16="http://schemas.microsoft.com/office/drawing/2014/main" id="{00000000-0008-0000-1800-000016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53</xdr:row>
          <xdr:rowOff>28575</xdr:rowOff>
        </xdr:from>
        <xdr:to>
          <xdr:col>4</xdr:col>
          <xdr:colOff>400050</xdr:colOff>
          <xdr:row>54</xdr:row>
          <xdr:rowOff>0</xdr:rowOff>
        </xdr:to>
        <xdr:sp macro="" textlink="">
          <xdr:nvSpPr>
            <xdr:cNvPr id="180247" name="Check Box 23" hidden="1">
              <a:extLst>
                <a:ext uri="{63B3BB69-23CF-44E3-9099-C40C66FF867C}">
                  <a14:compatExt spid="_x0000_s180247"/>
                </a:ext>
                <a:ext uri="{FF2B5EF4-FFF2-40B4-BE49-F238E27FC236}">
                  <a16:creationId xmlns:a16="http://schemas.microsoft.com/office/drawing/2014/main" id="{00000000-0008-0000-1800-000017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54</xdr:row>
          <xdr:rowOff>28575</xdr:rowOff>
        </xdr:from>
        <xdr:to>
          <xdr:col>4</xdr:col>
          <xdr:colOff>400050</xdr:colOff>
          <xdr:row>55</xdr:row>
          <xdr:rowOff>0</xdr:rowOff>
        </xdr:to>
        <xdr:sp macro="" textlink="">
          <xdr:nvSpPr>
            <xdr:cNvPr id="180248" name="Check Box 24" hidden="1">
              <a:extLst>
                <a:ext uri="{63B3BB69-23CF-44E3-9099-C40C66FF867C}">
                  <a14:compatExt spid="_x0000_s180248"/>
                </a:ext>
                <a:ext uri="{FF2B5EF4-FFF2-40B4-BE49-F238E27FC236}">
                  <a16:creationId xmlns:a16="http://schemas.microsoft.com/office/drawing/2014/main" id="{00000000-0008-0000-1800-000018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54</xdr:row>
          <xdr:rowOff>28575</xdr:rowOff>
        </xdr:from>
        <xdr:to>
          <xdr:col>4</xdr:col>
          <xdr:colOff>400050</xdr:colOff>
          <xdr:row>55</xdr:row>
          <xdr:rowOff>0</xdr:rowOff>
        </xdr:to>
        <xdr:sp macro="" textlink="">
          <xdr:nvSpPr>
            <xdr:cNvPr id="180249" name="Check Box 25" hidden="1">
              <a:extLst>
                <a:ext uri="{63B3BB69-23CF-44E3-9099-C40C66FF867C}">
                  <a14:compatExt spid="_x0000_s180249"/>
                </a:ext>
                <a:ext uri="{FF2B5EF4-FFF2-40B4-BE49-F238E27FC236}">
                  <a16:creationId xmlns:a16="http://schemas.microsoft.com/office/drawing/2014/main" id="{00000000-0008-0000-1800-000019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55</xdr:row>
          <xdr:rowOff>28575</xdr:rowOff>
        </xdr:from>
        <xdr:to>
          <xdr:col>4</xdr:col>
          <xdr:colOff>400050</xdr:colOff>
          <xdr:row>56</xdr:row>
          <xdr:rowOff>0</xdr:rowOff>
        </xdr:to>
        <xdr:sp macro="" textlink="">
          <xdr:nvSpPr>
            <xdr:cNvPr id="180250" name="Check Box 26" hidden="1">
              <a:extLst>
                <a:ext uri="{63B3BB69-23CF-44E3-9099-C40C66FF867C}">
                  <a14:compatExt spid="_x0000_s180250"/>
                </a:ext>
                <a:ext uri="{FF2B5EF4-FFF2-40B4-BE49-F238E27FC236}">
                  <a16:creationId xmlns:a16="http://schemas.microsoft.com/office/drawing/2014/main" id="{00000000-0008-0000-1800-00001A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55</xdr:row>
          <xdr:rowOff>28575</xdr:rowOff>
        </xdr:from>
        <xdr:to>
          <xdr:col>4</xdr:col>
          <xdr:colOff>400050</xdr:colOff>
          <xdr:row>56</xdr:row>
          <xdr:rowOff>0</xdr:rowOff>
        </xdr:to>
        <xdr:sp macro="" textlink="">
          <xdr:nvSpPr>
            <xdr:cNvPr id="180251" name="Check Box 27" hidden="1">
              <a:extLst>
                <a:ext uri="{63B3BB69-23CF-44E3-9099-C40C66FF867C}">
                  <a14:compatExt spid="_x0000_s180251"/>
                </a:ext>
                <a:ext uri="{FF2B5EF4-FFF2-40B4-BE49-F238E27FC236}">
                  <a16:creationId xmlns:a16="http://schemas.microsoft.com/office/drawing/2014/main" id="{00000000-0008-0000-1800-00001B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56</xdr:row>
          <xdr:rowOff>28575</xdr:rowOff>
        </xdr:from>
        <xdr:to>
          <xdr:col>4</xdr:col>
          <xdr:colOff>400050</xdr:colOff>
          <xdr:row>57</xdr:row>
          <xdr:rowOff>0</xdr:rowOff>
        </xdr:to>
        <xdr:sp macro="" textlink="">
          <xdr:nvSpPr>
            <xdr:cNvPr id="180252" name="Check Box 28" hidden="1">
              <a:extLst>
                <a:ext uri="{63B3BB69-23CF-44E3-9099-C40C66FF867C}">
                  <a14:compatExt spid="_x0000_s180252"/>
                </a:ext>
                <a:ext uri="{FF2B5EF4-FFF2-40B4-BE49-F238E27FC236}">
                  <a16:creationId xmlns:a16="http://schemas.microsoft.com/office/drawing/2014/main" id="{00000000-0008-0000-1800-00001C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56</xdr:row>
          <xdr:rowOff>28575</xdr:rowOff>
        </xdr:from>
        <xdr:to>
          <xdr:col>4</xdr:col>
          <xdr:colOff>400050</xdr:colOff>
          <xdr:row>57</xdr:row>
          <xdr:rowOff>0</xdr:rowOff>
        </xdr:to>
        <xdr:sp macro="" textlink="">
          <xdr:nvSpPr>
            <xdr:cNvPr id="180253" name="Check Box 29" hidden="1">
              <a:extLst>
                <a:ext uri="{63B3BB69-23CF-44E3-9099-C40C66FF867C}">
                  <a14:compatExt spid="_x0000_s180253"/>
                </a:ext>
                <a:ext uri="{FF2B5EF4-FFF2-40B4-BE49-F238E27FC236}">
                  <a16:creationId xmlns:a16="http://schemas.microsoft.com/office/drawing/2014/main" id="{00000000-0008-0000-1800-00001D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57</xdr:row>
          <xdr:rowOff>28575</xdr:rowOff>
        </xdr:from>
        <xdr:to>
          <xdr:col>4</xdr:col>
          <xdr:colOff>400050</xdr:colOff>
          <xdr:row>58</xdr:row>
          <xdr:rowOff>0</xdr:rowOff>
        </xdr:to>
        <xdr:sp macro="" textlink="">
          <xdr:nvSpPr>
            <xdr:cNvPr id="180254" name="Check Box 30" hidden="1">
              <a:extLst>
                <a:ext uri="{63B3BB69-23CF-44E3-9099-C40C66FF867C}">
                  <a14:compatExt spid="_x0000_s180254"/>
                </a:ext>
                <a:ext uri="{FF2B5EF4-FFF2-40B4-BE49-F238E27FC236}">
                  <a16:creationId xmlns:a16="http://schemas.microsoft.com/office/drawing/2014/main" id="{00000000-0008-0000-1800-00001E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57</xdr:row>
          <xdr:rowOff>28575</xdr:rowOff>
        </xdr:from>
        <xdr:to>
          <xdr:col>4</xdr:col>
          <xdr:colOff>400050</xdr:colOff>
          <xdr:row>58</xdr:row>
          <xdr:rowOff>0</xdr:rowOff>
        </xdr:to>
        <xdr:sp macro="" textlink="">
          <xdr:nvSpPr>
            <xdr:cNvPr id="180255" name="Check Box 31" hidden="1">
              <a:extLst>
                <a:ext uri="{63B3BB69-23CF-44E3-9099-C40C66FF867C}">
                  <a14:compatExt spid="_x0000_s180255"/>
                </a:ext>
                <a:ext uri="{FF2B5EF4-FFF2-40B4-BE49-F238E27FC236}">
                  <a16:creationId xmlns:a16="http://schemas.microsoft.com/office/drawing/2014/main" id="{00000000-0008-0000-1800-00001F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58</xdr:row>
          <xdr:rowOff>28575</xdr:rowOff>
        </xdr:from>
        <xdr:to>
          <xdr:col>4</xdr:col>
          <xdr:colOff>400050</xdr:colOff>
          <xdr:row>59</xdr:row>
          <xdr:rowOff>0</xdr:rowOff>
        </xdr:to>
        <xdr:sp macro="" textlink="">
          <xdr:nvSpPr>
            <xdr:cNvPr id="180256" name="Check Box 32" hidden="1">
              <a:extLst>
                <a:ext uri="{63B3BB69-23CF-44E3-9099-C40C66FF867C}">
                  <a14:compatExt spid="_x0000_s180256"/>
                </a:ext>
                <a:ext uri="{FF2B5EF4-FFF2-40B4-BE49-F238E27FC236}">
                  <a16:creationId xmlns:a16="http://schemas.microsoft.com/office/drawing/2014/main" id="{00000000-0008-0000-1800-000020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58</xdr:row>
          <xdr:rowOff>28575</xdr:rowOff>
        </xdr:from>
        <xdr:to>
          <xdr:col>4</xdr:col>
          <xdr:colOff>400050</xdr:colOff>
          <xdr:row>59</xdr:row>
          <xdr:rowOff>0</xdr:rowOff>
        </xdr:to>
        <xdr:sp macro="" textlink="">
          <xdr:nvSpPr>
            <xdr:cNvPr id="180257" name="Check Box 33" hidden="1">
              <a:extLst>
                <a:ext uri="{63B3BB69-23CF-44E3-9099-C40C66FF867C}">
                  <a14:compatExt spid="_x0000_s180257"/>
                </a:ext>
                <a:ext uri="{FF2B5EF4-FFF2-40B4-BE49-F238E27FC236}">
                  <a16:creationId xmlns:a16="http://schemas.microsoft.com/office/drawing/2014/main" id="{00000000-0008-0000-1800-000021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59</xdr:row>
          <xdr:rowOff>28575</xdr:rowOff>
        </xdr:from>
        <xdr:to>
          <xdr:col>4</xdr:col>
          <xdr:colOff>400050</xdr:colOff>
          <xdr:row>60</xdr:row>
          <xdr:rowOff>0</xdr:rowOff>
        </xdr:to>
        <xdr:sp macro="" textlink="">
          <xdr:nvSpPr>
            <xdr:cNvPr id="180258" name="Check Box 34" hidden="1">
              <a:extLst>
                <a:ext uri="{63B3BB69-23CF-44E3-9099-C40C66FF867C}">
                  <a14:compatExt spid="_x0000_s180258"/>
                </a:ext>
                <a:ext uri="{FF2B5EF4-FFF2-40B4-BE49-F238E27FC236}">
                  <a16:creationId xmlns:a16="http://schemas.microsoft.com/office/drawing/2014/main" id="{00000000-0008-0000-1800-000022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59</xdr:row>
          <xdr:rowOff>28575</xdr:rowOff>
        </xdr:from>
        <xdr:to>
          <xdr:col>4</xdr:col>
          <xdr:colOff>400050</xdr:colOff>
          <xdr:row>60</xdr:row>
          <xdr:rowOff>0</xdr:rowOff>
        </xdr:to>
        <xdr:sp macro="" textlink="">
          <xdr:nvSpPr>
            <xdr:cNvPr id="180259" name="Check Box 35" hidden="1">
              <a:extLst>
                <a:ext uri="{63B3BB69-23CF-44E3-9099-C40C66FF867C}">
                  <a14:compatExt spid="_x0000_s180259"/>
                </a:ext>
                <a:ext uri="{FF2B5EF4-FFF2-40B4-BE49-F238E27FC236}">
                  <a16:creationId xmlns:a16="http://schemas.microsoft.com/office/drawing/2014/main" id="{00000000-0008-0000-1800-000023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61</xdr:row>
          <xdr:rowOff>0</xdr:rowOff>
        </xdr:from>
        <xdr:to>
          <xdr:col>4</xdr:col>
          <xdr:colOff>400050</xdr:colOff>
          <xdr:row>61</xdr:row>
          <xdr:rowOff>161925</xdr:rowOff>
        </xdr:to>
        <xdr:sp macro="" textlink="">
          <xdr:nvSpPr>
            <xdr:cNvPr id="180266" name="Check Box 42" hidden="1">
              <a:extLst>
                <a:ext uri="{63B3BB69-23CF-44E3-9099-C40C66FF867C}">
                  <a14:compatExt spid="_x0000_s180266"/>
                </a:ext>
                <a:ext uri="{FF2B5EF4-FFF2-40B4-BE49-F238E27FC236}">
                  <a16:creationId xmlns:a16="http://schemas.microsoft.com/office/drawing/2014/main" id="{00000000-0008-0000-1800-00002A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61</xdr:row>
          <xdr:rowOff>0</xdr:rowOff>
        </xdr:from>
        <xdr:to>
          <xdr:col>4</xdr:col>
          <xdr:colOff>400050</xdr:colOff>
          <xdr:row>61</xdr:row>
          <xdr:rowOff>161925</xdr:rowOff>
        </xdr:to>
        <xdr:sp macro="" textlink="">
          <xdr:nvSpPr>
            <xdr:cNvPr id="180268" name="Check Box 44" hidden="1">
              <a:extLst>
                <a:ext uri="{63B3BB69-23CF-44E3-9099-C40C66FF867C}">
                  <a14:compatExt spid="_x0000_s180268"/>
                </a:ext>
                <a:ext uri="{FF2B5EF4-FFF2-40B4-BE49-F238E27FC236}">
                  <a16:creationId xmlns:a16="http://schemas.microsoft.com/office/drawing/2014/main" id="{00000000-0008-0000-1800-00002C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61</xdr:row>
          <xdr:rowOff>0</xdr:rowOff>
        </xdr:from>
        <xdr:to>
          <xdr:col>4</xdr:col>
          <xdr:colOff>400050</xdr:colOff>
          <xdr:row>61</xdr:row>
          <xdr:rowOff>161925</xdr:rowOff>
        </xdr:to>
        <xdr:sp macro="" textlink="">
          <xdr:nvSpPr>
            <xdr:cNvPr id="180270" name="Check Box 46" hidden="1">
              <a:extLst>
                <a:ext uri="{63B3BB69-23CF-44E3-9099-C40C66FF867C}">
                  <a14:compatExt spid="_x0000_s180270"/>
                </a:ext>
                <a:ext uri="{FF2B5EF4-FFF2-40B4-BE49-F238E27FC236}">
                  <a16:creationId xmlns:a16="http://schemas.microsoft.com/office/drawing/2014/main" id="{00000000-0008-0000-1800-00002E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63</xdr:row>
          <xdr:rowOff>28575</xdr:rowOff>
        </xdr:from>
        <xdr:to>
          <xdr:col>4</xdr:col>
          <xdr:colOff>400050</xdr:colOff>
          <xdr:row>64</xdr:row>
          <xdr:rowOff>0</xdr:rowOff>
        </xdr:to>
        <xdr:sp macro="" textlink="">
          <xdr:nvSpPr>
            <xdr:cNvPr id="180274" name="Check Box 50" hidden="1">
              <a:extLst>
                <a:ext uri="{63B3BB69-23CF-44E3-9099-C40C66FF867C}">
                  <a14:compatExt spid="_x0000_s180274"/>
                </a:ext>
                <a:ext uri="{FF2B5EF4-FFF2-40B4-BE49-F238E27FC236}">
                  <a16:creationId xmlns:a16="http://schemas.microsoft.com/office/drawing/2014/main" id="{00000000-0008-0000-1800-000032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64</xdr:row>
          <xdr:rowOff>28575</xdr:rowOff>
        </xdr:from>
        <xdr:to>
          <xdr:col>4</xdr:col>
          <xdr:colOff>400050</xdr:colOff>
          <xdr:row>65</xdr:row>
          <xdr:rowOff>0</xdr:rowOff>
        </xdr:to>
        <xdr:sp macro="" textlink="">
          <xdr:nvSpPr>
            <xdr:cNvPr id="180275" name="Check Box 51" hidden="1">
              <a:extLst>
                <a:ext uri="{63B3BB69-23CF-44E3-9099-C40C66FF867C}">
                  <a14:compatExt spid="_x0000_s180275"/>
                </a:ext>
                <a:ext uri="{FF2B5EF4-FFF2-40B4-BE49-F238E27FC236}">
                  <a16:creationId xmlns:a16="http://schemas.microsoft.com/office/drawing/2014/main" id="{00000000-0008-0000-1800-000033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64</xdr:row>
          <xdr:rowOff>28575</xdr:rowOff>
        </xdr:from>
        <xdr:to>
          <xdr:col>4</xdr:col>
          <xdr:colOff>400050</xdr:colOff>
          <xdr:row>65</xdr:row>
          <xdr:rowOff>0</xdr:rowOff>
        </xdr:to>
        <xdr:sp macro="" textlink="">
          <xdr:nvSpPr>
            <xdr:cNvPr id="180276" name="Check Box 52" hidden="1">
              <a:extLst>
                <a:ext uri="{63B3BB69-23CF-44E3-9099-C40C66FF867C}">
                  <a14:compatExt spid="_x0000_s180276"/>
                </a:ext>
                <a:ext uri="{FF2B5EF4-FFF2-40B4-BE49-F238E27FC236}">
                  <a16:creationId xmlns:a16="http://schemas.microsoft.com/office/drawing/2014/main" id="{00000000-0008-0000-1800-000034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66</xdr:row>
          <xdr:rowOff>28575</xdr:rowOff>
        </xdr:from>
        <xdr:to>
          <xdr:col>4</xdr:col>
          <xdr:colOff>400050</xdr:colOff>
          <xdr:row>67</xdr:row>
          <xdr:rowOff>0</xdr:rowOff>
        </xdr:to>
        <xdr:sp macro="" textlink="">
          <xdr:nvSpPr>
            <xdr:cNvPr id="180277" name="Check Box 53" hidden="1">
              <a:extLst>
                <a:ext uri="{63B3BB69-23CF-44E3-9099-C40C66FF867C}">
                  <a14:compatExt spid="_x0000_s180277"/>
                </a:ext>
                <a:ext uri="{FF2B5EF4-FFF2-40B4-BE49-F238E27FC236}">
                  <a16:creationId xmlns:a16="http://schemas.microsoft.com/office/drawing/2014/main" id="{00000000-0008-0000-1800-000035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67</xdr:row>
          <xdr:rowOff>28575</xdr:rowOff>
        </xdr:from>
        <xdr:to>
          <xdr:col>4</xdr:col>
          <xdr:colOff>400050</xdr:colOff>
          <xdr:row>68</xdr:row>
          <xdr:rowOff>0</xdr:rowOff>
        </xdr:to>
        <xdr:sp macro="" textlink="">
          <xdr:nvSpPr>
            <xdr:cNvPr id="180278" name="Check Box 54" hidden="1">
              <a:extLst>
                <a:ext uri="{63B3BB69-23CF-44E3-9099-C40C66FF867C}">
                  <a14:compatExt spid="_x0000_s180278"/>
                </a:ext>
                <a:ext uri="{FF2B5EF4-FFF2-40B4-BE49-F238E27FC236}">
                  <a16:creationId xmlns:a16="http://schemas.microsoft.com/office/drawing/2014/main" id="{00000000-0008-0000-1800-000036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68</xdr:row>
          <xdr:rowOff>28575</xdr:rowOff>
        </xdr:from>
        <xdr:to>
          <xdr:col>4</xdr:col>
          <xdr:colOff>400050</xdr:colOff>
          <xdr:row>69</xdr:row>
          <xdr:rowOff>0</xdr:rowOff>
        </xdr:to>
        <xdr:sp macro="" textlink="">
          <xdr:nvSpPr>
            <xdr:cNvPr id="180279" name="Check Box 55" hidden="1">
              <a:extLst>
                <a:ext uri="{63B3BB69-23CF-44E3-9099-C40C66FF867C}">
                  <a14:compatExt spid="_x0000_s180279"/>
                </a:ext>
                <a:ext uri="{FF2B5EF4-FFF2-40B4-BE49-F238E27FC236}">
                  <a16:creationId xmlns:a16="http://schemas.microsoft.com/office/drawing/2014/main" id="{00000000-0008-0000-1800-000037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69</xdr:row>
          <xdr:rowOff>28575</xdr:rowOff>
        </xdr:from>
        <xdr:to>
          <xdr:col>4</xdr:col>
          <xdr:colOff>400050</xdr:colOff>
          <xdr:row>70</xdr:row>
          <xdr:rowOff>0</xdr:rowOff>
        </xdr:to>
        <xdr:sp macro="" textlink="">
          <xdr:nvSpPr>
            <xdr:cNvPr id="180280" name="Check Box 56" hidden="1">
              <a:extLst>
                <a:ext uri="{63B3BB69-23CF-44E3-9099-C40C66FF867C}">
                  <a14:compatExt spid="_x0000_s180280"/>
                </a:ext>
                <a:ext uri="{FF2B5EF4-FFF2-40B4-BE49-F238E27FC236}">
                  <a16:creationId xmlns:a16="http://schemas.microsoft.com/office/drawing/2014/main" id="{00000000-0008-0000-1800-000038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70</xdr:row>
          <xdr:rowOff>28575</xdr:rowOff>
        </xdr:from>
        <xdr:to>
          <xdr:col>4</xdr:col>
          <xdr:colOff>400050</xdr:colOff>
          <xdr:row>71</xdr:row>
          <xdr:rowOff>0</xdr:rowOff>
        </xdr:to>
        <xdr:sp macro="" textlink="">
          <xdr:nvSpPr>
            <xdr:cNvPr id="180281" name="Check Box 57" hidden="1">
              <a:extLst>
                <a:ext uri="{63B3BB69-23CF-44E3-9099-C40C66FF867C}">
                  <a14:compatExt spid="_x0000_s180281"/>
                </a:ext>
                <a:ext uri="{FF2B5EF4-FFF2-40B4-BE49-F238E27FC236}">
                  <a16:creationId xmlns:a16="http://schemas.microsoft.com/office/drawing/2014/main" id="{00000000-0008-0000-1800-000039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71</xdr:row>
          <xdr:rowOff>28575</xdr:rowOff>
        </xdr:from>
        <xdr:to>
          <xdr:col>4</xdr:col>
          <xdr:colOff>400050</xdr:colOff>
          <xdr:row>72</xdr:row>
          <xdr:rowOff>0</xdr:rowOff>
        </xdr:to>
        <xdr:sp macro="" textlink="">
          <xdr:nvSpPr>
            <xdr:cNvPr id="180282" name="Check Box 58" hidden="1">
              <a:extLst>
                <a:ext uri="{63B3BB69-23CF-44E3-9099-C40C66FF867C}">
                  <a14:compatExt spid="_x0000_s180282"/>
                </a:ext>
                <a:ext uri="{FF2B5EF4-FFF2-40B4-BE49-F238E27FC236}">
                  <a16:creationId xmlns:a16="http://schemas.microsoft.com/office/drawing/2014/main" id="{00000000-0008-0000-1800-00003A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72</xdr:row>
          <xdr:rowOff>28575</xdr:rowOff>
        </xdr:from>
        <xdr:to>
          <xdr:col>4</xdr:col>
          <xdr:colOff>400050</xdr:colOff>
          <xdr:row>73</xdr:row>
          <xdr:rowOff>0</xdr:rowOff>
        </xdr:to>
        <xdr:sp macro="" textlink="">
          <xdr:nvSpPr>
            <xdr:cNvPr id="180283" name="Check Box 59" hidden="1">
              <a:extLst>
                <a:ext uri="{63B3BB69-23CF-44E3-9099-C40C66FF867C}">
                  <a14:compatExt spid="_x0000_s180283"/>
                </a:ext>
                <a:ext uri="{FF2B5EF4-FFF2-40B4-BE49-F238E27FC236}">
                  <a16:creationId xmlns:a16="http://schemas.microsoft.com/office/drawing/2014/main" id="{00000000-0008-0000-1800-00003B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73</xdr:row>
          <xdr:rowOff>38100</xdr:rowOff>
        </xdr:from>
        <xdr:to>
          <xdr:col>4</xdr:col>
          <xdr:colOff>400050</xdr:colOff>
          <xdr:row>74</xdr:row>
          <xdr:rowOff>9525</xdr:rowOff>
        </xdr:to>
        <xdr:sp macro="" textlink="">
          <xdr:nvSpPr>
            <xdr:cNvPr id="180286" name="Check Box 62" hidden="1">
              <a:extLst>
                <a:ext uri="{63B3BB69-23CF-44E3-9099-C40C66FF867C}">
                  <a14:compatExt spid="_x0000_s180286"/>
                </a:ext>
                <a:ext uri="{FF2B5EF4-FFF2-40B4-BE49-F238E27FC236}">
                  <a16:creationId xmlns:a16="http://schemas.microsoft.com/office/drawing/2014/main" id="{00000000-0008-0000-1800-00003E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xdr:col>
          <xdr:colOff>180975</xdr:colOff>
          <xdr:row>7</xdr:row>
          <xdr:rowOff>0</xdr:rowOff>
        </xdr:from>
        <xdr:to>
          <xdr:col>4</xdr:col>
          <xdr:colOff>400050</xdr:colOff>
          <xdr:row>8</xdr:row>
          <xdr:rowOff>0</xdr:rowOff>
        </xdr:to>
        <xdr:sp macro="" textlink="">
          <xdr:nvSpPr>
            <xdr:cNvPr id="180299" name="Check Box 75" hidden="1">
              <a:extLst>
                <a:ext uri="{63B3BB69-23CF-44E3-9099-C40C66FF867C}">
                  <a14:compatExt spid="_x0000_s180299"/>
                </a:ext>
                <a:ext uri="{FF2B5EF4-FFF2-40B4-BE49-F238E27FC236}">
                  <a16:creationId xmlns:a16="http://schemas.microsoft.com/office/drawing/2014/main" id="{00000000-0008-0000-1800-00004B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27</xdr:row>
          <xdr:rowOff>28575</xdr:rowOff>
        </xdr:from>
        <xdr:to>
          <xdr:col>4</xdr:col>
          <xdr:colOff>400050</xdr:colOff>
          <xdr:row>28</xdr:row>
          <xdr:rowOff>0</xdr:rowOff>
        </xdr:to>
        <xdr:sp macro="" textlink="">
          <xdr:nvSpPr>
            <xdr:cNvPr id="180302" name="Check Box 78" hidden="1">
              <a:extLst>
                <a:ext uri="{63B3BB69-23CF-44E3-9099-C40C66FF867C}">
                  <a14:compatExt spid="_x0000_s180302"/>
                </a:ext>
                <a:ext uri="{FF2B5EF4-FFF2-40B4-BE49-F238E27FC236}">
                  <a16:creationId xmlns:a16="http://schemas.microsoft.com/office/drawing/2014/main" id="{00000000-0008-0000-1800-00004E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30</xdr:row>
          <xdr:rowOff>28575</xdr:rowOff>
        </xdr:from>
        <xdr:to>
          <xdr:col>4</xdr:col>
          <xdr:colOff>400050</xdr:colOff>
          <xdr:row>31</xdr:row>
          <xdr:rowOff>0</xdr:rowOff>
        </xdr:to>
        <xdr:sp macro="" textlink="">
          <xdr:nvSpPr>
            <xdr:cNvPr id="180303" name="Check Box 79" hidden="1">
              <a:extLst>
                <a:ext uri="{63B3BB69-23CF-44E3-9099-C40C66FF867C}">
                  <a14:compatExt spid="_x0000_s180303"/>
                </a:ext>
                <a:ext uri="{FF2B5EF4-FFF2-40B4-BE49-F238E27FC236}">
                  <a16:creationId xmlns:a16="http://schemas.microsoft.com/office/drawing/2014/main" id="{00000000-0008-0000-1800-00004F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33</xdr:row>
          <xdr:rowOff>28575</xdr:rowOff>
        </xdr:from>
        <xdr:to>
          <xdr:col>4</xdr:col>
          <xdr:colOff>400050</xdr:colOff>
          <xdr:row>34</xdr:row>
          <xdr:rowOff>0</xdr:rowOff>
        </xdr:to>
        <xdr:sp macro="" textlink="">
          <xdr:nvSpPr>
            <xdr:cNvPr id="180304" name="Check Box 80" hidden="1">
              <a:extLst>
                <a:ext uri="{63B3BB69-23CF-44E3-9099-C40C66FF867C}">
                  <a14:compatExt spid="_x0000_s180304"/>
                </a:ext>
                <a:ext uri="{FF2B5EF4-FFF2-40B4-BE49-F238E27FC236}">
                  <a16:creationId xmlns:a16="http://schemas.microsoft.com/office/drawing/2014/main" id="{00000000-0008-0000-1800-000050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28</xdr:row>
          <xdr:rowOff>28575</xdr:rowOff>
        </xdr:from>
        <xdr:to>
          <xdr:col>4</xdr:col>
          <xdr:colOff>400050</xdr:colOff>
          <xdr:row>29</xdr:row>
          <xdr:rowOff>0</xdr:rowOff>
        </xdr:to>
        <xdr:sp macro="" textlink="">
          <xdr:nvSpPr>
            <xdr:cNvPr id="180305" name="Check Box 81" hidden="1">
              <a:extLst>
                <a:ext uri="{63B3BB69-23CF-44E3-9099-C40C66FF867C}">
                  <a14:compatExt spid="_x0000_s180305"/>
                </a:ext>
                <a:ext uri="{FF2B5EF4-FFF2-40B4-BE49-F238E27FC236}">
                  <a16:creationId xmlns:a16="http://schemas.microsoft.com/office/drawing/2014/main" id="{00000000-0008-0000-1800-000051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29</xdr:row>
          <xdr:rowOff>28575</xdr:rowOff>
        </xdr:from>
        <xdr:to>
          <xdr:col>4</xdr:col>
          <xdr:colOff>400050</xdr:colOff>
          <xdr:row>30</xdr:row>
          <xdr:rowOff>0</xdr:rowOff>
        </xdr:to>
        <xdr:sp macro="" textlink="">
          <xdr:nvSpPr>
            <xdr:cNvPr id="180306" name="Check Box 82" hidden="1">
              <a:extLst>
                <a:ext uri="{63B3BB69-23CF-44E3-9099-C40C66FF867C}">
                  <a14:compatExt spid="_x0000_s180306"/>
                </a:ext>
                <a:ext uri="{FF2B5EF4-FFF2-40B4-BE49-F238E27FC236}">
                  <a16:creationId xmlns:a16="http://schemas.microsoft.com/office/drawing/2014/main" id="{00000000-0008-0000-1800-000052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31</xdr:row>
          <xdr:rowOff>28575</xdr:rowOff>
        </xdr:from>
        <xdr:to>
          <xdr:col>4</xdr:col>
          <xdr:colOff>400050</xdr:colOff>
          <xdr:row>32</xdr:row>
          <xdr:rowOff>0</xdr:rowOff>
        </xdr:to>
        <xdr:sp macro="" textlink="">
          <xdr:nvSpPr>
            <xdr:cNvPr id="180307" name="Check Box 83" hidden="1">
              <a:extLst>
                <a:ext uri="{63B3BB69-23CF-44E3-9099-C40C66FF867C}">
                  <a14:compatExt spid="_x0000_s180307"/>
                </a:ext>
                <a:ext uri="{FF2B5EF4-FFF2-40B4-BE49-F238E27FC236}">
                  <a16:creationId xmlns:a16="http://schemas.microsoft.com/office/drawing/2014/main" id="{00000000-0008-0000-1800-000053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32</xdr:row>
          <xdr:rowOff>28575</xdr:rowOff>
        </xdr:from>
        <xdr:to>
          <xdr:col>4</xdr:col>
          <xdr:colOff>400050</xdr:colOff>
          <xdr:row>33</xdr:row>
          <xdr:rowOff>0</xdr:rowOff>
        </xdr:to>
        <xdr:sp macro="" textlink="">
          <xdr:nvSpPr>
            <xdr:cNvPr id="180308" name="Check Box 84" hidden="1">
              <a:extLst>
                <a:ext uri="{63B3BB69-23CF-44E3-9099-C40C66FF867C}">
                  <a14:compatExt spid="_x0000_s180308"/>
                </a:ext>
                <a:ext uri="{FF2B5EF4-FFF2-40B4-BE49-F238E27FC236}">
                  <a16:creationId xmlns:a16="http://schemas.microsoft.com/office/drawing/2014/main" id="{00000000-0008-0000-1800-000054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34</xdr:row>
          <xdr:rowOff>28575</xdr:rowOff>
        </xdr:from>
        <xdr:to>
          <xdr:col>4</xdr:col>
          <xdr:colOff>400050</xdr:colOff>
          <xdr:row>35</xdr:row>
          <xdr:rowOff>0</xdr:rowOff>
        </xdr:to>
        <xdr:sp macro="" textlink="">
          <xdr:nvSpPr>
            <xdr:cNvPr id="180309" name="Check Box 85" hidden="1">
              <a:extLst>
                <a:ext uri="{63B3BB69-23CF-44E3-9099-C40C66FF867C}">
                  <a14:compatExt spid="_x0000_s180309"/>
                </a:ext>
                <a:ext uri="{FF2B5EF4-FFF2-40B4-BE49-F238E27FC236}">
                  <a16:creationId xmlns:a16="http://schemas.microsoft.com/office/drawing/2014/main" id="{00000000-0008-0000-1800-000055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35</xdr:row>
          <xdr:rowOff>28575</xdr:rowOff>
        </xdr:from>
        <xdr:to>
          <xdr:col>4</xdr:col>
          <xdr:colOff>400050</xdr:colOff>
          <xdr:row>36</xdr:row>
          <xdr:rowOff>0</xdr:rowOff>
        </xdr:to>
        <xdr:sp macro="" textlink="">
          <xdr:nvSpPr>
            <xdr:cNvPr id="180310" name="Check Box 86" hidden="1">
              <a:extLst>
                <a:ext uri="{63B3BB69-23CF-44E3-9099-C40C66FF867C}">
                  <a14:compatExt spid="_x0000_s180310"/>
                </a:ext>
                <a:ext uri="{FF2B5EF4-FFF2-40B4-BE49-F238E27FC236}">
                  <a16:creationId xmlns:a16="http://schemas.microsoft.com/office/drawing/2014/main" id="{00000000-0008-0000-1800-000056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36</xdr:row>
          <xdr:rowOff>28575</xdr:rowOff>
        </xdr:from>
        <xdr:to>
          <xdr:col>4</xdr:col>
          <xdr:colOff>400050</xdr:colOff>
          <xdr:row>37</xdr:row>
          <xdr:rowOff>0</xdr:rowOff>
        </xdr:to>
        <xdr:sp macro="" textlink="">
          <xdr:nvSpPr>
            <xdr:cNvPr id="180311" name="Check Box 87" hidden="1">
              <a:extLst>
                <a:ext uri="{63B3BB69-23CF-44E3-9099-C40C66FF867C}">
                  <a14:compatExt spid="_x0000_s180311"/>
                </a:ext>
                <a:ext uri="{FF2B5EF4-FFF2-40B4-BE49-F238E27FC236}">
                  <a16:creationId xmlns:a16="http://schemas.microsoft.com/office/drawing/2014/main" id="{00000000-0008-0000-1800-000057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37</xdr:row>
          <xdr:rowOff>28575</xdr:rowOff>
        </xdr:from>
        <xdr:to>
          <xdr:col>4</xdr:col>
          <xdr:colOff>400050</xdr:colOff>
          <xdr:row>38</xdr:row>
          <xdr:rowOff>0</xdr:rowOff>
        </xdr:to>
        <xdr:sp macro="" textlink="">
          <xdr:nvSpPr>
            <xdr:cNvPr id="180312" name="Check Box 88" hidden="1">
              <a:extLst>
                <a:ext uri="{63B3BB69-23CF-44E3-9099-C40C66FF867C}">
                  <a14:compatExt spid="_x0000_s180312"/>
                </a:ext>
                <a:ext uri="{FF2B5EF4-FFF2-40B4-BE49-F238E27FC236}">
                  <a16:creationId xmlns:a16="http://schemas.microsoft.com/office/drawing/2014/main" id="{00000000-0008-0000-1800-000058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38</xdr:row>
          <xdr:rowOff>28575</xdr:rowOff>
        </xdr:from>
        <xdr:to>
          <xdr:col>4</xdr:col>
          <xdr:colOff>400050</xdr:colOff>
          <xdr:row>39</xdr:row>
          <xdr:rowOff>0</xdr:rowOff>
        </xdr:to>
        <xdr:sp macro="" textlink="">
          <xdr:nvSpPr>
            <xdr:cNvPr id="180313" name="Check Box 89" hidden="1">
              <a:extLst>
                <a:ext uri="{63B3BB69-23CF-44E3-9099-C40C66FF867C}">
                  <a14:compatExt spid="_x0000_s180313"/>
                </a:ext>
                <a:ext uri="{FF2B5EF4-FFF2-40B4-BE49-F238E27FC236}">
                  <a16:creationId xmlns:a16="http://schemas.microsoft.com/office/drawing/2014/main" id="{00000000-0008-0000-1800-000059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40</xdr:row>
          <xdr:rowOff>28575</xdr:rowOff>
        </xdr:from>
        <xdr:to>
          <xdr:col>4</xdr:col>
          <xdr:colOff>400050</xdr:colOff>
          <xdr:row>41</xdr:row>
          <xdr:rowOff>0</xdr:rowOff>
        </xdr:to>
        <xdr:sp macro="" textlink="">
          <xdr:nvSpPr>
            <xdr:cNvPr id="180314" name="Check Box 90" hidden="1">
              <a:extLst>
                <a:ext uri="{63B3BB69-23CF-44E3-9099-C40C66FF867C}">
                  <a14:compatExt spid="_x0000_s180314"/>
                </a:ext>
                <a:ext uri="{FF2B5EF4-FFF2-40B4-BE49-F238E27FC236}">
                  <a16:creationId xmlns:a16="http://schemas.microsoft.com/office/drawing/2014/main" id="{00000000-0008-0000-1800-00005A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41</xdr:row>
          <xdr:rowOff>28575</xdr:rowOff>
        </xdr:from>
        <xdr:to>
          <xdr:col>4</xdr:col>
          <xdr:colOff>400050</xdr:colOff>
          <xdr:row>42</xdr:row>
          <xdr:rowOff>0</xdr:rowOff>
        </xdr:to>
        <xdr:sp macro="" textlink="">
          <xdr:nvSpPr>
            <xdr:cNvPr id="180315" name="Check Box 91" hidden="1">
              <a:extLst>
                <a:ext uri="{63B3BB69-23CF-44E3-9099-C40C66FF867C}">
                  <a14:compatExt spid="_x0000_s180315"/>
                </a:ext>
                <a:ext uri="{FF2B5EF4-FFF2-40B4-BE49-F238E27FC236}">
                  <a16:creationId xmlns:a16="http://schemas.microsoft.com/office/drawing/2014/main" id="{00000000-0008-0000-1800-00005B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42</xdr:row>
          <xdr:rowOff>28575</xdr:rowOff>
        </xdr:from>
        <xdr:to>
          <xdr:col>4</xdr:col>
          <xdr:colOff>400050</xdr:colOff>
          <xdr:row>43</xdr:row>
          <xdr:rowOff>0</xdr:rowOff>
        </xdr:to>
        <xdr:sp macro="" textlink="">
          <xdr:nvSpPr>
            <xdr:cNvPr id="180316" name="Check Box 92" hidden="1">
              <a:extLst>
                <a:ext uri="{63B3BB69-23CF-44E3-9099-C40C66FF867C}">
                  <a14:compatExt spid="_x0000_s180316"/>
                </a:ext>
                <a:ext uri="{FF2B5EF4-FFF2-40B4-BE49-F238E27FC236}">
                  <a16:creationId xmlns:a16="http://schemas.microsoft.com/office/drawing/2014/main" id="{00000000-0008-0000-1800-00005C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180975</xdr:colOff>
          <xdr:row>43</xdr:row>
          <xdr:rowOff>28575</xdr:rowOff>
        </xdr:from>
        <xdr:to>
          <xdr:col>4</xdr:col>
          <xdr:colOff>400050</xdr:colOff>
          <xdr:row>44</xdr:row>
          <xdr:rowOff>0</xdr:rowOff>
        </xdr:to>
        <xdr:sp macro="" textlink="">
          <xdr:nvSpPr>
            <xdr:cNvPr id="180317" name="Check Box 93" hidden="1">
              <a:extLst>
                <a:ext uri="{63B3BB69-23CF-44E3-9099-C40C66FF867C}">
                  <a14:compatExt spid="_x0000_s180317"/>
                </a:ext>
                <a:ext uri="{FF2B5EF4-FFF2-40B4-BE49-F238E27FC236}">
                  <a16:creationId xmlns:a16="http://schemas.microsoft.com/office/drawing/2014/main" id="{00000000-0008-0000-1800-00005DC0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1952625</xdr:colOff>
          <xdr:row>78</xdr:row>
          <xdr:rowOff>9525</xdr:rowOff>
        </xdr:from>
        <xdr:to>
          <xdr:col>3</xdr:col>
          <xdr:colOff>3143250</xdr:colOff>
          <xdr:row>79</xdr:row>
          <xdr:rowOff>0</xdr:rowOff>
        </xdr:to>
        <xdr:sp macro="" textlink="">
          <xdr:nvSpPr>
            <xdr:cNvPr id="180318" name="Button 94" hidden="1">
              <a:extLst>
                <a:ext uri="{63B3BB69-23CF-44E3-9099-C40C66FF867C}">
                  <a14:compatExt spid="_x0000_s180318"/>
                </a:ext>
                <a:ext uri="{FF2B5EF4-FFF2-40B4-BE49-F238E27FC236}">
                  <a16:creationId xmlns:a16="http://schemas.microsoft.com/office/drawing/2014/main" id="{00000000-0008-0000-1800-00005E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Initial ELEC</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1952625</xdr:colOff>
          <xdr:row>79</xdr:row>
          <xdr:rowOff>9525</xdr:rowOff>
        </xdr:from>
        <xdr:to>
          <xdr:col>3</xdr:col>
          <xdr:colOff>3143250</xdr:colOff>
          <xdr:row>80</xdr:row>
          <xdr:rowOff>0</xdr:rowOff>
        </xdr:to>
        <xdr:sp macro="" textlink="">
          <xdr:nvSpPr>
            <xdr:cNvPr id="180319" name="Button 95" hidden="1">
              <a:extLst>
                <a:ext uri="{63B3BB69-23CF-44E3-9099-C40C66FF867C}">
                  <a14:compatExt spid="_x0000_s180319"/>
                </a:ext>
                <a:ext uri="{FF2B5EF4-FFF2-40B4-BE49-F238E27FC236}">
                  <a16:creationId xmlns:a16="http://schemas.microsoft.com/office/drawing/2014/main" id="{00000000-0008-0000-1800-00005F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Initial MV-P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1952625</xdr:colOff>
          <xdr:row>80</xdr:row>
          <xdr:rowOff>9525</xdr:rowOff>
        </xdr:from>
        <xdr:to>
          <xdr:col>3</xdr:col>
          <xdr:colOff>3143250</xdr:colOff>
          <xdr:row>81</xdr:row>
          <xdr:rowOff>0</xdr:rowOff>
        </xdr:to>
        <xdr:sp macro="" textlink="">
          <xdr:nvSpPr>
            <xdr:cNvPr id="180320" name="Button 96" hidden="1">
              <a:extLst>
                <a:ext uri="{63B3BB69-23CF-44E3-9099-C40C66FF867C}">
                  <a14:compatExt spid="_x0000_s180320"/>
                </a:ext>
                <a:ext uri="{FF2B5EF4-FFF2-40B4-BE49-F238E27FC236}">
                  <a16:creationId xmlns:a16="http://schemas.microsoft.com/office/drawing/2014/main" id="{00000000-0008-0000-1800-000060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Initial MV-E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1952625</xdr:colOff>
          <xdr:row>81</xdr:row>
          <xdr:rowOff>9525</xdr:rowOff>
        </xdr:from>
        <xdr:to>
          <xdr:col>3</xdr:col>
          <xdr:colOff>3143250</xdr:colOff>
          <xdr:row>82</xdr:row>
          <xdr:rowOff>0</xdr:rowOff>
        </xdr:to>
        <xdr:sp macro="" textlink="">
          <xdr:nvSpPr>
            <xdr:cNvPr id="180321" name="Button 97" hidden="1">
              <a:extLst>
                <a:ext uri="{63B3BB69-23CF-44E3-9099-C40C66FF867C}">
                  <a14:compatExt spid="_x0000_s180321"/>
                </a:ext>
                <a:ext uri="{FF2B5EF4-FFF2-40B4-BE49-F238E27FC236}">
                  <a16:creationId xmlns:a16="http://schemas.microsoft.com/office/drawing/2014/main" id="{00000000-0008-0000-1800-000061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Initial MEX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1952625</xdr:colOff>
          <xdr:row>82</xdr:row>
          <xdr:rowOff>9525</xdr:rowOff>
        </xdr:from>
        <xdr:to>
          <xdr:col>3</xdr:col>
          <xdr:colOff>3143250</xdr:colOff>
          <xdr:row>83</xdr:row>
          <xdr:rowOff>0</xdr:rowOff>
        </xdr:to>
        <xdr:sp macro="" textlink="">
          <xdr:nvSpPr>
            <xdr:cNvPr id="180322" name="Button 98" hidden="1">
              <a:extLst>
                <a:ext uri="{63B3BB69-23CF-44E3-9099-C40C66FF867C}">
                  <a14:compatExt spid="_x0000_s180322"/>
                </a:ext>
                <a:ext uri="{FF2B5EF4-FFF2-40B4-BE49-F238E27FC236}">
                  <a16:creationId xmlns:a16="http://schemas.microsoft.com/office/drawing/2014/main" id="{00000000-0008-0000-1800-000062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Initial LEX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1952625</xdr:colOff>
          <xdr:row>77</xdr:row>
          <xdr:rowOff>9525</xdr:rowOff>
        </xdr:from>
        <xdr:to>
          <xdr:col>3</xdr:col>
          <xdr:colOff>3143250</xdr:colOff>
          <xdr:row>78</xdr:row>
          <xdr:rowOff>0</xdr:rowOff>
        </xdr:to>
        <xdr:sp macro="" textlink="">
          <xdr:nvSpPr>
            <xdr:cNvPr id="180323" name="Button 99" hidden="1">
              <a:extLst>
                <a:ext uri="{63B3BB69-23CF-44E3-9099-C40C66FF867C}">
                  <a14:compatExt spid="_x0000_s180323"/>
                </a:ext>
                <a:ext uri="{FF2B5EF4-FFF2-40B4-BE49-F238E27FC236}">
                  <a16:creationId xmlns:a16="http://schemas.microsoft.com/office/drawing/2014/main" id="{00000000-0008-0000-1800-000063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Initial Co-60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77</xdr:row>
          <xdr:rowOff>9525</xdr:rowOff>
        </xdr:from>
        <xdr:to>
          <xdr:col>8</xdr:col>
          <xdr:colOff>190500</xdr:colOff>
          <xdr:row>77</xdr:row>
          <xdr:rowOff>190500</xdr:rowOff>
        </xdr:to>
        <xdr:sp macro="" textlink="">
          <xdr:nvSpPr>
            <xdr:cNvPr id="180325" name="Button 101" hidden="1">
              <a:extLst>
                <a:ext uri="{63B3BB69-23CF-44E3-9099-C40C66FF867C}">
                  <a14:compatExt spid="_x0000_s180325"/>
                </a:ext>
                <a:ext uri="{FF2B5EF4-FFF2-40B4-BE49-F238E27FC236}">
                  <a16:creationId xmlns:a16="http://schemas.microsoft.com/office/drawing/2014/main" id="{00000000-0008-0000-1800-000065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Unsign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78</xdr:row>
          <xdr:rowOff>9525</xdr:rowOff>
        </xdr:from>
        <xdr:to>
          <xdr:col>8</xdr:col>
          <xdr:colOff>190500</xdr:colOff>
          <xdr:row>78</xdr:row>
          <xdr:rowOff>190500</xdr:rowOff>
        </xdr:to>
        <xdr:sp macro="" textlink="">
          <xdr:nvSpPr>
            <xdr:cNvPr id="180326" name="Button 102" hidden="1">
              <a:extLst>
                <a:ext uri="{63B3BB69-23CF-44E3-9099-C40C66FF867C}">
                  <a14:compatExt spid="_x0000_s180326"/>
                </a:ext>
                <a:ext uri="{FF2B5EF4-FFF2-40B4-BE49-F238E27FC236}">
                  <a16:creationId xmlns:a16="http://schemas.microsoft.com/office/drawing/2014/main" id="{00000000-0008-0000-1800-000066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Unsign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79</xdr:row>
          <xdr:rowOff>9525</xdr:rowOff>
        </xdr:from>
        <xdr:to>
          <xdr:col>8</xdr:col>
          <xdr:colOff>190500</xdr:colOff>
          <xdr:row>79</xdr:row>
          <xdr:rowOff>180975</xdr:rowOff>
        </xdr:to>
        <xdr:sp macro="" textlink="">
          <xdr:nvSpPr>
            <xdr:cNvPr id="180327" name="Button 103" hidden="1">
              <a:extLst>
                <a:ext uri="{63B3BB69-23CF-44E3-9099-C40C66FF867C}">
                  <a14:compatExt spid="_x0000_s180327"/>
                </a:ext>
                <a:ext uri="{FF2B5EF4-FFF2-40B4-BE49-F238E27FC236}">
                  <a16:creationId xmlns:a16="http://schemas.microsoft.com/office/drawing/2014/main" id="{00000000-0008-0000-1800-000067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Unsign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80</xdr:row>
          <xdr:rowOff>0</xdr:rowOff>
        </xdr:from>
        <xdr:to>
          <xdr:col>8</xdr:col>
          <xdr:colOff>190500</xdr:colOff>
          <xdr:row>80</xdr:row>
          <xdr:rowOff>180975</xdr:rowOff>
        </xdr:to>
        <xdr:sp macro="" textlink="">
          <xdr:nvSpPr>
            <xdr:cNvPr id="180328" name="Button 104" hidden="1">
              <a:extLst>
                <a:ext uri="{63B3BB69-23CF-44E3-9099-C40C66FF867C}">
                  <a14:compatExt spid="_x0000_s180328"/>
                </a:ext>
                <a:ext uri="{FF2B5EF4-FFF2-40B4-BE49-F238E27FC236}">
                  <a16:creationId xmlns:a16="http://schemas.microsoft.com/office/drawing/2014/main" id="{00000000-0008-0000-1800-000068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Unsign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81</xdr:row>
          <xdr:rowOff>0</xdr:rowOff>
        </xdr:from>
        <xdr:to>
          <xdr:col>8</xdr:col>
          <xdr:colOff>190500</xdr:colOff>
          <xdr:row>81</xdr:row>
          <xdr:rowOff>180975</xdr:rowOff>
        </xdr:to>
        <xdr:sp macro="" textlink="">
          <xdr:nvSpPr>
            <xdr:cNvPr id="180329" name="Button 105" hidden="1">
              <a:extLst>
                <a:ext uri="{63B3BB69-23CF-44E3-9099-C40C66FF867C}">
                  <a14:compatExt spid="_x0000_s180329"/>
                </a:ext>
                <a:ext uri="{FF2B5EF4-FFF2-40B4-BE49-F238E27FC236}">
                  <a16:creationId xmlns:a16="http://schemas.microsoft.com/office/drawing/2014/main" id="{00000000-0008-0000-1800-000069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Unsign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82</xdr:row>
          <xdr:rowOff>0</xdr:rowOff>
        </xdr:from>
        <xdr:to>
          <xdr:col>8</xdr:col>
          <xdr:colOff>190500</xdr:colOff>
          <xdr:row>82</xdr:row>
          <xdr:rowOff>180975</xdr:rowOff>
        </xdr:to>
        <xdr:sp macro="" textlink="">
          <xdr:nvSpPr>
            <xdr:cNvPr id="180331" name="Button 107" hidden="1">
              <a:extLst>
                <a:ext uri="{63B3BB69-23CF-44E3-9099-C40C66FF867C}">
                  <a14:compatExt spid="_x0000_s180331"/>
                </a:ext>
                <a:ext uri="{FF2B5EF4-FFF2-40B4-BE49-F238E27FC236}">
                  <a16:creationId xmlns:a16="http://schemas.microsoft.com/office/drawing/2014/main" id="{00000000-0008-0000-1800-00006B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Unsign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1952625</xdr:colOff>
          <xdr:row>83</xdr:row>
          <xdr:rowOff>9525</xdr:rowOff>
        </xdr:from>
        <xdr:to>
          <xdr:col>3</xdr:col>
          <xdr:colOff>3143250</xdr:colOff>
          <xdr:row>84</xdr:row>
          <xdr:rowOff>0</xdr:rowOff>
        </xdr:to>
        <xdr:sp macro="" textlink="">
          <xdr:nvSpPr>
            <xdr:cNvPr id="180332" name="Button 108" hidden="1">
              <a:extLst>
                <a:ext uri="{63B3BB69-23CF-44E3-9099-C40C66FF867C}">
                  <a14:compatExt spid="_x0000_s180332"/>
                </a:ext>
                <a:ext uri="{FF2B5EF4-FFF2-40B4-BE49-F238E27FC236}">
                  <a16:creationId xmlns:a16="http://schemas.microsoft.com/office/drawing/2014/main" id="{00000000-0008-0000-1800-00006C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Initial ElecRep2Ch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83</xdr:row>
          <xdr:rowOff>9525</xdr:rowOff>
        </xdr:from>
        <xdr:to>
          <xdr:col>8</xdr:col>
          <xdr:colOff>190500</xdr:colOff>
          <xdr:row>84</xdr:row>
          <xdr:rowOff>0</xdr:rowOff>
        </xdr:to>
        <xdr:sp macro="" textlink="">
          <xdr:nvSpPr>
            <xdr:cNvPr id="180333" name="Button 109" hidden="1">
              <a:extLst>
                <a:ext uri="{63B3BB69-23CF-44E3-9099-C40C66FF867C}">
                  <a14:compatExt spid="_x0000_s180333"/>
                </a:ext>
                <a:ext uri="{FF2B5EF4-FFF2-40B4-BE49-F238E27FC236}">
                  <a16:creationId xmlns:a16="http://schemas.microsoft.com/office/drawing/2014/main" id="{00000000-0008-0000-1800-00006DC00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AU" sz="1000" b="0" i="0" u="none" strike="noStrike" baseline="0">
                  <a:solidFill>
                    <a:srgbClr val="000000"/>
                  </a:solidFill>
                  <a:latin typeface="Arial"/>
                  <a:cs typeface="Arial"/>
                </a:rPr>
                <a:t>Unsign</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Duncan Butler" id="{87AC9C5F-C18B-44D9-8534-2A947F9D129C}" userId="S::duncan.butler@arpansa.gov.au::ccb3987b-e531-4005-8a82-aa0666749b18"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P11" dT="2021-05-11T02:00:16.04" personId="{87AC9C5F-C18B-44D9-8534-2A947F9D129C}" id="{44278979-8856-473F-A339-C824A92035A5}">
    <text>Versa values 2021</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8.xml.rels><?xml version="1.0" encoding="UTF-8" standalone="yes"?>
<Relationships xmlns="http://schemas.openxmlformats.org/package/2006/relationships"><Relationship Id="rId8" Type="http://schemas.openxmlformats.org/officeDocument/2006/relationships/oleObject" Target="../embeddings/oleObject3.bin"/><Relationship Id="rId13" Type="http://schemas.openxmlformats.org/officeDocument/2006/relationships/image" Target="../media/image9.wmf"/><Relationship Id="rId3" Type="http://schemas.openxmlformats.org/officeDocument/2006/relationships/vmlDrawing" Target="../drawings/vmlDrawing3.vml"/><Relationship Id="rId7" Type="http://schemas.openxmlformats.org/officeDocument/2006/relationships/image" Target="../media/image6.wmf"/><Relationship Id="rId12" Type="http://schemas.openxmlformats.org/officeDocument/2006/relationships/oleObject" Target="../embeddings/oleObject5.bin"/><Relationship Id="rId2" Type="http://schemas.openxmlformats.org/officeDocument/2006/relationships/drawing" Target="../drawings/drawing5.xml"/><Relationship Id="rId1" Type="http://schemas.openxmlformats.org/officeDocument/2006/relationships/printerSettings" Target="../printerSettings/printerSettings8.bin"/><Relationship Id="rId6" Type="http://schemas.openxmlformats.org/officeDocument/2006/relationships/oleObject" Target="../embeddings/oleObject2.bin"/><Relationship Id="rId11" Type="http://schemas.openxmlformats.org/officeDocument/2006/relationships/image" Target="../media/image8.wmf"/><Relationship Id="rId5" Type="http://schemas.openxmlformats.org/officeDocument/2006/relationships/image" Target="../media/image5.wmf"/><Relationship Id="rId15" Type="http://schemas.openxmlformats.org/officeDocument/2006/relationships/image" Target="../media/image10.w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7.wmf"/><Relationship Id="rId14" Type="http://schemas.openxmlformats.org/officeDocument/2006/relationships/oleObject" Target="../embeddings/oleObject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omments" Target="../comments2.xml"/><Relationship Id="rId2" Type="http://schemas.openxmlformats.org/officeDocument/2006/relationships/drawing" Target="../drawings/drawing6.xml"/><Relationship Id="rId1" Type="http://schemas.openxmlformats.org/officeDocument/2006/relationships/printerSettings" Target="../printerSettings/printerSettings9.bin"/><Relationship Id="rId6" Type="http://schemas.openxmlformats.org/officeDocument/2006/relationships/ctrlProp" Target="../ctrlProps/ctrlProp5.xml"/><Relationship Id="rId5" Type="http://schemas.openxmlformats.org/officeDocument/2006/relationships/image" Target="../media/image11.emf"/><Relationship Id="rId4"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3.bin"/><Relationship Id="rId6" Type="http://schemas.openxmlformats.org/officeDocument/2006/relationships/ctrlProp" Target="../ctrlProps/ctrlProp6.xml"/><Relationship Id="rId5" Type="http://schemas.openxmlformats.org/officeDocument/2006/relationships/image" Target="../media/image16.emf"/><Relationship Id="rId4" Type="http://schemas.openxmlformats.org/officeDocument/2006/relationships/control" Target="../activeX/activeX2.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2.xml"/><Relationship Id="rId1" Type="http://schemas.openxmlformats.org/officeDocument/2006/relationships/printerSettings" Target="../printerSettings/printerSettings15.bin"/><Relationship Id="rId6" Type="http://schemas.microsoft.com/office/2017/10/relationships/threadedComment" Target="../threadedComments/threadedComment1.xml"/><Relationship Id="rId5" Type="http://schemas.openxmlformats.org/officeDocument/2006/relationships/comments" Target="../comments3.xml"/><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8" Type="http://schemas.openxmlformats.org/officeDocument/2006/relationships/oleObject" Target="../embeddings/oleObject9.bin"/><Relationship Id="rId3" Type="http://schemas.openxmlformats.org/officeDocument/2006/relationships/vmlDrawing" Target="../drawings/vmlDrawing7.vml"/><Relationship Id="rId7" Type="http://schemas.openxmlformats.org/officeDocument/2006/relationships/image" Target="../media/image18.emf"/><Relationship Id="rId2" Type="http://schemas.openxmlformats.org/officeDocument/2006/relationships/drawing" Target="../drawings/drawing13.xml"/><Relationship Id="rId1" Type="http://schemas.openxmlformats.org/officeDocument/2006/relationships/printerSettings" Target="../printerSettings/printerSettings16.bin"/><Relationship Id="rId6" Type="http://schemas.openxmlformats.org/officeDocument/2006/relationships/oleObject" Target="../embeddings/oleObject8.bin"/><Relationship Id="rId5" Type="http://schemas.openxmlformats.org/officeDocument/2006/relationships/image" Target="../media/image17.emf"/><Relationship Id="rId4" Type="http://schemas.openxmlformats.org/officeDocument/2006/relationships/oleObject" Target="../embeddings/oleObject7.bin"/><Relationship Id="rId9" Type="http://schemas.openxmlformats.org/officeDocument/2006/relationships/image" Target="../media/image19.emf"/></Relationships>
</file>

<file path=xl/worksheets/_rels/sheet17.xml.rels><?xml version="1.0" encoding="UTF-8" standalone="yes"?>
<Relationships xmlns="http://schemas.openxmlformats.org/package/2006/relationships"><Relationship Id="rId8" Type="http://schemas.openxmlformats.org/officeDocument/2006/relationships/oleObject" Target="../embeddings/oleObject12.bin"/><Relationship Id="rId3" Type="http://schemas.openxmlformats.org/officeDocument/2006/relationships/vmlDrawing" Target="../drawings/vmlDrawing8.vml"/><Relationship Id="rId7" Type="http://schemas.openxmlformats.org/officeDocument/2006/relationships/image" Target="../media/image18.emf"/><Relationship Id="rId2" Type="http://schemas.openxmlformats.org/officeDocument/2006/relationships/drawing" Target="../drawings/drawing14.xml"/><Relationship Id="rId1" Type="http://schemas.openxmlformats.org/officeDocument/2006/relationships/printerSettings" Target="../printerSettings/printerSettings17.bin"/><Relationship Id="rId6" Type="http://schemas.openxmlformats.org/officeDocument/2006/relationships/oleObject" Target="../embeddings/oleObject11.bin"/><Relationship Id="rId5" Type="http://schemas.openxmlformats.org/officeDocument/2006/relationships/image" Target="../media/image17.emf"/><Relationship Id="rId4" Type="http://schemas.openxmlformats.org/officeDocument/2006/relationships/oleObject" Target="../embeddings/oleObject10.bin"/><Relationship Id="rId9" Type="http://schemas.openxmlformats.org/officeDocument/2006/relationships/image" Target="../media/image19.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5.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image" Target="../media/image18.emf"/><Relationship Id="rId2" Type="http://schemas.openxmlformats.org/officeDocument/2006/relationships/drawing" Target="../drawings/drawing16.xml"/><Relationship Id="rId1" Type="http://schemas.openxmlformats.org/officeDocument/2006/relationships/printerSettings" Target="../printerSettings/printerSettings19.bin"/><Relationship Id="rId6" Type="http://schemas.openxmlformats.org/officeDocument/2006/relationships/oleObject" Target="../embeddings/oleObject14.bin"/><Relationship Id="rId5" Type="http://schemas.openxmlformats.org/officeDocument/2006/relationships/image" Target="../media/image19.emf"/><Relationship Id="rId4" Type="http://schemas.openxmlformats.org/officeDocument/2006/relationships/oleObject" Target="../embeddings/oleObject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3.xml"/><Relationship Id="rId13" Type="http://schemas.openxmlformats.org/officeDocument/2006/relationships/ctrlProp" Target="../ctrlProps/ctrlProp18.xml"/><Relationship Id="rId18" Type="http://schemas.openxmlformats.org/officeDocument/2006/relationships/ctrlProp" Target="../ctrlProps/ctrlProp23.xml"/><Relationship Id="rId3" Type="http://schemas.openxmlformats.org/officeDocument/2006/relationships/vmlDrawing" Target="../drawings/vmlDrawing11.vml"/><Relationship Id="rId21" Type="http://schemas.openxmlformats.org/officeDocument/2006/relationships/ctrlProp" Target="../ctrlProps/ctrlProp26.xml"/><Relationship Id="rId7" Type="http://schemas.openxmlformats.org/officeDocument/2006/relationships/ctrlProp" Target="../ctrlProps/ctrlProp12.xml"/><Relationship Id="rId12" Type="http://schemas.openxmlformats.org/officeDocument/2006/relationships/ctrlProp" Target="../ctrlProps/ctrlProp17.xml"/><Relationship Id="rId17" Type="http://schemas.openxmlformats.org/officeDocument/2006/relationships/ctrlProp" Target="../ctrlProps/ctrlProp22.xml"/><Relationship Id="rId2" Type="http://schemas.openxmlformats.org/officeDocument/2006/relationships/drawing" Target="../drawings/drawing17.xml"/><Relationship Id="rId16" Type="http://schemas.openxmlformats.org/officeDocument/2006/relationships/ctrlProp" Target="../ctrlProps/ctrlProp21.xml"/><Relationship Id="rId20" Type="http://schemas.openxmlformats.org/officeDocument/2006/relationships/ctrlProp" Target="../ctrlProps/ctrlProp25.xml"/><Relationship Id="rId1" Type="http://schemas.openxmlformats.org/officeDocument/2006/relationships/printerSettings" Target="../printerSettings/printerSettings24.bin"/><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10" Type="http://schemas.openxmlformats.org/officeDocument/2006/relationships/ctrlProp" Target="../ctrlProps/ctrlProp15.xml"/><Relationship Id="rId19" Type="http://schemas.openxmlformats.org/officeDocument/2006/relationships/ctrlProp" Target="../ctrlProps/ctrlProp24.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s>
</file>

<file path=xl/worksheets/_rels/sheet25.xml.rels><?xml version="1.0" encoding="UTF-8" standalone="yes"?>
<Relationships xmlns="http://schemas.openxmlformats.org/package/2006/relationships"><Relationship Id="rId13" Type="http://schemas.openxmlformats.org/officeDocument/2006/relationships/ctrlProp" Target="../ctrlProps/ctrlProp39.xml"/><Relationship Id="rId18" Type="http://schemas.openxmlformats.org/officeDocument/2006/relationships/ctrlProp" Target="../ctrlProps/ctrlProp44.xml"/><Relationship Id="rId26" Type="http://schemas.openxmlformats.org/officeDocument/2006/relationships/ctrlProp" Target="../ctrlProps/ctrlProp52.xml"/><Relationship Id="rId39" Type="http://schemas.openxmlformats.org/officeDocument/2006/relationships/ctrlProp" Target="../ctrlProps/ctrlProp65.xml"/><Relationship Id="rId21" Type="http://schemas.openxmlformats.org/officeDocument/2006/relationships/ctrlProp" Target="../ctrlProps/ctrlProp47.xml"/><Relationship Id="rId34" Type="http://schemas.openxmlformats.org/officeDocument/2006/relationships/ctrlProp" Target="../ctrlProps/ctrlProp60.xml"/><Relationship Id="rId42" Type="http://schemas.openxmlformats.org/officeDocument/2006/relationships/ctrlProp" Target="../ctrlProps/ctrlProp68.xml"/><Relationship Id="rId47" Type="http://schemas.openxmlformats.org/officeDocument/2006/relationships/ctrlProp" Target="../ctrlProps/ctrlProp73.xml"/><Relationship Id="rId50" Type="http://schemas.openxmlformats.org/officeDocument/2006/relationships/ctrlProp" Target="../ctrlProps/ctrlProp76.xml"/><Relationship Id="rId55" Type="http://schemas.openxmlformats.org/officeDocument/2006/relationships/ctrlProp" Target="../ctrlProps/ctrlProp81.xml"/><Relationship Id="rId63" Type="http://schemas.openxmlformats.org/officeDocument/2006/relationships/ctrlProp" Target="../ctrlProps/ctrlProp89.xml"/><Relationship Id="rId68" Type="http://schemas.openxmlformats.org/officeDocument/2006/relationships/ctrlProp" Target="../ctrlProps/ctrlProp94.xml"/><Relationship Id="rId76" Type="http://schemas.openxmlformats.org/officeDocument/2006/relationships/ctrlProp" Target="../ctrlProps/ctrlProp102.xml"/><Relationship Id="rId7" Type="http://schemas.openxmlformats.org/officeDocument/2006/relationships/ctrlProp" Target="../ctrlProps/ctrlProp33.xml"/><Relationship Id="rId71" Type="http://schemas.openxmlformats.org/officeDocument/2006/relationships/ctrlProp" Target="../ctrlProps/ctrlProp97.xml"/><Relationship Id="rId2" Type="http://schemas.openxmlformats.org/officeDocument/2006/relationships/drawing" Target="../drawings/drawing18.xml"/><Relationship Id="rId16" Type="http://schemas.openxmlformats.org/officeDocument/2006/relationships/ctrlProp" Target="../ctrlProps/ctrlProp42.xml"/><Relationship Id="rId29" Type="http://schemas.openxmlformats.org/officeDocument/2006/relationships/ctrlProp" Target="../ctrlProps/ctrlProp55.xml"/><Relationship Id="rId11" Type="http://schemas.openxmlformats.org/officeDocument/2006/relationships/ctrlProp" Target="../ctrlProps/ctrlProp37.xml"/><Relationship Id="rId24" Type="http://schemas.openxmlformats.org/officeDocument/2006/relationships/ctrlProp" Target="../ctrlProps/ctrlProp50.xml"/><Relationship Id="rId32" Type="http://schemas.openxmlformats.org/officeDocument/2006/relationships/ctrlProp" Target="../ctrlProps/ctrlProp58.xml"/><Relationship Id="rId37" Type="http://schemas.openxmlformats.org/officeDocument/2006/relationships/ctrlProp" Target="../ctrlProps/ctrlProp63.xml"/><Relationship Id="rId40" Type="http://schemas.openxmlformats.org/officeDocument/2006/relationships/ctrlProp" Target="../ctrlProps/ctrlProp66.xml"/><Relationship Id="rId45" Type="http://schemas.openxmlformats.org/officeDocument/2006/relationships/ctrlProp" Target="../ctrlProps/ctrlProp71.xml"/><Relationship Id="rId53" Type="http://schemas.openxmlformats.org/officeDocument/2006/relationships/ctrlProp" Target="../ctrlProps/ctrlProp79.xml"/><Relationship Id="rId58" Type="http://schemas.openxmlformats.org/officeDocument/2006/relationships/ctrlProp" Target="../ctrlProps/ctrlProp84.xml"/><Relationship Id="rId66" Type="http://schemas.openxmlformats.org/officeDocument/2006/relationships/ctrlProp" Target="../ctrlProps/ctrlProp92.xml"/><Relationship Id="rId74" Type="http://schemas.openxmlformats.org/officeDocument/2006/relationships/ctrlProp" Target="../ctrlProps/ctrlProp100.xml"/><Relationship Id="rId79" Type="http://schemas.openxmlformats.org/officeDocument/2006/relationships/ctrlProp" Target="../ctrlProps/ctrlProp105.xml"/><Relationship Id="rId5" Type="http://schemas.openxmlformats.org/officeDocument/2006/relationships/ctrlProp" Target="../ctrlProps/ctrlProp31.xml"/><Relationship Id="rId61" Type="http://schemas.openxmlformats.org/officeDocument/2006/relationships/ctrlProp" Target="../ctrlProps/ctrlProp87.xml"/><Relationship Id="rId82" Type="http://schemas.openxmlformats.org/officeDocument/2006/relationships/ctrlProp" Target="../ctrlProps/ctrlProp108.xml"/><Relationship Id="rId10" Type="http://schemas.openxmlformats.org/officeDocument/2006/relationships/ctrlProp" Target="../ctrlProps/ctrlProp36.xml"/><Relationship Id="rId19" Type="http://schemas.openxmlformats.org/officeDocument/2006/relationships/ctrlProp" Target="../ctrlProps/ctrlProp45.xml"/><Relationship Id="rId31" Type="http://schemas.openxmlformats.org/officeDocument/2006/relationships/ctrlProp" Target="../ctrlProps/ctrlProp57.xml"/><Relationship Id="rId44" Type="http://schemas.openxmlformats.org/officeDocument/2006/relationships/ctrlProp" Target="../ctrlProps/ctrlProp70.xml"/><Relationship Id="rId52" Type="http://schemas.openxmlformats.org/officeDocument/2006/relationships/ctrlProp" Target="../ctrlProps/ctrlProp78.xml"/><Relationship Id="rId60" Type="http://schemas.openxmlformats.org/officeDocument/2006/relationships/ctrlProp" Target="../ctrlProps/ctrlProp86.xml"/><Relationship Id="rId65" Type="http://schemas.openxmlformats.org/officeDocument/2006/relationships/ctrlProp" Target="../ctrlProps/ctrlProp91.xml"/><Relationship Id="rId73" Type="http://schemas.openxmlformats.org/officeDocument/2006/relationships/ctrlProp" Target="../ctrlProps/ctrlProp99.xml"/><Relationship Id="rId78" Type="http://schemas.openxmlformats.org/officeDocument/2006/relationships/ctrlProp" Target="../ctrlProps/ctrlProp104.xml"/><Relationship Id="rId81" Type="http://schemas.openxmlformats.org/officeDocument/2006/relationships/ctrlProp" Target="../ctrlProps/ctrlProp107.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 Id="rId22" Type="http://schemas.openxmlformats.org/officeDocument/2006/relationships/ctrlProp" Target="../ctrlProps/ctrlProp48.xml"/><Relationship Id="rId27" Type="http://schemas.openxmlformats.org/officeDocument/2006/relationships/ctrlProp" Target="../ctrlProps/ctrlProp53.xml"/><Relationship Id="rId30" Type="http://schemas.openxmlformats.org/officeDocument/2006/relationships/ctrlProp" Target="../ctrlProps/ctrlProp56.xml"/><Relationship Id="rId35" Type="http://schemas.openxmlformats.org/officeDocument/2006/relationships/ctrlProp" Target="../ctrlProps/ctrlProp61.xml"/><Relationship Id="rId43" Type="http://schemas.openxmlformats.org/officeDocument/2006/relationships/ctrlProp" Target="../ctrlProps/ctrlProp69.xml"/><Relationship Id="rId48" Type="http://schemas.openxmlformats.org/officeDocument/2006/relationships/ctrlProp" Target="../ctrlProps/ctrlProp74.xml"/><Relationship Id="rId56" Type="http://schemas.openxmlformats.org/officeDocument/2006/relationships/ctrlProp" Target="../ctrlProps/ctrlProp82.xml"/><Relationship Id="rId64" Type="http://schemas.openxmlformats.org/officeDocument/2006/relationships/ctrlProp" Target="../ctrlProps/ctrlProp90.xml"/><Relationship Id="rId69" Type="http://schemas.openxmlformats.org/officeDocument/2006/relationships/ctrlProp" Target="../ctrlProps/ctrlProp95.xml"/><Relationship Id="rId77" Type="http://schemas.openxmlformats.org/officeDocument/2006/relationships/ctrlProp" Target="../ctrlProps/ctrlProp103.xml"/><Relationship Id="rId8" Type="http://schemas.openxmlformats.org/officeDocument/2006/relationships/ctrlProp" Target="../ctrlProps/ctrlProp34.xml"/><Relationship Id="rId51" Type="http://schemas.openxmlformats.org/officeDocument/2006/relationships/ctrlProp" Target="../ctrlProps/ctrlProp77.xml"/><Relationship Id="rId72" Type="http://schemas.openxmlformats.org/officeDocument/2006/relationships/ctrlProp" Target="../ctrlProps/ctrlProp98.xml"/><Relationship Id="rId80" Type="http://schemas.openxmlformats.org/officeDocument/2006/relationships/ctrlProp" Target="../ctrlProps/ctrlProp106.xml"/><Relationship Id="rId3" Type="http://schemas.openxmlformats.org/officeDocument/2006/relationships/vmlDrawing" Target="../drawings/vmlDrawing12.vml"/><Relationship Id="rId12" Type="http://schemas.openxmlformats.org/officeDocument/2006/relationships/ctrlProp" Target="../ctrlProps/ctrlProp38.xml"/><Relationship Id="rId17" Type="http://schemas.openxmlformats.org/officeDocument/2006/relationships/ctrlProp" Target="../ctrlProps/ctrlProp43.xml"/><Relationship Id="rId25" Type="http://schemas.openxmlformats.org/officeDocument/2006/relationships/ctrlProp" Target="../ctrlProps/ctrlProp51.xml"/><Relationship Id="rId33" Type="http://schemas.openxmlformats.org/officeDocument/2006/relationships/ctrlProp" Target="../ctrlProps/ctrlProp59.xml"/><Relationship Id="rId38" Type="http://schemas.openxmlformats.org/officeDocument/2006/relationships/ctrlProp" Target="../ctrlProps/ctrlProp64.xml"/><Relationship Id="rId46" Type="http://schemas.openxmlformats.org/officeDocument/2006/relationships/ctrlProp" Target="../ctrlProps/ctrlProp72.xml"/><Relationship Id="rId59" Type="http://schemas.openxmlformats.org/officeDocument/2006/relationships/ctrlProp" Target="../ctrlProps/ctrlProp85.xml"/><Relationship Id="rId67" Type="http://schemas.openxmlformats.org/officeDocument/2006/relationships/ctrlProp" Target="../ctrlProps/ctrlProp93.xml"/><Relationship Id="rId20" Type="http://schemas.openxmlformats.org/officeDocument/2006/relationships/ctrlProp" Target="../ctrlProps/ctrlProp46.xml"/><Relationship Id="rId41" Type="http://schemas.openxmlformats.org/officeDocument/2006/relationships/ctrlProp" Target="../ctrlProps/ctrlProp67.xml"/><Relationship Id="rId54" Type="http://schemas.openxmlformats.org/officeDocument/2006/relationships/ctrlProp" Target="../ctrlProps/ctrlProp80.xml"/><Relationship Id="rId62" Type="http://schemas.openxmlformats.org/officeDocument/2006/relationships/ctrlProp" Target="../ctrlProps/ctrlProp88.xml"/><Relationship Id="rId70" Type="http://schemas.openxmlformats.org/officeDocument/2006/relationships/ctrlProp" Target="../ctrlProps/ctrlProp96.xml"/><Relationship Id="rId75" Type="http://schemas.openxmlformats.org/officeDocument/2006/relationships/ctrlProp" Target="../ctrlProps/ctrlProp101.xml"/><Relationship Id="rId83" Type="http://schemas.openxmlformats.org/officeDocument/2006/relationships/ctrlProp" Target="../ctrlProps/ctrlProp109.xml"/><Relationship Id="rId1" Type="http://schemas.openxmlformats.org/officeDocument/2006/relationships/printerSettings" Target="../printerSettings/printerSettings25.bin"/><Relationship Id="rId6" Type="http://schemas.openxmlformats.org/officeDocument/2006/relationships/ctrlProp" Target="../ctrlProps/ctrlProp32.xml"/><Relationship Id="rId15" Type="http://schemas.openxmlformats.org/officeDocument/2006/relationships/ctrlProp" Target="../ctrlProps/ctrlProp41.xml"/><Relationship Id="rId23" Type="http://schemas.openxmlformats.org/officeDocument/2006/relationships/ctrlProp" Target="../ctrlProps/ctrlProp49.xml"/><Relationship Id="rId28" Type="http://schemas.openxmlformats.org/officeDocument/2006/relationships/ctrlProp" Target="../ctrlProps/ctrlProp54.xml"/><Relationship Id="rId36" Type="http://schemas.openxmlformats.org/officeDocument/2006/relationships/ctrlProp" Target="../ctrlProps/ctrlProp62.xml"/><Relationship Id="rId49" Type="http://schemas.openxmlformats.org/officeDocument/2006/relationships/ctrlProp" Target="../ctrlProps/ctrlProp75.xml"/><Relationship Id="rId57" Type="http://schemas.openxmlformats.org/officeDocument/2006/relationships/ctrlProp" Target="../ctrlProps/ctrlProp8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W691"/>
  <sheetViews>
    <sheetView zoomScale="75" workbookViewId="0">
      <selection activeCell="J16" sqref="J16"/>
    </sheetView>
  </sheetViews>
  <sheetFormatPr defaultRowHeight="15"/>
  <cols>
    <col min="1" max="2" width="8.85546875" style="6" customWidth="1"/>
    <col min="3" max="3" width="12.7109375" style="7" customWidth="1"/>
    <col min="4" max="4" width="13.28515625" style="23" customWidth="1"/>
    <col min="5" max="5" width="11.7109375" style="8" customWidth="1"/>
    <col min="6" max="8" width="8.85546875" style="6" customWidth="1"/>
    <col min="9" max="17" width="9.140625" style="6" customWidth="1"/>
    <col min="18" max="23" width="9.140625" style="24" customWidth="1"/>
  </cols>
  <sheetData>
    <row r="1" spans="1:23" s="9" customFormat="1">
      <c r="A1" s="6"/>
      <c r="B1" s="6"/>
      <c r="C1" s="7"/>
      <c r="D1" s="6"/>
      <c r="E1" s="8"/>
      <c r="F1" s="6"/>
      <c r="G1" s="6"/>
      <c r="H1" s="6"/>
      <c r="I1" s="6"/>
      <c r="J1" s="6"/>
      <c r="K1" s="6"/>
      <c r="L1" s="6"/>
      <c r="M1" s="6"/>
      <c r="N1" s="6"/>
      <c r="O1" s="6"/>
      <c r="P1" s="6"/>
      <c r="Q1" s="6"/>
      <c r="R1" s="6"/>
      <c r="S1" s="6"/>
      <c r="T1" s="6"/>
      <c r="U1" s="6"/>
      <c r="V1" s="6"/>
      <c r="W1" s="6"/>
    </row>
    <row r="2" spans="1:23" s="9" customFormat="1" ht="23.25">
      <c r="A2" s="6"/>
      <c r="B2" s="10" t="s">
        <v>898</v>
      </c>
      <c r="C2" s="7"/>
      <c r="D2" s="6"/>
      <c r="E2" s="8"/>
      <c r="F2" s="6"/>
      <c r="G2" s="6"/>
      <c r="H2" s="6"/>
      <c r="I2" s="6"/>
      <c r="J2" s="6"/>
      <c r="K2" s="6"/>
      <c r="L2" s="6"/>
      <c r="M2" s="6"/>
      <c r="N2" s="6"/>
      <c r="O2" s="6"/>
      <c r="P2" s="6"/>
      <c r="Q2" s="6"/>
      <c r="R2" s="6"/>
      <c r="S2" s="6"/>
      <c r="T2" s="6"/>
      <c r="U2" s="6"/>
      <c r="V2" s="6"/>
      <c r="W2" s="6"/>
    </row>
    <row r="3" spans="1:23" s="9" customFormat="1">
      <c r="A3" s="6"/>
      <c r="B3" s="6"/>
      <c r="C3" s="7"/>
      <c r="D3" s="6"/>
      <c r="E3" s="8"/>
      <c r="F3" s="6"/>
      <c r="G3" s="6"/>
      <c r="H3" s="6"/>
      <c r="I3" s="6"/>
      <c r="J3" s="6"/>
      <c r="K3" s="6"/>
      <c r="L3" s="6"/>
      <c r="M3" s="6"/>
      <c r="N3" s="6"/>
      <c r="O3" s="6"/>
      <c r="P3" s="6"/>
      <c r="Q3" s="6"/>
      <c r="R3" s="6"/>
      <c r="S3" s="6"/>
      <c r="T3" s="6"/>
      <c r="U3" s="6"/>
      <c r="V3" s="6"/>
      <c r="W3" s="6"/>
    </row>
    <row r="4" spans="1:23" s="9" customFormat="1">
      <c r="A4" s="6"/>
      <c r="B4" s="11" t="s">
        <v>9</v>
      </c>
      <c r="C4" s="7"/>
      <c r="D4" s="6" t="s">
        <v>1401</v>
      </c>
      <c r="E4" s="8"/>
      <c r="F4" s="6"/>
      <c r="G4" s="6"/>
      <c r="H4" s="6"/>
      <c r="I4" s="6"/>
      <c r="J4" s="6"/>
      <c r="K4" s="6"/>
      <c r="L4" s="6"/>
      <c r="M4" s="6"/>
      <c r="N4" s="6"/>
      <c r="O4" s="6"/>
      <c r="P4" s="6"/>
      <c r="Q4" s="6"/>
      <c r="R4" s="6"/>
      <c r="S4" s="6"/>
      <c r="T4" s="6"/>
      <c r="U4" s="6"/>
      <c r="V4" s="6"/>
      <c r="W4" s="6"/>
    </row>
    <row r="5" spans="1:23" s="9" customFormat="1">
      <c r="A5" s="6"/>
      <c r="B5" s="11" t="s">
        <v>10</v>
      </c>
      <c r="C5" s="7"/>
      <c r="D5" s="6" t="str">
        <f>VLOOKUP(D9,$C$26:$G$550,3)</f>
        <v>23-Production</v>
      </c>
      <c r="E5" s="8"/>
      <c r="F5" s="8" t="s">
        <v>1516</v>
      </c>
      <c r="G5" s="6"/>
      <c r="H5" s="6"/>
      <c r="I5" s="6"/>
      <c r="J5" s="6"/>
      <c r="K5" s="6"/>
      <c r="L5" s="6"/>
      <c r="M5" s="6"/>
      <c r="N5" s="6"/>
      <c r="O5" s="6"/>
      <c r="P5" s="6"/>
      <c r="Q5" s="6"/>
      <c r="R5" s="6"/>
      <c r="S5" s="6"/>
      <c r="T5" s="6"/>
      <c r="U5" s="6"/>
      <c r="V5" s="6"/>
      <c r="W5" s="6"/>
    </row>
    <row r="6" spans="1:23" s="9" customFormat="1">
      <c r="A6" s="6"/>
      <c r="B6" s="6" t="s">
        <v>11</v>
      </c>
      <c r="C6" s="7"/>
      <c r="D6" s="6" t="s">
        <v>1059</v>
      </c>
      <c r="E6" s="8"/>
      <c r="F6" s="6"/>
      <c r="G6" s="6"/>
      <c r="H6" s="6"/>
      <c r="I6" s="6"/>
      <c r="J6" s="6"/>
      <c r="K6" s="6"/>
      <c r="L6" s="6"/>
      <c r="M6" s="6"/>
      <c r="N6" s="6"/>
      <c r="O6" s="6"/>
      <c r="P6" s="6"/>
      <c r="Q6" s="6"/>
      <c r="R6" s="6"/>
      <c r="S6" s="6"/>
      <c r="T6" s="6"/>
      <c r="U6" s="6"/>
      <c r="V6" s="6"/>
      <c r="W6" s="6"/>
    </row>
    <row r="7" spans="1:23" s="9" customFormat="1">
      <c r="A7" s="6"/>
      <c r="B7" s="6" t="s">
        <v>12</v>
      </c>
      <c r="C7" s="7"/>
      <c r="D7" s="6" t="s">
        <v>974</v>
      </c>
      <c r="E7" s="8"/>
      <c r="F7" s="6"/>
      <c r="G7" s="6"/>
      <c r="H7" s="6"/>
      <c r="I7" s="6"/>
      <c r="J7" s="6"/>
      <c r="K7" s="6"/>
      <c r="L7" s="6"/>
      <c r="M7" s="6"/>
      <c r="N7" s="6"/>
      <c r="O7" s="6"/>
      <c r="P7" s="6"/>
      <c r="Q7" s="6"/>
      <c r="R7" s="6"/>
      <c r="S7" s="6"/>
      <c r="T7" s="6"/>
      <c r="U7" s="6"/>
      <c r="V7" s="6"/>
      <c r="W7" s="6"/>
    </row>
    <row r="8" spans="1:23" s="9" customFormat="1">
      <c r="A8" s="6"/>
      <c r="B8" s="6" t="s">
        <v>13</v>
      </c>
      <c r="C8" s="7"/>
      <c r="D8" s="6" t="s">
        <v>1032</v>
      </c>
      <c r="E8" s="8"/>
      <c r="F8" s="6"/>
      <c r="G8" s="6"/>
      <c r="H8" s="6"/>
      <c r="I8" s="6"/>
      <c r="J8" s="6"/>
      <c r="K8" s="6"/>
      <c r="L8" s="6"/>
      <c r="M8" s="6"/>
      <c r="N8" s="6"/>
      <c r="O8" s="6"/>
      <c r="P8" s="6"/>
      <c r="Q8" s="6"/>
      <c r="R8" s="6"/>
      <c r="S8" s="6"/>
      <c r="T8" s="6"/>
      <c r="U8" s="6"/>
      <c r="V8" s="6"/>
      <c r="W8" s="6"/>
    </row>
    <row r="9" spans="1:23" s="9" customFormat="1">
      <c r="A9" s="6"/>
      <c r="B9" s="6" t="s">
        <v>14</v>
      </c>
      <c r="C9" s="7"/>
      <c r="D9" s="11">
        <f>MAX(C25:C550)</f>
        <v>44382</v>
      </c>
      <c r="E9" s="8"/>
      <c r="F9" s="6"/>
      <c r="G9" s="6"/>
      <c r="H9" s="6"/>
      <c r="I9" s="6"/>
      <c r="J9" s="6"/>
      <c r="K9" s="6"/>
      <c r="L9" s="6"/>
      <c r="M9" s="6"/>
      <c r="N9" s="6"/>
      <c r="O9" s="6"/>
      <c r="P9" s="6"/>
      <c r="Q9" s="6"/>
      <c r="R9" s="6"/>
      <c r="S9" s="6"/>
      <c r="T9" s="6"/>
      <c r="U9" s="6"/>
      <c r="V9" s="6"/>
      <c r="W9" s="6"/>
    </row>
    <row r="10" spans="1:23" s="9" customFormat="1">
      <c r="A10" s="6"/>
      <c r="B10" s="6" t="s">
        <v>1506</v>
      </c>
      <c r="C10" s="7"/>
      <c r="D10" s="6"/>
      <c r="E10" s="8"/>
      <c r="F10" s="6"/>
      <c r="G10" s="6"/>
      <c r="H10" s="6"/>
      <c r="I10" s="6"/>
      <c r="J10" s="6"/>
      <c r="K10" s="6"/>
      <c r="L10" s="6"/>
      <c r="M10" s="6"/>
      <c r="N10" s="6"/>
      <c r="O10" s="6"/>
      <c r="P10" s="6"/>
      <c r="Q10" s="6"/>
      <c r="R10" s="6"/>
      <c r="S10" s="6"/>
      <c r="T10" s="6"/>
      <c r="U10" s="6"/>
      <c r="V10" s="6"/>
      <c r="W10" s="6"/>
    </row>
    <row r="11" spans="1:23" s="9" customFormat="1">
      <c r="A11" s="6"/>
      <c r="B11" s="6" t="s">
        <v>1369</v>
      </c>
      <c r="C11" s="7"/>
      <c r="D11" s="6"/>
      <c r="E11" s="8"/>
      <c r="F11" s="6"/>
      <c r="G11" s="6"/>
      <c r="H11" s="6"/>
      <c r="I11" s="6"/>
      <c r="J11" s="6"/>
      <c r="K11" s="6"/>
      <c r="L11" s="6"/>
      <c r="M11" s="6"/>
      <c r="N11" s="6"/>
      <c r="O11" s="6"/>
      <c r="P11" s="6"/>
      <c r="Q11" s="6"/>
      <c r="R11" s="6"/>
      <c r="S11" s="6"/>
      <c r="T11" s="6"/>
      <c r="U11" s="6"/>
      <c r="V11" s="6"/>
      <c r="W11" s="6"/>
    </row>
    <row r="12" spans="1:23" s="9" customFormat="1">
      <c r="A12" s="6"/>
      <c r="B12" s="6"/>
      <c r="C12" s="7"/>
      <c r="D12" s="6"/>
      <c r="E12" s="8"/>
      <c r="F12" s="6"/>
      <c r="G12" s="6"/>
      <c r="H12" s="6"/>
      <c r="I12" s="6"/>
      <c r="J12" s="6"/>
      <c r="K12" s="6"/>
      <c r="L12" s="6"/>
      <c r="M12" s="6"/>
      <c r="N12" s="6"/>
      <c r="O12" s="6"/>
      <c r="P12" s="6"/>
      <c r="Q12" s="6"/>
      <c r="R12" s="6"/>
      <c r="S12" s="6"/>
      <c r="T12" s="6"/>
      <c r="U12" s="6"/>
      <c r="V12" s="6"/>
      <c r="W12" s="6"/>
    </row>
    <row r="13" spans="1:23" s="9" customFormat="1">
      <c r="A13" s="6"/>
      <c r="B13" s="6" t="s">
        <v>1315</v>
      </c>
      <c r="C13" s="11"/>
      <c r="D13" s="11"/>
      <c r="E13" s="8"/>
      <c r="F13" s="6"/>
      <c r="G13" s="6"/>
      <c r="H13" s="6"/>
      <c r="I13" s="6"/>
      <c r="J13" s="6"/>
      <c r="K13" s="6"/>
      <c r="L13" s="6"/>
      <c r="M13" s="6"/>
      <c r="N13" s="6"/>
      <c r="O13" s="6"/>
      <c r="P13" s="6"/>
      <c r="Q13" s="6"/>
      <c r="R13" s="6"/>
      <c r="S13" s="6"/>
      <c r="T13" s="6"/>
      <c r="U13" s="6"/>
      <c r="V13" s="6"/>
      <c r="W13" s="6"/>
    </row>
    <row r="14" spans="1:23" s="9" customFormat="1">
      <c r="A14" s="6"/>
      <c r="B14" s="6"/>
      <c r="C14" s="7"/>
      <c r="D14" s="6"/>
      <c r="E14" s="8"/>
      <c r="F14" s="6"/>
      <c r="G14" s="6"/>
      <c r="H14" s="6"/>
      <c r="I14" s="6"/>
      <c r="J14" s="6"/>
      <c r="K14" s="6"/>
      <c r="L14" s="6"/>
      <c r="M14" s="6"/>
      <c r="N14" s="6"/>
      <c r="O14" s="6"/>
      <c r="P14" s="6"/>
      <c r="Q14" s="6"/>
      <c r="R14" s="6"/>
      <c r="S14" s="6"/>
      <c r="T14" s="6"/>
      <c r="U14" s="6"/>
      <c r="V14" s="6"/>
      <c r="W14" s="6"/>
    </row>
    <row r="15" spans="1:23" s="9" customFormat="1">
      <c r="A15" s="6"/>
      <c r="B15" s="6" t="s">
        <v>15</v>
      </c>
      <c r="C15" s="7"/>
      <c r="D15" s="6"/>
      <c r="E15" s="8"/>
      <c r="F15" s="6"/>
      <c r="G15" s="6"/>
      <c r="H15" s="6"/>
      <c r="I15" s="6"/>
      <c r="J15" s="6"/>
      <c r="K15" s="6"/>
      <c r="L15" s="6"/>
      <c r="M15" s="6"/>
      <c r="N15" s="6"/>
      <c r="O15" s="6"/>
      <c r="P15" s="6"/>
      <c r="Q15" s="6"/>
      <c r="R15" s="6"/>
      <c r="S15" s="6"/>
      <c r="T15" s="6"/>
      <c r="U15" s="6"/>
      <c r="V15" s="6"/>
      <c r="W15" s="6"/>
    </row>
    <row r="16" spans="1:23" s="9" customFormat="1" ht="15.75">
      <c r="A16" s="6"/>
      <c r="B16" s="12" t="s">
        <v>16</v>
      </c>
      <c r="C16" s="7"/>
      <c r="D16" s="6"/>
      <c r="E16" s="8"/>
      <c r="F16" s="6"/>
      <c r="G16" s="6"/>
      <c r="H16" s="6"/>
      <c r="I16" s="6"/>
      <c r="J16" s="6"/>
      <c r="K16" s="6"/>
      <c r="L16" s="6"/>
      <c r="M16" s="6"/>
      <c r="N16" s="6"/>
      <c r="O16" s="6"/>
      <c r="P16" s="6"/>
      <c r="Q16" s="6"/>
      <c r="R16" s="6"/>
      <c r="S16" s="6"/>
      <c r="T16" s="6"/>
      <c r="U16" s="6"/>
      <c r="V16" s="6"/>
      <c r="W16" s="6"/>
    </row>
    <row r="17" spans="1:23" s="9" customFormat="1">
      <c r="A17" s="6"/>
      <c r="B17" s="6" t="s">
        <v>17</v>
      </c>
      <c r="C17" s="7"/>
      <c r="D17" s="6"/>
      <c r="E17" s="8"/>
      <c r="F17" s="6"/>
      <c r="G17" s="6"/>
      <c r="H17" s="6"/>
      <c r="I17" s="6"/>
      <c r="J17" s="6"/>
      <c r="K17" s="6"/>
      <c r="L17" s="6"/>
      <c r="M17" s="6"/>
      <c r="N17" s="6"/>
      <c r="O17" s="6"/>
      <c r="P17" s="6"/>
      <c r="Q17" s="6"/>
      <c r="R17" s="6"/>
      <c r="S17" s="6"/>
      <c r="T17" s="6"/>
      <c r="U17" s="6"/>
      <c r="V17" s="6"/>
      <c r="W17" s="6"/>
    </row>
    <row r="18" spans="1:23" s="9" customFormat="1">
      <c r="A18" s="6"/>
      <c r="B18" s="6" t="s">
        <v>18</v>
      </c>
      <c r="C18" s="7"/>
      <c r="D18" s="6"/>
      <c r="E18" s="8"/>
      <c r="F18" s="6"/>
      <c r="G18" s="6"/>
      <c r="H18" s="6"/>
      <c r="I18" s="6"/>
      <c r="J18" s="6"/>
      <c r="K18" s="6"/>
      <c r="L18" s="6"/>
      <c r="M18" s="6"/>
      <c r="N18" s="6"/>
      <c r="O18" s="6"/>
      <c r="P18" s="6"/>
      <c r="Q18" s="6"/>
      <c r="R18" s="6"/>
      <c r="S18" s="6"/>
      <c r="T18" s="6"/>
      <c r="U18" s="6"/>
      <c r="V18" s="6"/>
      <c r="W18" s="6"/>
    </row>
    <row r="19" spans="1:23" s="9" customFormat="1">
      <c r="A19" s="6"/>
      <c r="B19" s="6"/>
      <c r="C19" s="7"/>
      <c r="D19" s="6"/>
      <c r="E19" s="8"/>
      <c r="F19" s="6"/>
      <c r="G19" s="6"/>
      <c r="H19" s="6"/>
      <c r="I19" s="6"/>
      <c r="J19" s="6"/>
      <c r="K19" s="6"/>
      <c r="L19" s="6"/>
      <c r="M19" s="6"/>
      <c r="N19" s="6"/>
      <c r="O19" s="6"/>
      <c r="P19" s="6"/>
      <c r="Q19" s="6"/>
      <c r="R19" s="6"/>
      <c r="S19" s="6"/>
      <c r="T19" s="6"/>
      <c r="U19" s="6"/>
      <c r="V19" s="6"/>
      <c r="W19" s="6"/>
    </row>
    <row r="20" spans="1:23" s="9" customFormat="1" ht="15.75">
      <c r="A20" s="6"/>
      <c r="B20" s="12"/>
      <c r="C20" s="7"/>
      <c r="D20" s="6"/>
      <c r="E20" s="8"/>
      <c r="F20" s="6"/>
      <c r="G20" s="6"/>
      <c r="H20" s="6"/>
      <c r="I20" s="6"/>
      <c r="J20" s="6"/>
      <c r="K20" s="6"/>
      <c r="L20" s="6"/>
      <c r="M20" s="6"/>
      <c r="N20" s="6"/>
      <c r="O20" s="6"/>
      <c r="P20" s="6"/>
      <c r="Q20" s="6"/>
      <c r="R20" s="6"/>
      <c r="S20" s="6"/>
      <c r="T20" s="6"/>
      <c r="U20" s="6"/>
      <c r="V20" s="6"/>
      <c r="W20" s="6"/>
    </row>
    <row r="21" spans="1:23" s="9" customFormat="1" ht="15.75">
      <c r="A21" s="6"/>
      <c r="B21" s="12"/>
      <c r="C21" s="11"/>
      <c r="D21" s="6"/>
      <c r="E21" s="8"/>
      <c r="F21" s="6"/>
      <c r="G21" s="6"/>
      <c r="H21" s="6"/>
      <c r="I21" s="6"/>
      <c r="J21" s="6"/>
      <c r="K21" s="6"/>
      <c r="L21" s="6"/>
      <c r="M21" s="6"/>
      <c r="N21" s="6"/>
      <c r="O21" s="6"/>
      <c r="P21" s="6"/>
      <c r="Q21" s="6"/>
      <c r="R21" s="6"/>
      <c r="S21" s="6"/>
      <c r="T21" s="6"/>
      <c r="U21" s="6"/>
      <c r="V21" s="6"/>
      <c r="W21" s="6"/>
    </row>
    <row r="22" spans="1:23" s="9" customFormat="1">
      <c r="A22" s="6"/>
      <c r="B22" s="6"/>
      <c r="C22" s="11"/>
      <c r="D22" s="6"/>
      <c r="E22" s="8"/>
      <c r="F22" s="6"/>
      <c r="G22" s="6"/>
      <c r="H22" s="6"/>
      <c r="I22" s="6"/>
      <c r="J22" s="6"/>
      <c r="K22" s="6"/>
      <c r="L22" s="6"/>
      <c r="M22" s="6"/>
      <c r="N22" s="6"/>
      <c r="O22" s="6"/>
      <c r="P22" s="6"/>
      <c r="Q22" s="6"/>
      <c r="R22" s="6"/>
      <c r="S22" s="6"/>
      <c r="T22" s="6"/>
      <c r="U22" s="6"/>
      <c r="V22" s="6"/>
      <c r="W22" s="6"/>
    </row>
    <row r="23" spans="1:23" s="9" customFormat="1">
      <c r="A23" s="6"/>
      <c r="B23" s="6"/>
      <c r="C23" s="11"/>
      <c r="D23" s="6"/>
      <c r="E23" s="8"/>
      <c r="F23" s="6"/>
      <c r="G23" s="6"/>
      <c r="H23" s="6"/>
      <c r="I23" s="6"/>
      <c r="J23" s="6"/>
      <c r="K23" s="6"/>
      <c r="L23" s="6"/>
      <c r="M23" s="6"/>
      <c r="N23" s="6"/>
      <c r="O23" s="6"/>
      <c r="P23" s="6"/>
      <c r="Q23" s="6"/>
      <c r="R23" s="6"/>
      <c r="S23" s="6"/>
      <c r="T23" s="6"/>
      <c r="U23" s="6"/>
      <c r="V23" s="6"/>
      <c r="W23" s="6"/>
    </row>
    <row r="24" spans="1:23" s="9" customFormat="1" ht="15.75">
      <c r="A24" s="6"/>
      <c r="B24" s="12" t="s">
        <v>19</v>
      </c>
      <c r="C24" s="7"/>
      <c r="D24" s="6"/>
      <c r="E24" s="8"/>
      <c r="F24" s="6"/>
      <c r="G24" s="6"/>
      <c r="H24" s="6"/>
      <c r="I24" s="6"/>
      <c r="J24" s="6"/>
      <c r="K24" s="6"/>
      <c r="L24" s="6"/>
      <c r="M24" s="6"/>
      <c r="N24" s="6"/>
      <c r="O24" s="6"/>
      <c r="P24" s="6"/>
      <c r="Q24" s="6"/>
      <c r="R24" s="6"/>
      <c r="S24" s="6"/>
      <c r="T24" s="6"/>
      <c r="U24" s="6"/>
      <c r="V24" s="6"/>
      <c r="W24" s="6"/>
    </row>
    <row r="25" spans="1:23" s="9" customFormat="1" ht="15.75">
      <c r="A25" s="6"/>
      <c r="B25" s="12"/>
      <c r="C25" s="13" t="s">
        <v>20</v>
      </c>
      <c r="D25" s="14" t="s">
        <v>21</v>
      </c>
      <c r="E25" s="15" t="s">
        <v>22</v>
      </c>
      <c r="F25" s="16"/>
      <c r="G25" s="17" t="s">
        <v>23</v>
      </c>
      <c r="H25" s="17"/>
      <c r="I25" s="17"/>
      <c r="J25" s="17"/>
      <c r="K25" s="17"/>
      <c r="L25" s="17"/>
      <c r="M25" s="17"/>
      <c r="N25" s="17"/>
      <c r="O25" s="18"/>
      <c r="P25" s="6"/>
      <c r="Q25" s="6"/>
      <c r="R25" s="6"/>
      <c r="S25" s="6"/>
      <c r="T25" s="6"/>
      <c r="U25" s="6"/>
      <c r="V25" s="6"/>
      <c r="W25" s="6"/>
    </row>
    <row r="26" spans="1:23" s="22" customFormat="1" ht="15.75">
      <c r="A26" s="12"/>
      <c r="B26" s="12"/>
      <c r="C26" s="19">
        <v>39162</v>
      </c>
      <c r="D26" s="20" t="s">
        <v>24</v>
      </c>
      <c r="E26" s="21" t="s">
        <v>25</v>
      </c>
      <c r="F26" s="12"/>
      <c r="G26" s="12" t="s">
        <v>26</v>
      </c>
      <c r="H26" s="12"/>
      <c r="I26" s="12"/>
      <c r="J26" s="12"/>
      <c r="K26" s="12"/>
      <c r="L26" s="12"/>
      <c r="M26" s="12"/>
      <c r="N26" s="12"/>
      <c r="O26" s="12"/>
      <c r="P26" s="12"/>
      <c r="Q26" s="12"/>
      <c r="R26" s="12"/>
      <c r="S26" s="12"/>
      <c r="T26" s="12"/>
      <c r="U26" s="12"/>
      <c r="V26" s="12"/>
      <c r="W26" s="12"/>
    </row>
    <row r="27" spans="1:23" s="9" customFormat="1">
      <c r="A27" s="6"/>
      <c r="B27" s="6"/>
      <c r="C27" s="7">
        <v>39231</v>
      </c>
      <c r="D27" s="23" t="s">
        <v>24</v>
      </c>
      <c r="E27" s="8" t="s">
        <v>25</v>
      </c>
      <c r="F27" s="6"/>
      <c r="G27" s="6" t="s">
        <v>66</v>
      </c>
      <c r="H27" s="6"/>
      <c r="I27" s="6"/>
      <c r="J27" s="6"/>
      <c r="K27" s="6"/>
      <c r="L27" s="6"/>
      <c r="M27" s="6"/>
      <c r="N27" s="6"/>
      <c r="O27" s="6"/>
      <c r="P27" s="6"/>
      <c r="Q27" s="6"/>
      <c r="R27" s="6"/>
      <c r="S27" s="6"/>
      <c r="T27" s="6"/>
      <c r="U27" s="6"/>
      <c r="V27" s="6"/>
      <c r="W27" s="6"/>
    </row>
    <row r="28" spans="1:23" s="9" customFormat="1">
      <c r="A28" s="6"/>
      <c r="B28" s="6"/>
      <c r="C28" s="7">
        <v>39259</v>
      </c>
      <c r="D28" s="23" t="s">
        <v>24</v>
      </c>
      <c r="E28" s="8" t="s">
        <v>68</v>
      </c>
      <c r="F28" s="6"/>
      <c r="G28" s="6" t="s">
        <v>69</v>
      </c>
      <c r="H28" s="6"/>
      <c r="I28" s="6"/>
      <c r="J28" s="6"/>
      <c r="K28" s="6"/>
      <c r="L28" s="6"/>
      <c r="M28" s="6"/>
      <c r="N28" s="6"/>
      <c r="O28" s="6"/>
      <c r="P28" s="6"/>
      <c r="Q28" s="6"/>
      <c r="R28" s="6"/>
      <c r="S28" s="6"/>
      <c r="T28" s="6"/>
      <c r="U28" s="6"/>
      <c r="V28" s="6"/>
      <c r="W28" s="6"/>
    </row>
    <row r="29" spans="1:23" s="9" customFormat="1" ht="15.75">
      <c r="A29" s="6"/>
      <c r="B29" s="6"/>
      <c r="C29" s="19">
        <v>39259</v>
      </c>
      <c r="D29" s="20" t="s">
        <v>24</v>
      </c>
      <c r="E29" s="21" t="s">
        <v>81</v>
      </c>
      <c r="F29" s="12"/>
      <c r="G29" s="12" t="s">
        <v>80</v>
      </c>
      <c r="H29" s="6"/>
      <c r="I29" s="6"/>
      <c r="J29" s="6"/>
      <c r="K29" s="6"/>
      <c r="L29" s="6"/>
      <c r="M29" s="6"/>
      <c r="N29" s="6"/>
      <c r="O29" s="6"/>
      <c r="P29" s="6"/>
      <c r="Q29" s="6"/>
      <c r="R29" s="6"/>
      <c r="S29" s="6"/>
      <c r="T29" s="6"/>
      <c r="U29" s="6"/>
      <c r="V29" s="6"/>
      <c r="W29" s="6"/>
    </row>
    <row r="30" spans="1:23" s="9" customFormat="1">
      <c r="A30" s="6"/>
      <c r="B30" s="6"/>
      <c r="C30" s="7">
        <v>39324</v>
      </c>
      <c r="D30" s="23" t="s">
        <v>24</v>
      </c>
      <c r="E30" s="8" t="s">
        <v>82</v>
      </c>
      <c r="F30" s="6"/>
      <c r="G30" s="8" t="s">
        <v>93</v>
      </c>
      <c r="H30" s="8"/>
      <c r="I30" s="6"/>
      <c r="J30" s="6"/>
      <c r="K30" s="6"/>
      <c r="L30" s="6"/>
      <c r="M30" s="6"/>
      <c r="N30" s="6"/>
      <c r="O30" s="6"/>
      <c r="P30" s="6"/>
      <c r="Q30" s="6"/>
      <c r="R30" s="6"/>
      <c r="S30" s="6"/>
      <c r="T30" s="6"/>
      <c r="U30" s="6"/>
      <c r="V30" s="6"/>
      <c r="W30" s="6"/>
    </row>
    <row r="31" spans="1:23" s="9" customFormat="1">
      <c r="A31" s="6"/>
      <c r="B31" s="6"/>
      <c r="C31" s="7">
        <v>39700</v>
      </c>
      <c r="D31" s="23" t="s">
        <v>24</v>
      </c>
      <c r="E31" s="8" t="s">
        <v>82</v>
      </c>
      <c r="F31" s="6"/>
      <c r="G31" s="6" t="s">
        <v>96</v>
      </c>
      <c r="H31" s="6"/>
      <c r="I31" s="6"/>
      <c r="J31" s="6"/>
      <c r="K31" s="6"/>
      <c r="L31" s="6"/>
      <c r="M31" s="6"/>
      <c r="N31" s="6"/>
      <c r="O31" s="6"/>
      <c r="P31" s="6"/>
      <c r="Q31" s="6"/>
      <c r="R31" s="6"/>
      <c r="S31" s="6"/>
      <c r="T31" s="6"/>
      <c r="U31" s="6"/>
      <c r="V31" s="6"/>
      <c r="W31" s="6"/>
    </row>
    <row r="32" spans="1:23" s="9" customFormat="1">
      <c r="A32" s="6"/>
      <c r="B32" s="6"/>
      <c r="C32" s="7">
        <v>39700</v>
      </c>
      <c r="D32" s="23" t="s">
        <v>24</v>
      </c>
      <c r="E32" s="8" t="s">
        <v>82</v>
      </c>
      <c r="F32" s="6"/>
      <c r="G32" s="6" t="s">
        <v>97</v>
      </c>
      <c r="H32" s="6"/>
      <c r="I32" s="6"/>
      <c r="J32" s="6"/>
      <c r="K32" s="6"/>
      <c r="L32" s="6"/>
      <c r="M32" s="6"/>
      <c r="N32" s="6"/>
      <c r="O32" s="6"/>
      <c r="P32" s="6"/>
      <c r="Q32" s="6"/>
      <c r="R32" s="6"/>
      <c r="S32" s="6"/>
      <c r="T32" s="6"/>
      <c r="U32" s="6"/>
      <c r="V32" s="6"/>
      <c r="W32" s="6"/>
    </row>
    <row r="33" spans="1:23">
      <c r="C33" s="7">
        <v>39706</v>
      </c>
      <c r="D33" s="23" t="s">
        <v>24</v>
      </c>
      <c r="E33" s="8" t="s">
        <v>82</v>
      </c>
      <c r="G33" s="6" t="s">
        <v>155</v>
      </c>
    </row>
    <row r="34" spans="1:23">
      <c r="C34" s="7">
        <v>40735</v>
      </c>
      <c r="D34" s="23" t="s">
        <v>24</v>
      </c>
      <c r="E34" s="8" t="s">
        <v>82</v>
      </c>
      <c r="F34" s="24"/>
      <c r="G34" s="6" t="s">
        <v>161</v>
      </c>
    </row>
    <row r="35" spans="1:23">
      <c r="C35" s="7">
        <v>40735</v>
      </c>
      <c r="D35" s="23" t="s">
        <v>24</v>
      </c>
      <c r="E35" s="8" t="s">
        <v>82</v>
      </c>
      <c r="F35" s="24"/>
      <c r="G35" s="6" t="s">
        <v>162</v>
      </c>
    </row>
    <row r="36" spans="1:23">
      <c r="C36" s="7">
        <v>40735</v>
      </c>
      <c r="D36" s="23" t="s">
        <v>24</v>
      </c>
      <c r="E36" s="8" t="s">
        <v>82</v>
      </c>
      <c r="F36" s="24"/>
      <c r="G36" s="6" t="s">
        <v>179</v>
      </c>
    </row>
    <row r="37" spans="1:23" s="5" customFormat="1" ht="15.75">
      <c r="A37" s="12"/>
      <c r="B37" s="12"/>
      <c r="C37" s="19">
        <v>41467</v>
      </c>
      <c r="D37" s="20" t="s">
        <v>24</v>
      </c>
      <c r="E37" s="21" t="s">
        <v>180</v>
      </c>
      <c r="F37" s="12"/>
      <c r="G37" s="12" t="s">
        <v>80</v>
      </c>
      <c r="H37" s="6"/>
      <c r="I37" s="6"/>
      <c r="J37" s="6"/>
      <c r="K37" s="12"/>
      <c r="L37" s="12"/>
      <c r="M37" s="12"/>
      <c r="N37" s="12"/>
      <c r="O37" s="12"/>
      <c r="P37" s="12"/>
      <c r="Q37" s="12"/>
      <c r="R37" s="26"/>
      <c r="S37" s="26"/>
      <c r="T37" s="26"/>
      <c r="U37" s="26"/>
      <c r="V37" s="26"/>
      <c r="W37" s="26"/>
    </row>
    <row r="38" spans="1:23">
      <c r="C38" s="7">
        <v>42020</v>
      </c>
      <c r="D38" s="23" t="s">
        <v>24</v>
      </c>
      <c r="E38" s="8" t="s">
        <v>181</v>
      </c>
      <c r="F38" s="25"/>
      <c r="G38" s="6" t="s">
        <v>212</v>
      </c>
    </row>
    <row r="39" spans="1:23" ht="15.75">
      <c r="C39" s="19">
        <v>42047</v>
      </c>
      <c r="D39" s="20" t="s">
        <v>24</v>
      </c>
      <c r="E39" s="21" t="s">
        <v>214</v>
      </c>
      <c r="F39" s="26"/>
      <c r="G39" s="12" t="s">
        <v>215</v>
      </c>
    </row>
    <row r="40" spans="1:23">
      <c r="C40" s="7">
        <v>42419</v>
      </c>
      <c r="D40" s="23" t="s">
        <v>24</v>
      </c>
      <c r="E40" s="8" t="s">
        <v>270</v>
      </c>
      <c r="F40" s="24"/>
      <c r="G40" s="6" t="s">
        <v>271</v>
      </c>
    </row>
    <row r="41" spans="1:23">
      <c r="C41" s="7">
        <v>42453</v>
      </c>
      <c r="D41" s="23" t="s">
        <v>24</v>
      </c>
      <c r="E41" s="8" t="s">
        <v>270</v>
      </c>
      <c r="F41" s="24"/>
      <c r="G41" s="6" t="s">
        <v>298</v>
      </c>
    </row>
    <row r="42" spans="1:23" ht="15.75">
      <c r="C42" s="19">
        <v>42465</v>
      </c>
      <c r="D42" s="20" t="s">
        <v>24</v>
      </c>
      <c r="E42" s="21" t="s">
        <v>303</v>
      </c>
      <c r="F42" s="26"/>
      <c r="G42" s="12" t="s">
        <v>304</v>
      </c>
    </row>
    <row r="43" spans="1:23">
      <c r="C43" s="7">
        <v>42517</v>
      </c>
      <c r="D43" s="23" t="s">
        <v>24</v>
      </c>
      <c r="E43" s="8" t="s">
        <v>305</v>
      </c>
      <c r="F43" s="24"/>
      <c r="G43" s="6" t="s">
        <v>306</v>
      </c>
    </row>
    <row r="44" spans="1:23">
      <c r="C44" s="7">
        <v>42527</v>
      </c>
      <c r="D44" s="23" t="s">
        <v>24</v>
      </c>
      <c r="E44" s="8" t="s">
        <v>305</v>
      </c>
      <c r="F44" s="24"/>
      <c r="G44" s="6" t="s">
        <v>616</v>
      </c>
    </row>
    <row r="45" spans="1:23">
      <c r="C45" s="7">
        <v>42565</v>
      </c>
      <c r="D45" s="23" t="s">
        <v>24</v>
      </c>
      <c r="E45" s="8" t="s">
        <v>305</v>
      </c>
      <c r="F45" s="24"/>
      <c r="G45" s="6" t="s">
        <v>803</v>
      </c>
    </row>
    <row r="46" spans="1:23">
      <c r="C46" s="7">
        <v>42593</v>
      </c>
      <c r="D46" s="23" t="s">
        <v>24</v>
      </c>
      <c r="E46" s="8" t="s">
        <v>305</v>
      </c>
      <c r="F46" s="24"/>
      <c r="G46" s="6" t="s">
        <v>807</v>
      </c>
    </row>
    <row r="47" spans="1:23">
      <c r="C47" s="7">
        <v>42600</v>
      </c>
      <c r="D47" s="23" t="s">
        <v>810</v>
      </c>
      <c r="E47" s="8" t="s">
        <v>305</v>
      </c>
      <c r="F47" s="24"/>
      <c r="G47" s="6" t="s">
        <v>811</v>
      </c>
    </row>
    <row r="48" spans="1:23">
      <c r="C48" s="7">
        <v>42601</v>
      </c>
      <c r="D48" s="23" t="s">
        <v>24</v>
      </c>
      <c r="E48" s="8" t="s">
        <v>305</v>
      </c>
      <c r="F48" s="24"/>
      <c r="G48" s="6" t="s">
        <v>833</v>
      </c>
    </row>
    <row r="49" spans="3:13">
      <c r="C49" s="7">
        <v>42613</v>
      </c>
      <c r="D49" s="23" t="s">
        <v>24</v>
      </c>
      <c r="E49" s="8" t="s">
        <v>305</v>
      </c>
      <c r="F49" s="24"/>
      <c r="G49" s="6" t="s">
        <v>843</v>
      </c>
    </row>
    <row r="50" spans="3:13">
      <c r="C50" s="7">
        <v>42613</v>
      </c>
      <c r="D50" s="23" t="s">
        <v>810</v>
      </c>
      <c r="E50" s="8" t="s">
        <v>305</v>
      </c>
      <c r="F50" s="24"/>
      <c r="G50" s="6" t="s">
        <v>850</v>
      </c>
    </row>
    <row r="51" spans="3:13">
      <c r="C51" s="7">
        <v>42614</v>
      </c>
      <c r="D51" s="23" t="s">
        <v>810</v>
      </c>
      <c r="E51" s="8" t="s">
        <v>305</v>
      </c>
      <c r="F51" s="24"/>
      <c r="G51" s="6" t="s">
        <v>852</v>
      </c>
    </row>
    <row r="52" spans="3:13">
      <c r="C52" s="7">
        <v>42618</v>
      </c>
      <c r="D52" s="23" t="s">
        <v>810</v>
      </c>
      <c r="E52" s="8" t="s">
        <v>305</v>
      </c>
      <c r="F52" s="24"/>
      <c r="G52" s="6" t="s">
        <v>866</v>
      </c>
    </row>
    <row r="53" spans="3:13" ht="15.75">
      <c r="C53" s="7">
        <v>42619</v>
      </c>
      <c r="D53" s="23" t="s">
        <v>810</v>
      </c>
      <c r="E53" s="8" t="s">
        <v>305</v>
      </c>
      <c r="F53" s="25"/>
      <c r="G53" s="6" t="s">
        <v>867</v>
      </c>
      <c r="I53" s="12"/>
      <c r="J53" s="12"/>
      <c r="K53" s="12"/>
      <c r="L53" s="12"/>
      <c r="M53" s="12"/>
    </row>
    <row r="54" spans="3:13">
      <c r="C54" s="7">
        <v>42635</v>
      </c>
      <c r="D54" s="23" t="s">
        <v>886</v>
      </c>
      <c r="E54" s="8" t="s">
        <v>305</v>
      </c>
      <c r="F54" s="25"/>
      <c r="G54" s="6" t="s">
        <v>887</v>
      </c>
    </row>
    <row r="55" spans="3:13">
      <c r="C55" s="7">
        <v>42649</v>
      </c>
      <c r="D55" s="23" t="s">
        <v>896</v>
      </c>
      <c r="E55" s="8" t="s">
        <v>305</v>
      </c>
      <c r="F55" s="24"/>
      <c r="G55" s="6" t="s">
        <v>897</v>
      </c>
    </row>
    <row r="56" spans="3:13">
      <c r="C56" s="7">
        <v>42663</v>
      </c>
      <c r="D56" s="23" t="s">
        <v>910</v>
      </c>
      <c r="E56" s="8" t="s">
        <v>911</v>
      </c>
      <c r="F56" s="24"/>
      <c r="G56" s="6" t="s">
        <v>912</v>
      </c>
    </row>
    <row r="57" spans="3:13" ht="15.75">
      <c r="C57" s="19">
        <v>42667</v>
      </c>
      <c r="D57" s="20" t="s">
        <v>910</v>
      </c>
      <c r="E57" s="21" t="s">
        <v>926</v>
      </c>
      <c r="F57" s="26"/>
      <c r="G57" s="12" t="s">
        <v>927</v>
      </c>
    </row>
    <row r="58" spans="3:13">
      <c r="C58" s="7">
        <v>42705</v>
      </c>
      <c r="D58" s="23" t="s">
        <v>886</v>
      </c>
      <c r="E58" s="8" t="s">
        <v>944</v>
      </c>
      <c r="F58" s="24"/>
      <c r="G58" s="6" t="s">
        <v>945</v>
      </c>
    </row>
    <row r="59" spans="3:13">
      <c r="C59" s="7">
        <v>42708</v>
      </c>
      <c r="D59" s="23" t="s">
        <v>956</v>
      </c>
      <c r="E59" s="8" t="s">
        <v>944</v>
      </c>
      <c r="F59" s="24"/>
      <c r="G59" s="6" t="s">
        <v>957</v>
      </c>
    </row>
    <row r="60" spans="3:13">
      <c r="C60" s="7">
        <v>42708</v>
      </c>
      <c r="D60" s="23" t="s">
        <v>956</v>
      </c>
      <c r="E60" s="8" t="s">
        <v>944</v>
      </c>
      <c r="F60" s="24"/>
      <c r="G60" s="6" t="s">
        <v>958</v>
      </c>
    </row>
    <row r="61" spans="3:13">
      <c r="C61" s="7">
        <v>42709</v>
      </c>
      <c r="D61" s="23" t="s">
        <v>910</v>
      </c>
      <c r="E61" s="8" t="s">
        <v>944</v>
      </c>
      <c r="F61" s="24"/>
      <c r="G61" s="6" t="s">
        <v>971</v>
      </c>
    </row>
    <row r="62" spans="3:13">
      <c r="C62" s="7">
        <v>42709</v>
      </c>
      <c r="D62" s="23" t="s">
        <v>972</v>
      </c>
      <c r="E62" s="8" t="s">
        <v>944</v>
      </c>
      <c r="F62" s="24"/>
      <c r="G62" s="6" t="s">
        <v>973</v>
      </c>
    </row>
    <row r="63" spans="3:13" ht="15.75">
      <c r="C63" s="19">
        <v>42710</v>
      </c>
      <c r="D63" s="20" t="s">
        <v>910</v>
      </c>
      <c r="E63" s="21" t="s">
        <v>959</v>
      </c>
      <c r="F63" s="26"/>
      <c r="G63" s="12" t="s">
        <v>927</v>
      </c>
    </row>
    <row r="64" spans="3:13">
      <c r="C64" s="7">
        <v>42718</v>
      </c>
      <c r="D64" s="23" t="s">
        <v>956</v>
      </c>
      <c r="E64" s="8" t="s">
        <v>975</v>
      </c>
      <c r="F64" s="24"/>
      <c r="G64" s="6" t="s">
        <v>976</v>
      </c>
    </row>
    <row r="65" spans="1:23">
      <c r="C65" s="7">
        <v>42751</v>
      </c>
      <c r="D65" s="23" t="s">
        <v>956</v>
      </c>
      <c r="E65" s="8" t="s">
        <v>975</v>
      </c>
      <c r="F65" s="24"/>
      <c r="G65" s="6" t="s">
        <v>984</v>
      </c>
    </row>
    <row r="66" spans="1:23">
      <c r="C66" s="7">
        <v>42758</v>
      </c>
      <c r="D66" s="23" t="s">
        <v>956</v>
      </c>
      <c r="E66" s="8" t="s">
        <v>975</v>
      </c>
      <c r="F66" s="24"/>
      <c r="G66" s="6" t="s">
        <v>986</v>
      </c>
    </row>
    <row r="67" spans="1:23">
      <c r="C67" s="7">
        <v>42760</v>
      </c>
      <c r="D67" s="23" t="s">
        <v>956</v>
      </c>
      <c r="E67" s="8" t="s">
        <v>975</v>
      </c>
      <c r="F67" s="24"/>
      <c r="G67" s="6" t="s">
        <v>989</v>
      </c>
    </row>
    <row r="68" spans="1:23">
      <c r="C68" s="7">
        <v>42760</v>
      </c>
      <c r="D68" s="23" t="s">
        <v>956</v>
      </c>
      <c r="E68" s="8" t="s">
        <v>975</v>
      </c>
      <c r="F68" s="24"/>
      <c r="G68" s="6" t="s">
        <v>987</v>
      </c>
    </row>
    <row r="69" spans="1:23" ht="15.75">
      <c r="C69" s="19">
        <v>42760</v>
      </c>
      <c r="D69" s="20" t="s">
        <v>956</v>
      </c>
      <c r="E69" s="21" t="s">
        <v>988</v>
      </c>
      <c r="F69" s="26"/>
      <c r="G69" s="12" t="s">
        <v>927</v>
      </c>
    </row>
    <row r="70" spans="1:23">
      <c r="C70" s="7">
        <v>42779</v>
      </c>
      <c r="D70" s="23" t="s">
        <v>886</v>
      </c>
      <c r="E70" s="8" t="s">
        <v>1004</v>
      </c>
      <c r="F70" s="24"/>
      <c r="G70" s="6" t="s">
        <v>1030</v>
      </c>
    </row>
    <row r="71" spans="1:23">
      <c r="C71" s="7">
        <v>42782</v>
      </c>
      <c r="D71" s="23" t="s">
        <v>886</v>
      </c>
      <c r="E71" s="8" t="s">
        <v>1004</v>
      </c>
      <c r="F71" s="24"/>
      <c r="G71" s="6" t="s">
        <v>1029</v>
      </c>
    </row>
    <row r="72" spans="1:23" ht="15.75">
      <c r="C72" s="19">
        <v>42783</v>
      </c>
      <c r="D72" s="20" t="s">
        <v>886</v>
      </c>
      <c r="E72" s="21" t="s">
        <v>1031</v>
      </c>
      <c r="F72" s="26"/>
      <c r="G72" s="12" t="s">
        <v>927</v>
      </c>
    </row>
    <row r="73" spans="1:23">
      <c r="C73" s="7">
        <v>42789</v>
      </c>
      <c r="D73" s="23" t="s">
        <v>886</v>
      </c>
      <c r="E73" s="8" t="s">
        <v>1034</v>
      </c>
      <c r="F73" s="24"/>
      <c r="G73" s="6" t="s">
        <v>1035</v>
      </c>
    </row>
    <row r="74" spans="1:23" ht="15.75">
      <c r="C74" s="19">
        <v>42789</v>
      </c>
      <c r="D74" s="20" t="s">
        <v>886</v>
      </c>
      <c r="E74" s="21" t="s">
        <v>1036</v>
      </c>
      <c r="F74" s="24"/>
      <c r="G74" s="12" t="s">
        <v>927</v>
      </c>
    </row>
    <row r="75" spans="1:23">
      <c r="C75" s="7">
        <v>42864</v>
      </c>
      <c r="D75" s="23" t="s">
        <v>886</v>
      </c>
      <c r="E75" s="8" t="s">
        <v>1056</v>
      </c>
      <c r="F75" s="24"/>
      <c r="G75" s="6" t="s">
        <v>1073</v>
      </c>
    </row>
    <row r="76" spans="1:23">
      <c r="C76" s="7">
        <v>42928</v>
      </c>
      <c r="D76" s="23" t="s">
        <v>956</v>
      </c>
      <c r="E76" s="8" t="s">
        <v>1056</v>
      </c>
      <c r="F76" s="24"/>
      <c r="G76" s="6" t="s">
        <v>1057</v>
      </c>
    </row>
    <row r="77" spans="1:23" s="5" customFormat="1" ht="15.75">
      <c r="A77" s="12"/>
      <c r="B77" s="12"/>
      <c r="C77" s="7">
        <v>42928</v>
      </c>
      <c r="D77" s="23" t="s">
        <v>956</v>
      </c>
      <c r="E77" s="8" t="s">
        <v>1056</v>
      </c>
      <c r="F77" s="25"/>
      <c r="G77" s="6" t="s">
        <v>1060</v>
      </c>
      <c r="H77" s="6"/>
      <c r="I77" s="6"/>
      <c r="J77" s="6"/>
      <c r="K77" s="6"/>
      <c r="L77" s="6"/>
      <c r="M77" s="6"/>
      <c r="N77" s="6"/>
      <c r="O77" s="12"/>
      <c r="P77" s="12"/>
      <c r="Q77" s="12"/>
      <c r="R77" s="26"/>
      <c r="S77" s="26"/>
      <c r="T77" s="26"/>
      <c r="U77" s="26"/>
      <c r="V77" s="26"/>
      <c r="W77" s="26"/>
    </row>
    <row r="78" spans="1:23">
      <c r="C78" s="7">
        <v>42950</v>
      </c>
      <c r="D78" s="23" t="s">
        <v>956</v>
      </c>
      <c r="E78" s="8" t="s">
        <v>1056</v>
      </c>
      <c r="F78" s="24"/>
      <c r="G78" s="6" t="s">
        <v>1061</v>
      </c>
    </row>
    <row r="79" spans="1:23">
      <c r="C79" s="7">
        <v>42955</v>
      </c>
      <c r="D79" s="23" t="s">
        <v>886</v>
      </c>
      <c r="E79" s="8" t="s">
        <v>1056</v>
      </c>
      <c r="F79" s="24"/>
      <c r="G79" s="6" t="s">
        <v>1062</v>
      </c>
    </row>
    <row r="80" spans="1:23">
      <c r="C80" s="7">
        <v>42955</v>
      </c>
      <c r="D80" s="23" t="s">
        <v>886</v>
      </c>
      <c r="E80" s="8" t="s">
        <v>1056</v>
      </c>
      <c r="F80" s="24"/>
      <c r="G80" s="6" t="s">
        <v>1064</v>
      </c>
    </row>
    <row r="81" spans="2:7">
      <c r="C81" s="7">
        <v>42957</v>
      </c>
      <c r="D81" s="23" t="s">
        <v>886</v>
      </c>
      <c r="E81" s="8" t="s">
        <v>1056</v>
      </c>
      <c r="F81" s="24"/>
      <c r="G81" s="6" t="s">
        <v>1072</v>
      </c>
    </row>
    <row r="82" spans="2:7">
      <c r="C82" s="7">
        <v>43214</v>
      </c>
      <c r="D82" s="23" t="s">
        <v>24</v>
      </c>
      <c r="E82" s="8" t="s">
        <v>1056</v>
      </c>
      <c r="F82" s="24"/>
      <c r="G82" s="6" t="s">
        <v>1078</v>
      </c>
    </row>
    <row r="83" spans="2:7">
      <c r="C83" s="7">
        <v>43214</v>
      </c>
      <c r="D83" s="23" t="s">
        <v>24</v>
      </c>
      <c r="E83" s="8" t="s">
        <v>1056</v>
      </c>
      <c r="F83" s="24"/>
      <c r="G83" s="6" t="s">
        <v>1080</v>
      </c>
    </row>
    <row r="84" spans="2:7">
      <c r="C84" s="7">
        <v>43216</v>
      </c>
      <c r="D84" s="23" t="s">
        <v>24</v>
      </c>
      <c r="E84" s="8" t="s">
        <v>1056</v>
      </c>
      <c r="F84" s="24"/>
      <c r="G84" s="6" t="s">
        <v>1112</v>
      </c>
    </row>
    <row r="85" spans="2:7">
      <c r="C85" s="7">
        <v>43216</v>
      </c>
      <c r="D85" s="23" t="s">
        <v>24</v>
      </c>
      <c r="E85" s="8" t="s">
        <v>1056</v>
      </c>
      <c r="F85" s="24"/>
      <c r="G85" s="6" t="s">
        <v>1127</v>
      </c>
    </row>
    <row r="86" spans="2:7">
      <c r="C86" s="7">
        <v>43216</v>
      </c>
      <c r="D86" s="23" t="s">
        <v>24</v>
      </c>
      <c r="E86" s="8" t="s">
        <v>1056</v>
      </c>
      <c r="F86" s="24"/>
      <c r="G86" s="6" t="s">
        <v>1125</v>
      </c>
    </row>
    <row r="87" spans="2:7">
      <c r="C87" s="7">
        <v>43223</v>
      </c>
      <c r="D87" s="23" t="s">
        <v>24</v>
      </c>
      <c r="E87" s="8" t="s">
        <v>1056</v>
      </c>
      <c r="F87" s="24"/>
      <c r="G87" s="6" t="s">
        <v>1136</v>
      </c>
    </row>
    <row r="88" spans="2:7" ht="15.75">
      <c r="C88" s="19">
        <v>43223</v>
      </c>
      <c r="D88" s="20" t="s">
        <v>24</v>
      </c>
      <c r="E88" s="21" t="s">
        <v>1128</v>
      </c>
      <c r="F88" s="24"/>
      <c r="G88" s="12" t="s">
        <v>927</v>
      </c>
    </row>
    <row r="89" spans="2:7" ht="15.75">
      <c r="C89" s="19">
        <v>43258</v>
      </c>
      <c r="D89" s="20" t="s">
        <v>1190</v>
      </c>
      <c r="E89" s="21" t="s">
        <v>1145</v>
      </c>
      <c r="F89" s="26"/>
      <c r="G89" s="12" t="s">
        <v>1146</v>
      </c>
    </row>
    <row r="90" spans="2:7">
      <c r="C90" s="7">
        <v>43278</v>
      </c>
      <c r="D90" s="23" t="s">
        <v>24</v>
      </c>
      <c r="E90" s="8" t="s">
        <v>1147</v>
      </c>
      <c r="F90" s="25"/>
      <c r="G90" s="6" t="s">
        <v>1148</v>
      </c>
    </row>
    <row r="91" spans="2:7">
      <c r="C91" s="7">
        <v>43278</v>
      </c>
      <c r="D91" s="23" t="s">
        <v>24</v>
      </c>
      <c r="E91" s="8" t="s">
        <v>1147</v>
      </c>
      <c r="F91" s="25"/>
      <c r="G91" s="6" t="s">
        <v>1159</v>
      </c>
    </row>
    <row r="92" spans="2:7">
      <c r="C92" s="7">
        <v>43278</v>
      </c>
      <c r="D92" s="23" t="s">
        <v>24</v>
      </c>
      <c r="E92" s="8" t="s">
        <v>1147</v>
      </c>
      <c r="F92" s="24"/>
      <c r="G92" s="6" t="s">
        <v>1160</v>
      </c>
    </row>
    <row r="93" spans="2:7">
      <c r="C93" s="7">
        <v>43278</v>
      </c>
      <c r="D93" s="23" t="s">
        <v>24</v>
      </c>
      <c r="E93" s="8" t="s">
        <v>1147</v>
      </c>
      <c r="F93" s="24"/>
      <c r="G93" s="6" t="s">
        <v>1161</v>
      </c>
    </row>
    <row r="94" spans="2:7" ht="15.75">
      <c r="B94" s="12"/>
      <c r="C94" s="19">
        <v>43278</v>
      </c>
      <c r="D94" s="20" t="s">
        <v>24</v>
      </c>
      <c r="E94" s="21" t="s">
        <v>1165</v>
      </c>
      <c r="F94" s="26"/>
      <c r="G94" s="12" t="s">
        <v>927</v>
      </c>
    </row>
    <row r="95" spans="2:7">
      <c r="C95" s="7">
        <v>43300</v>
      </c>
      <c r="D95" s="23" t="s">
        <v>1166</v>
      </c>
      <c r="E95" s="8" t="s">
        <v>1167</v>
      </c>
      <c r="F95" s="24"/>
      <c r="G95" s="6" t="s">
        <v>1168</v>
      </c>
    </row>
    <row r="96" spans="2:7">
      <c r="C96" s="7">
        <v>43332</v>
      </c>
      <c r="D96" s="23" t="s">
        <v>1190</v>
      </c>
      <c r="E96" s="8" t="s">
        <v>1167</v>
      </c>
      <c r="F96" s="24"/>
      <c r="G96" s="6" t="s">
        <v>1191</v>
      </c>
    </row>
    <row r="97" spans="3:7">
      <c r="C97" s="7">
        <v>43332</v>
      </c>
      <c r="D97" s="23" t="s">
        <v>1190</v>
      </c>
      <c r="E97" s="8" t="s">
        <v>1167</v>
      </c>
      <c r="F97" s="24"/>
      <c r="G97" s="6" t="s">
        <v>1192</v>
      </c>
    </row>
    <row r="98" spans="3:7" ht="15.75">
      <c r="C98" s="19">
        <v>43334</v>
      </c>
      <c r="D98" s="20" t="s">
        <v>1194</v>
      </c>
      <c r="E98" s="21" t="s">
        <v>1195</v>
      </c>
      <c r="F98" s="26"/>
      <c r="G98" s="12" t="s">
        <v>927</v>
      </c>
    </row>
    <row r="99" spans="3:7">
      <c r="C99" s="7">
        <v>43508</v>
      </c>
      <c r="D99" s="23" t="s">
        <v>956</v>
      </c>
      <c r="E99" s="8" t="s">
        <v>1209</v>
      </c>
      <c r="F99" s="24"/>
      <c r="G99" s="6" t="s">
        <v>1212</v>
      </c>
    </row>
    <row r="100" spans="3:7">
      <c r="C100" s="7">
        <v>43508</v>
      </c>
      <c r="D100" s="23" t="s">
        <v>1166</v>
      </c>
      <c r="E100" s="8" t="s">
        <v>1209</v>
      </c>
      <c r="F100" s="24"/>
      <c r="G100" s="6" t="s">
        <v>1213</v>
      </c>
    </row>
    <row r="101" spans="3:7">
      <c r="C101" s="7">
        <v>43514</v>
      </c>
      <c r="D101" s="23" t="s">
        <v>956</v>
      </c>
      <c r="E101" s="8" t="s">
        <v>1209</v>
      </c>
      <c r="F101" s="24"/>
      <c r="G101" s="6" t="s">
        <v>1214</v>
      </c>
    </row>
    <row r="102" spans="3:7" ht="19.5">
      <c r="C102" s="7">
        <v>43514</v>
      </c>
      <c r="D102" s="23" t="s">
        <v>1215</v>
      </c>
      <c r="E102" s="8" t="s">
        <v>1209</v>
      </c>
      <c r="F102" s="24"/>
      <c r="G102" s="6" t="s">
        <v>1218</v>
      </c>
    </row>
    <row r="103" spans="3:7">
      <c r="C103" s="7">
        <v>43544</v>
      </c>
      <c r="D103" s="23" t="s">
        <v>1215</v>
      </c>
      <c r="E103" s="8" t="s">
        <v>1209</v>
      </c>
      <c r="F103" s="24"/>
      <c r="G103" s="6" t="s">
        <v>1219</v>
      </c>
    </row>
    <row r="104" spans="3:7">
      <c r="C104" s="7">
        <v>43557</v>
      </c>
      <c r="D104" s="23" t="s">
        <v>1166</v>
      </c>
      <c r="E104" s="8" t="s">
        <v>1209</v>
      </c>
      <c r="F104" s="24"/>
      <c r="G104" s="6" t="s">
        <v>1220</v>
      </c>
    </row>
    <row r="105" spans="3:7">
      <c r="C105" s="7">
        <v>43558</v>
      </c>
      <c r="D105" s="23" t="s">
        <v>1166</v>
      </c>
      <c r="E105" s="8" t="s">
        <v>1209</v>
      </c>
      <c r="F105" s="24"/>
      <c r="G105" s="6" t="s">
        <v>1221</v>
      </c>
    </row>
    <row r="106" spans="3:7" ht="15.75">
      <c r="C106" s="19">
        <v>43594</v>
      </c>
      <c r="D106" s="20" t="s">
        <v>1215</v>
      </c>
      <c r="E106" s="21" t="s">
        <v>1228</v>
      </c>
      <c r="F106" s="24"/>
      <c r="G106" s="12" t="s">
        <v>927</v>
      </c>
    </row>
    <row r="107" spans="3:7">
      <c r="C107" s="7">
        <v>43725</v>
      </c>
      <c r="D107" s="23" t="s">
        <v>886</v>
      </c>
      <c r="E107" s="8" t="s">
        <v>1229</v>
      </c>
      <c r="F107" s="24"/>
      <c r="G107" s="6" t="s">
        <v>1237</v>
      </c>
    </row>
    <row r="108" spans="3:7">
      <c r="C108" s="7">
        <v>43761</v>
      </c>
      <c r="D108" s="23" t="s">
        <v>886</v>
      </c>
      <c r="E108" s="8" t="s">
        <v>1229</v>
      </c>
      <c r="F108" s="24"/>
      <c r="G108" s="6" t="s">
        <v>1239</v>
      </c>
    </row>
    <row r="109" spans="3:7">
      <c r="C109" s="7">
        <v>43783</v>
      </c>
      <c r="D109" s="23" t="s">
        <v>1215</v>
      </c>
      <c r="E109" s="8" t="s">
        <v>1229</v>
      </c>
      <c r="F109" s="24"/>
      <c r="G109" s="6" t="s">
        <v>1272</v>
      </c>
    </row>
    <row r="110" spans="3:7">
      <c r="C110" s="7">
        <v>43788</v>
      </c>
      <c r="D110" s="23" t="s">
        <v>886</v>
      </c>
      <c r="E110" s="8" t="s">
        <v>1229</v>
      </c>
      <c r="F110" s="24"/>
      <c r="G110" s="6" t="s">
        <v>1289</v>
      </c>
    </row>
    <row r="111" spans="3:7">
      <c r="C111" s="7">
        <v>43808</v>
      </c>
      <c r="D111" s="23" t="s">
        <v>956</v>
      </c>
      <c r="E111" s="8" t="s">
        <v>1229</v>
      </c>
      <c r="F111" s="24"/>
      <c r="G111" s="6" t="s">
        <v>1291</v>
      </c>
    </row>
    <row r="112" spans="3:7">
      <c r="C112" s="7">
        <v>43843</v>
      </c>
      <c r="D112" s="23" t="s">
        <v>956</v>
      </c>
      <c r="E112" s="8" t="s">
        <v>1229</v>
      </c>
      <c r="F112" s="24"/>
      <c r="G112" s="6" t="s">
        <v>1292</v>
      </c>
    </row>
    <row r="113" spans="3:7">
      <c r="C113" s="7">
        <v>43875</v>
      </c>
      <c r="D113" s="23" t="s">
        <v>956</v>
      </c>
      <c r="E113" s="8" t="s">
        <v>1229</v>
      </c>
      <c r="F113" s="24"/>
      <c r="G113" s="6" t="s">
        <v>1297</v>
      </c>
    </row>
    <row r="114" spans="3:7">
      <c r="C114" s="7">
        <v>43888</v>
      </c>
      <c r="D114" s="23" t="s">
        <v>956</v>
      </c>
      <c r="E114" s="8" t="s">
        <v>1229</v>
      </c>
      <c r="F114" s="24"/>
      <c r="G114" s="6" t="s">
        <v>1300</v>
      </c>
    </row>
    <row r="115" spans="3:7">
      <c r="C115" s="7">
        <v>43888</v>
      </c>
      <c r="D115" s="23" t="s">
        <v>956</v>
      </c>
      <c r="E115" s="8" t="s">
        <v>1229</v>
      </c>
      <c r="F115" s="24"/>
      <c r="G115" s="6" t="s">
        <v>1301</v>
      </c>
    </row>
    <row r="116" spans="3:7" ht="15.75">
      <c r="C116" s="19">
        <v>43889</v>
      </c>
      <c r="D116" s="20" t="s">
        <v>956</v>
      </c>
      <c r="E116" s="21" t="s">
        <v>1314</v>
      </c>
      <c r="F116" s="24"/>
      <c r="G116" s="12" t="s">
        <v>927</v>
      </c>
    </row>
    <row r="117" spans="3:7">
      <c r="C117" s="7">
        <v>43895</v>
      </c>
      <c r="D117" s="23" t="s">
        <v>956</v>
      </c>
      <c r="E117" s="8" t="s">
        <v>1316</v>
      </c>
      <c r="F117" s="24"/>
      <c r="G117" s="6" t="s">
        <v>1325</v>
      </c>
    </row>
    <row r="118" spans="3:7">
      <c r="C118" s="7">
        <v>44104</v>
      </c>
      <c r="D118" s="23" t="s">
        <v>886</v>
      </c>
      <c r="E118" s="8" t="s">
        <v>1316</v>
      </c>
      <c r="F118" s="24"/>
      <c r="G118" s="6" t="s">
        <v>1328</v>
      </c>
    </row>
    <row r="119" spans="3:7">
      <c r="C119" s="7">
        <v>44116</v>
      </c>
      <c r="D119" s="23" t="s">
        <v>956</v>
      </c>
      <c r="E119" s="8" t="s">
        <v>1316</v>
      </c>
      <c r="F119" s="24"/>
      <c r="G119" s="6" t="s">
        <v>1341</v>
      </c>
    </row>
    <row r="120" spans="3:7">
      <c r="C120" s="7">
        <v>44141</v>
      </c>
      <c r="D120" s="23" t="s">
        <v>1190</v>
      </c>
      <c r="E120" s="8" t="s">
        <v>1316</v>
      </c>
      <c r="F120" s="24"/>
      <c r="G120" s="6" t="s">
        <v>1355</v>
      </c>
    </row>
    <row r="121" spans="3:7" ht="15.75">
      <c r="C121" s="19">
        <v>44166</v>
      </c>
      <c r="D121" s="20" t="s">
        <v>886</v>
      </c>
      <c r="E121" s="21" t="s">
        <v>1361</v>
      </c>
      <c r="F121" s="26"/>
      <c r="G121" s="12" t="s">
        <v>927</v>
      </c>
    </row>
    <row r="122" spans="3:7">
      <c r="C122" s="7">
        <v>44245</v>
      </c>
      <c r="D122" s="23" t="s">
        <v>24</v>
      </c>
      <c r="E122" s="8" t="s">
        <v>1362</v>
      </c>
      <c r="F122" s="24"/>
      <c r="G122" s="6" t="s">
        <v>1363</v>
      </c>
    </row>
    <row r="123" spans="3:7" ht="15.75">
      <c r="C123" s="19">
        <v>44245</v>
      </c>
      <c r="D123" s="20" t="s">
        <v>24</v>
      </c>
      <c r="E123" s="21" t="s">
        <v>1368</v>
      </c>
      <c r="F123" s="26"/>
      <c r="G123" s="12" t="s">
        <v>927</v>
      </c>
    </row>
    <row r="124" spans="3:7">
      <c r="C124" s="7">
        <v>44263</v>
      </c>
      <c r="D124" s="23" t="s">
        <v>24</v>
      </c>
      <c r="E124" s="8" t="s">
        <v>1380</v>
      </c>
      <c r="F124" s="24"/>
      <c r="G124" s="6" t="s">
        <v>1386</v>
      </c>
    </row>
    <row r="125" spans="3:7">
      <c r="C125" s="7">
        <v>44270</v>
      </c>
      <c r="D125" s="23" t="s">
        <v>24</v>
      </c>
      <c r="E125" s="8" t="s">
        <v>1380</v>
      </c>
      <c r="F125" s="24"/>
      <c r="G125" s="6" t="s">
        <v>1390</v>
      </c>
    </row>
    <row r="126" spans="3:7" ht="15.75">
      <c r="C126" s="19">
        <v>44273</v>
      </c>
      <c r="D126" s="20" t="s">
        <v>24</v>
      </c>
      <c r="E126" s="21" t="s">
        <v>1391</v>
      </c>
      <c r="F126" s="26"/>
      <c r="G126" s="12" t="s">
        <v>927</v>
      </c>
    </row>
    <row r="127" spans="3:7">
      <c r="C127" s="7">
        <v>44287</v>
      </c>
      <c r="D127" s="23" t="s">
        <v>956</v>
      </c>
      <c r="E127" s="8" t="s">
        <v>1392</v>
      </c>
      <c r="F127" s="24"/>
      <c r="G127" s="6" t="s">
        <v>1393</v>
      </c>
    </row>
    <row r="128" spans="3:7">
      <c r="C128" s="7">
        <v>44287</v>
      </c>
      <c r="D128" s="23" t="s">
        <v>956</v>
      </c>
      <c r="E128" s="8" t="s">
        <v>1392</v>
      </c>
      <c r="F128" s="24"/>
      <c r="G128" s="6" t="s">
        <v>1399</v>
      </c>
    </row>
    <row r="129" spans="3:9" ht="15.75">
      <c r="C129" s="19">
        <v>44294</v>
      </c>
      <c r="D129" s="20" t="s">
        <v>956</v>
      </c>
      <c r="E129" s="21" t="s">
        <v>1400</v>
      </c>
      <c r="F129" s="26"/>
      <c r="G129" s="12" t="s">
        <v>927</v>
      </c>
    </row>
    <row r="130" spans="3:9">
      <c r="C130" s="7">
        <v>44327</v>
      </c>
      <c r="D130" s="23" t="s">
        <v>24</v>
      </c>
      <c r="E130" s="8" t="s">
        <v>1402</v>
      </c>
      <c r="F130" s="24"/>
      <c r="G130" s="6" t="s">
        <v>1404</v>
      </c>
    </row>
    <row r="131" spans="3:9">
      <c r="C131" s="7">
        <v>44327</v>
      </c>
      <c r="D131" s="23" t="s">
        <v>24</v>
      </c>
      <c r="E131" s="8" t="s">
        <v>1402</v>
      </c>
      <c r="F131" s="24"/>
      <c r="G131" s="6" t="s">
        <v>1408</v>
      </c>
    </row>
    <row r="132" spans="3:9">
      <c r="C132" s="7">
        <v>44327</v>
      </c>
      <c r="D132" s="23" t="s">
        <v>24</v>
      </c>
      <c r="E132" s="8" t="s">
        <v>1402</v>
      </c>
      <c r="F132" s="24"/>
      <c r="G132" s="6" t="s">
        <v>1409</v>
      </c>
    </row>
    <row r="133" spans="3:9" ht="15.75">
      <c r="C133" s="19">
        <v>44327</v>
      </c>
      <c r="D133" s="20" t="s">
        <v>24</v>
      </c>
      <c r="E133" s="21" t="s">
        <v>1403</v>
      </c>
      <c r="F133" s="26"/>
      <c r="G133" s="12" t="s">
        <v>927</v>
      </c>
      <c r="H133" s="12"/>
      <c r="I133" s="12"/>
    </row>
    <row r="134" spans="3:9">
      <c r="C134" s="7">
        <v>44333</v>
      </c>
      <c r="D134" s="23" t="s">
        <v>24</v>
      </c>
      <c r="E134" s="8" t="s">
        <v>1412</v>
      </c>
      <c r="F134" s="24"/>
      <c r="G134" s="6" t="s">
        <v>1413</v>
      </c>
    </row>
    <row r="135" spans="3:9">
      <c r="C135" s="7">
        <v>44333</v>
      </c>
      <c r="D135" s="23" t="s">
        <v>24</v>
      </c>
      <c r="E135" s="8" t="s">
        <v>1412</v>
      </c>
      <c r="F135" s="24"/>
      <c r="G135" s="6" t="s">
        <v>1415</v>
      </c>
    </row>
    <row r="136" spans="3:9">
      <c r="C136" s="7">
        <v>44333</v>
      </c>
      <c r="D136" s="23" t="s">
        <v>24</v>
      </c>
      <c r="E136" s="8" t="s">
        <v>1412</v>
      </c>
      <c r="F136" s="24"/>
      <c r="G136" s="6" t="s">
        <v>1414</v>
      </c>
    </row>
    <row r="137" spans="3:9">
      <c r="C137" s="7">
        <v>44333</v>
      </c>
      <c r="D137" s="23" t="s">
        <v>24</v>
      </c>
      <c r="E137" s="8" t="s">
        <v>1412</v>
      </c>
      <c r="F137" s="24"/>
      <c r="G137" s="6" t="s">
        <v>1458</v>
      </c>
    </row>
    <row r="138" spans="3:9">
      <c r="C138" s="7">
        <v>44351</v>
      </c>
      <c r="D138" s="23" t="s">
        <v>886</v>
      </c>
      <c r="E138" s="8" t="s">
        <v>1412</v>
      </c>
      <c r="F138" s="24"/>
      <c r="G138" s="6" t="s">
        <v>1432</v>
      </c>
    </row>
    <row r="139" spans="3:9">
      <c r="C139" s="7">
        <v>44351</v>
      </c>
      <c r="D139" s="23" t="s">
        <v>886</v>
      </c>
      <c r="E139" s="8" t="s">
        <v>1412</v>
      </c>
      <c r="F139" s="24"/>
      <c r="G139" s="6" t="s">
        <v>1427</v>
      </c>
    </row>
    <row r="140" spans="3:9">
      <c r="C140" s="7">
        <v>44356</v>
      </c>
      <c r="D140" s="23" t="s">
        <v>886</v>
      </c>
      <c r="E140" s="8" t="s">
        <v>1412</v>
      </c>
      <c r="F140" s="24"/>
      <c r="G140" s="6" t="s">
        <v>1431</v>
      </c>
    </row>
    <row r="141" spans="3:9">
      <c r="C141" s="7">
        <v>44356</v>
      </c>
      <c r="D141" s="23" t="s">
        <v>24</v>
      </c>
      <c r="E141" s="8" t="s">
        <v>1412</v>
      </c>
      <c r="F141" s="24"/>
      <c r="G141" s="6" t="s">
        <v>1436</v>
      </c>
    </row>
    <row r="142" spans="3:9">
      <c r="C142" s="7">
        <v>44356</v>
      </c>
      <c r="D142" s="23" t="s">
        <v>24</v>
      </c>
      <c r="E142" s="8" t="s">
        <v>1412</v>
      </c>
      <c r="F142" s="24"/>
      <c r="G142" s="6" t="s">
        <v>1467</v>
      </c>
    </row>
    <row r="143" spans="3:9">
      <c r="C143" s="7">
        <v>44356</v>
      </c>
      <c r="D143" s="23" t="s">
        <v>24</v>
      </c>
      <c r="E143" s="8" t="s">
        <v>1412</v>
      </c>
      <c r="F143" s="24"/>
      <c r="G143" s="6" t="s">
        <v>1468</v>
      </c>
    </row>
    <row r="144" spans="3:9" ht="15.75">
      <c r="C144" s="19">
        <v>44356</v>
      </c>
      <c r="D144" s="20" t="s">
        <v>24</v>
      </c>
      <c r="E144" s="21" t="s">
        <v>1469</v>
      </c>
      <c r="F144" s="24"/>
      <c r="G144" s="12" t="s">
        <v>927</v>
      </c>
    </row>
    <row r="145" spans="3:7">
      <c r="C145" s="7">
        <v>44359</v>
      </c>
      <c r="D145" s="23" t="s">
        <v>24</v>
      </c>
      <c r="E145" s="8" t="s">
        <v>1473</v>
      </c>
      <c r="F145" s="24"/>
      <c r="G145" s="6" t="s">
        <v>1474</v>
      </c>
    </row>
    <row r="146" spans="3:7">
      <c r="C146" s="7">
        <v>44359</v>
      </c>
      <c r="D146" s="23" t="s">
        <v>24</v>
      </c>
      <c r="E146" s="8" t="s">
        <v>1473</v>
      </c>
      <c r="F146" s="24"/>
      <c r="G146" s="6" t="s">
        <v>1484</v>
      </c>
    </row>
    <row r="147" spans="3:7">
      <c r="C147" s="7">
        <v>44359</v>
      </c>
      <c r="D147" s="23" t="s">
        <v>24</v>
      </c>
      <c r="E147" s="8" t="s">
        <v>1473</v>
      </c>
      <c r="F147" s="24"/>
      <c r="G147" s="6" t="s">
        <v>1495</v>
      </c>
    </row>
    <row r="148" spans="3:7" ht="15.75">
      <c r="C148" s="19">
        <v>44362</v>
      </c>
      <c r="D148" s="20" t="s">
        <v>24</v>
      </c>
      <c r="E148" s="21" t="s">
        <v>1497</v>
      </c>
      <c r="F148" s="26"/>
      <c r="G148" s="12" t="s">
        <v>927</v>
      </c>
    </row>
    <row r="149" spans="3:7">
      <c r="C149" s="7">
        <v>44379</v>
      </c>
      <c r="D149" s="23" t="s">
        <v>24</v>
      </c>
      <c r="E149" s="8" t="s">
        <v>1504</v>
      </c>
      <c r="F149" s="24"/>
      <c r="G149" s="6" t="s">
        <v>1505</v>
      </c>
    </row>
    <row r="150" spans="3:7">
      <c r="C150" s="7">
        <v>44379</v>
      </c>
      <c r="D150" s="23" t="s">
        <v>24</v>
      </c>
      <c r="E150" s="8" t="s">
        <v>1504</v>
      </c>
      <c r="F150" s="24"/>
      <c r="G150" s="6" t="s">
        <v>1514</v>
      </c>
    </row>
    <row r="151" spans="3:7" ht="15.75">
      <c r="C151" s="19">
        <v>44382</v>
      </c>
      <c r="D151" s="20" t="s">
        <v>24</v>
      </c>
      <c r="E151" s="21" t="s">
        <v>1515</v>
      </c>
      <c r="F151" s="26"/>
      <c r="G151" s="12" t="s">
        <v>927</v>
      </c>
    </row>
    <row r="152" spans="3:7">
      <c r="F152" s="24"/>
    </row>
    <row r="153" spans="3:7">
      <c r="F153" s="24"/>
    </row>
    <row r="154" spans="3:7">
      <c r="F154" s="24"/>
    </row>
    <row r="155" spans="3:7">
      <c r="F155" s="24"/>
    </row>
    <row r="156" spans="3:7">
      <c r="F156" s="24"/>
    </row>
    <row r="157" spans="3:7">
      <c r="F157" s="24"/>
    </row>
    <row r="158" spans="3:7">
      <c r="F158" s="24"/>
    </row>
    <row r="159" spans="3:7">
      <c r="F159" s="24"/>
    </row>
    <row r="160" spans="3:7">
      <c r="F160" s="24"/>
    </row>
    <row r="161" spans="6:6">
      <c r="F161" s="24"/>
    </row>
    <row r="162" spans="6:6">
      <c r="F162" s="24"/>
    </row>
    <row r="163" spans="6:6">
      <c r="F163" s="24"/>
    </row>
    <row r="164" spans="6:6">
      <c r="F164" s="24"/>
    </row>
    <row r="165" spans="6:6">
      <c r="F165" s="24"/>
    </row>
    <row r="166" spans="6:6">
      <c r="F166" s="24"/>
    </row>
    <row r="167" spans="6:6">
      <c r="F167" s="24"/>
    </row>
    <row r="168" spans="6:6">
      <c r="F168" s="24"/>
    </row>
    <row r="169" spans="6:6">
      <c r="F169" s="24"/>
    </row>
    <row r="170" spans="6:6">
      <c r="F170" s="24"/>
    </row>
    <row r="171" spans="6:6">
      <c r="F171" s="24"/>
    </row>
    <row r="172" spans="6:6">
      <c r="F172" s="24"/>
    </row>
    <row r="173" spans="6:6">
      <c r="F173" s="24"/>
    </row>
    <row r="174" spans="6:6">
      <c r="F174" s="24"/>
    </row>
    <row r="175" spans="6:6">
      <c r="F175" s="24"/>
    </row>
    <row r="176" spans="6:6">
      <c r="F176" s="24"/>
    </row>
    <row r="177" spans="6:6">
      <c r="F177" s="24"/>
    </row>
    <row r="178" spans="6:6">
      <c r="F178" s="24"/>
    </row>
    <row r="179" spans="6:6">
      <c r="F179" s="24"/>
    </row>
    <row r="180" spans="6:6">
      <c r="F180" s="24"/>
    </row>
    <row r="181" spans="6:6">
      <c r="F181" s="24"/>
    </row>
    <row r="182" spans="6:6">
      <c r="F182" s="24"/>
    </row>
    <row r="183" spans="6:6">
      <c r="F183" s="24"/>
    </row>
    <row r="184" spans="6:6">
      <c r="F184" s="24"/>
    </row>
    <row r="185" spans="6:6">
      <c r="F185" s="24"/>
    </row>
    <row r="186" spans="6:6">
      <c r="F186" s="24"/>
    </row>
    <row r="187" spans="6:6">
      <c r="F187" s="24"/>
    </row>
    <row r="188" spans="6:6">
      <c r="F188" s="24"/>
    </row>
    <row r="189" spans="6:6">
      <c r="F189" s="24"/>
    </row>
    <row r="190" spans="6:6">
      <c r="F190" s="24"/>
    </row>
    <row r="191" spans="6:6">
      <c r="F191" s="24"/>
    </row>
    <row r="192" spans="6:6">
      <c r="F192" s="24"/>
    </row>
    <row r="193" spans="6:6">
      <c r="F193" s="24"/>
    </row>
    <row r="194" spans="6:6">
      <c r="F194" s="24"/>
    </row>
    <row r="195" spans="6:6">
      <c r="F195" s="24"/>
    </row>
    <row r="196" spans="6:6">
      <c r="F196" s="24"/>
    </row>
    <row r="197" spans="6:6">
      <c r="F197" s="24"/>
    </row>
    <row r="198" spans="6:6">
      <c r="F198" s="24"/>
    </row>
    <row r="199" spans="6:6">
      <c r="F199" s="24"/>
    </row>
    <row r="200" spans="6:6">
      <c r="F200" s="24"/>
    </row>
    <row r="201" spans="6:6">
      <c r="F201" s="24"/>
    </row>
    <row r="202" spans="6:6">
      <c r="F202" s="24"/>
    </row>
    <row r="203" spans="6:6">
      <c r="F203" s="24"/>
    </row>
    <row r="204" spans="6:6">
      <c r="F204" s="24"/>
    </row>
    <row r="205" spans="6:6">
      <c r="F205" s="24"/>
    </row>
    <row r="206" spans="6:6">
      <c r="F206" s="24"/>
    </row>
    <row r="207" spans="6:6">
      <c r="F207" s="24"/>
    </row>
    <row r="208" spans="6:6">
      <c r="F208" s="24"/>
    </row>
    <row r="209" spans="6:6">
      <c r="F209" s="24"/>
    </row>
    <row r="210" spans="6:6">
      <c r="F210" s="24"/>
    </row>
    <row r="211" spans="6:6">
      <c r="F211" s="24"/>
    </row>
    <row r="212" spans="6:6">
      <c r="F212" s="24"/>
    </row>
    <row r="213" spans="6:6">
      <c r="F213" s="24"/>
    </row>
    <row r="214" spans="6:6">
      <c r="F214" s="24"/>
    </row>
    <row r="215" spans="6:6">
      <c r="F215" s="24"/>
    </row>
    <row r="216" spans="6:6">
      <c r="F216" s="24"/>
    </row>
    <row r="217" spans="6:6">
      <c r="F217" s="24"/>
    </row>
    <row r="218" spans="6:6">
      <c r="F218" s="24"/>
    </row>
    <row r="219" spans="6:6">
      <c r="F219" s="24"/>
    </row>
    <row r="220" spans="6:6">
      <c r="F220" s="24"/>
    </row>
    <row r="221" spans="6:6">
      <c r="F221" s="24"/>
    </row>
    <row r="222" spans="6:6">
      <c r="F222" s="24"/>
    </row>
    <row r="223" spans="6:6">
      <c r="F223" s="24"/>
    </row>
    <row r="224" spans="6:6">
      <c r="F224" s="24"/>
    </row>
    <row r="225" spans="6:6">
      <c r="F225" s="24"/>
    </row>
    <row r="226" spans="6:6">
      <c r="F226" s="24"/>
    </row>
    <row r="227" spans="6:6">
      <c r="F227" s="24"/>
    </row>
    <row r="228" spans="6:6">
      <c r="F228" s="24"/>
    </row>
    <row r="229" spans="6:6">
      <c r="F229" s="24"/>
    </row>
    <row r="230" spans="6:6">
      <c r="F230" s="24"/>
    </row>
    <row r="231" spans="6:6">
      <c r="F231" s="24"/>
    </row>
    <row r="232" spans="6:6">
      <c r="F232" s="24"/>
    </row>
    <row r="233" spans="6:6">
      <c r="F233" s="24"/>
    </row>
    <row r="234" spans="6:6">
      <c r="F234" s="24"/>
    </row>
    <row r="235" spans="6:6">
      <c r="F235" s="24"/>
    </row>
    <row r="236" spans="6:6">
      <c r="F236" s="24"/>
    </row>
    <row r="237" spans="6:6">
      <c r="F237" s="24"/>
    </row>
    <row r="238" spans="6:6">
      <c r="F238" s="24"/>
    </row>
    <row r="239" spans="6:6">
      <c r="F239" s="24"/>
    </row>
    <row r="240" spans="6:6">
      <c r="F240" s="24"/>
    </row>
    <row r="241" spans="6:6">
      <c r="F241" s="24"/>
    </row>
    <row r="242" spans="6:6">
      <c r="F242" s="24"/>
    </row>
    <row r="243" spans="6:6">
      <c r="F243" s="24"/>
    </row>
    <row r="244" spans="6:6">
      <c r="F244" s="24"/>
    </row>
    <row r="245" spans="6:6">
      <c r="F245" s="24"/>
    </row>
    <row r="246" spans="6:6">
      <c r="F246" s="24"/>
    </row>
    <row r="247" spans="6:6">
      <c r="F247" s="24"/>
    </row>
    <row r="248" spans="6:6">
      <c r="F248" s="24"/>
    </row>
    <row r="249" spans="6:6">
      <c r="F249" s="24"/>
    </row>
    <row r="250" spans="6:6">
      <c r="F250" s="24"/>
    </row>
    <row r="251" spans="6:6">
      <c r="F251" s="24"/>
    </row>
    <row r="252" spans="6:6">
      <c r="F252" s="24"/>
    </row>
    <row r="253" spans="6:6">
      <c r="F253" s="24"/>
    </row>
    <row r="254" spans="6:6">
      <c r="F254" s="24"/>
    </row>
    <row r="255" spans="6:6">
      <c r="F255" s="24"/>
    </row>
    <row r="256" spans="6:6">
      <c r="F256" s="24"/>
    </row>
    <row r="257" spans="6:6">
      <c r="F257" s="24"/>
    </row>
    <row r="258" spans="6:6">
      <c r="F258" s="24"/>
    </row>
    <row r="259" spans="6:6">
      <c r="F259" s="24"/>
    </row>
    <row r="260" spans="6:6">
      <c r="F260" s="24"/>
    </row>
    <row r="261" spans="6:6">
      <c r="F261" s="24"/>
    </row>
    <row r="262" spans="6:6">
      <c r="F262" s="24"/>
    </row>
    <row r="263" spans="6:6">
      <c r="F263" s="24"/>
    </row>
    <row r="264" spans="6:6">
      <c r="F264" s="24"/>
    </row>
    <row r="265" spans="6:6">
      <c r="F265" s="24"/>
    </row>
    <row r="266" spans="6:6">
      <c r="F266" s="24"/>
    </row>
    <row r="267" spans="6:6">
      <c r="F267" s="24"/>
    </row>
    <row r="268" spans="6:6">
      <c r="F268" s="24"/>
    </row>
    <row r="269" spans="6:6">
      <c r="F269" s="24"/>
    </row>
    <row r="270" spans="6:6">
      <c r="F270" s="24"/>
    </row>
    <row r="271" spans="6:6">
      <c r="F271" s="24"/>
    </row>
    <row r="272" spans="6:6">
      <c r="F272" s="24"/>
    </row>
    <row r="273" spans="6:6">
      <c r="F273" s="24"/>
    </row>
    <row r="274" spans="6:6">
      <c r="F274" s="24"/>
    </row>
    <row r="275" spans="6:6">
      <c r="F275" s="24"/>
    </row>
    <row r="276" spans="6:6">
      <c r="F276" s="24"/>
    </row>
    <row r="277" spans="6:6">
      <c r="F277" s="24"/>
    </row>
    <row r="278" spans="6:6">
      <c r="F278" s="24"/>
    </row>
    <row r="279" spans="6:6">
      <c r="F279" s="24"/>
    </row>
    <row r="280" spans="6:6">
      <c r="F280" s="24"/>
    </row>
    <row r="281" spans="6:6">
      <c r="F281" s="24"/>
    </row>
    <row r="282" spans="6:6">
      <c r="F282" s="24"/>
    </row>
    <row r="283" spans="6:6">
      <c r="F283" s="24"/>
    </row>
    <row r="284" spans="6:6">
      <c r="F284" s="24"/>
    </row>
    <row r="285" spans="6:6">
      <c r="F285" s="24"/>
    </row>
    <row r="286" spans="6:6">
      <c r="F286" s="24"/>
    </row>
    <row r="287" spans="6:6">
      <c r="F287" s="24"/>
    </row>
    <row r="288" spans="6:6">
      <c r="F288" s="24"/>
    </row>
    <row r="289" spans="6:6">
      <c r="F289" s="24"/>
    </row>
    <row r="290" spans="6:6">
      <c r="F290" s="24"/>
    </row>
    <row r="291" spans="6:6">
      <c r="F291" s="24"/>
    </row>
    <row r="292" spans="6:6">
      <c r="F292" s="24"/>
    </row>
    <row r="293" spans="6:6">
      <c r="F293" s="24"/>
    </row>
    <row r="294" spans="6:6">
      <c r="F294" s="24"/>
    </row>
    <row r="295" spans="6:6">
      <c r="F295" s="24"/>
    </row>
    <row r="296" spans="6:6">
      <c r="F296" s="24"/>
    </row>
    <row r="297" spans="6:6">
      <c r="F297" s="24"/>
    </row>
    <row r="298" spans="6:6">
      <c r="F298" s="24"/>
    </row>
    <row r="299" spans="6:6">
      <c r="F299" s="24"/>
    </row>
    <row r="300" spans="6:6">
      <c r="F300" s="24"/>
    </row>
    <row r="301" spans="6:6">
      <c r="F301" s="24"/>
    </row>
    <row r="302" spans="6:6">
      <c r="F302" s="24"/>
    </row>
    <row r="303" spans="6:6">
      <c r="F303" s="24"/>
    </row>
    <row r="304" spans="6:6">
      <c r="F304" s="24"/>
    </row>
    <row r="305" spans="6:6">
      <c r="F305" s="24"/>
    </row>
    <row r="306" spans="6:6">
      <c r="F306" s="24"/>
    </row>
    <row r="307" spans="6:6">
      <c r="F307" s="24"/>
    </row>
    <row r="308" spans="6:6">
      <c r="F308" s="24"/>
    </row>
    <row r="309" spans="6:6">
      <c r="F309" s="24"/>
    </row>
    <row r="310" spans="6:6">
      <c r="F310" s="24"/>
    </row>
    <row r="311" spans="6:6">
      <c r="F311" s="24"/>
    </row>
    <row r="312" spans="6:6">
      <c r="F312" s="24"/>
    </row>
    <row r="313" spans="6:6">
      <c r="F313" s="24"/>
    </row>
    <row r="314" spans="6:6">
      <c r="F314" s="24"/>
    </row>
    <row r="315" spans="6:6">
      <c r="F315" s="24"/>
    </row>
    <row r="316" spans="6:6">
      <c r="F316" s="24"/>
    </row>
    <row r="317" spans="6:6">
      <c r="F317" s="24"/>
    </row>
    <row r="318" spans="6:6">
      <c r="F318" s="24"/>
    </row>
    <row r="319" spans="6:6">
      <c r="F319" s="24"/>
    </row>
    <row r="320" spans="6:6">
      <c r="F320" s="24"/>
    </row>
    <row r="321" spans="6:6">
      <c r="F321" s="24"/>
    </row>
    <row r="322" spans="6:6">
      <c r="F322" s="24"/>
    </row>
    <row r="323" spans="6:6">
      <c r="F323" s="24"/>
    </row>
    <row r="324" spans="6:6">
      <c r="F324" s="24"/>
    </row>
    <row r="325" spans="6:6">
      <c r="F325" s="24"/>
    </row>
    <row r="326" spans="6:6">
      <c r="F326" s="24"/>
    </row>
    <row r="327" spans="6:6">
      <c r="F327" s="24"/>
    </row>
    <row r="328" spans="6:6">
      <c r="F328" s="24"/>
    </row>
    <row r="329" spans="6:6">
      <c r="F329" s="24"/>
    </row>
    <row r="330" spans="6:6">
      <c r="F330" s="24"/>
    </row>
    <row r="331" spans="6:6">
      <c r="F331" s="24"/>
    </row>
    <row r="332" spans="6:6">
      <c r="F332" s="24"/>
    </row>
    <row r="333" spans="6:6">
      <c r="F333" s="24"/>
    </row>
    <row r="334" spans="6:6">
      <c r="F334" s="24"/>
    </row>
    <row r="335" spans="6:6">
      <c r="F335" s="24"/>
    </row>
    <row r="336" spans="6:6">
      <c r="F336" s="24"/>
    </row>
    <row r="337" spans="6:6">
      <c r="F337" s="24"/>
    </row>
    <row r="338" spans="6:6">
      <c r="F338" s="24"/>
    </row>
    <row r="339" spans="6:6">
      <c r="F339" s="24"/>
    </row>
    <row r="340" spans="6:6">
      <c r="F340" s="24"/>
    </row>
    <row r="341" spans="6:6">
      <c r="F341" s="24"/>
    </row>
    <row r="342" spans="6:6">
      <c r="F342" s="24"/>
    </row>
    <row r="343" spans="6:6">
      <c r="F343" s="24"/>
    </row>
    <row r="344" spans="6:6">
      <c r="F344" s="24"/>
    </row>
    <row r="345" spans="6:6">
      <c r="F345" s="24"/>
    </row>
    <row r="346" spans="6:6">
      <c r="F346" s="24"/>
    </row>
    <row r="347" spans="6:6">
      <c r="F347" s="24"/>
    </row>
    <row r="348" spans="6:6">
      <c r="F348" s="24"/>
    </row>
    <row r="349" spans="6:6">
      <c r="F349" s="24"/>
    </row>
    <row r="350" spans="6:6">
      <c r="F350" s="24"/>
    </row>
    <row r="351" spans="6:6">
      <c r="F351" s="24"/>
    </row>
    <row r="352" spans="6:6">
      <c r="F352" s="24"/>
    </row>
    <row r="353" spans="6:6">
      <c r="F353" s="24"/>
    </row>
    <row r="354" spans="6:6">
      <c r="F354" s="24"/>
    </row>
    <row r="355" spans="6:6">
      <c r="F355" s="24"/>
    </row>
    <row r="356" spans="6:6">
      <c r="F356" s="24"/>
    </row>
    <row r="357" spans="6:6">
      <c r="F357" s="24"/>
    </row>
    <row r="358" spans="6:6">
      <c r="F358" s="24"/>
    </row>
    <row r="359" spans="6:6">
      <c r="F359" s="24"/>
    </row>
    <row r="360" spans="6:6">
      <c r="F360" s="24"/>
    </row>
    <row r="361" spans="6:6">
      <c r="F361" s="24"/>
    </row>
    <row r="362" spans="6:6">
      <c r="F362" s="24"/>
    </row>
    <row r="363" spans="6:6">
      <c r="F363" s="24"/>
    </row>
    <row r="364" spans="6:6">
      <c r="F364" s="24"/>
    </row>
    <row r="365" spans="6:6">
      <c r="F365" s="24"/>
    </row>
    <row r="366" spans="6:6">
      <c r="F366" s="24"/>
    </row>
    <row r="367" spans="6:6">
      <c r="F367" s="24"/>
    </row>
    <row r="368" spans="6:6">
      <c r="F368" s="24"/>
    </row>
    <row r="369" spans="6:6">
      <c r="F369" s="24"/>
    </row>
    <row r="370" spans="6:6">
      <c r="F370" s="24"/>
    </row>
    <row r="371" spans="6:6">
      <c r="F371" s="24"/>
    </row>
    <row r="372" spans="6:6">
      <c r="F372" s="24"/>
    </row>
    <row r="373" spans="6:6">
      <c r="F373" s="24"/>
    </row>
    <row r="374" spans="6:6">
      <c r="F374" s="24"/>
    </row>
    <row r="375" spans="6:6">
      <c r="F375" s="24"/>
    </row>
    <row r="376" spans="6:6">
      <c r="F376" s="24"/>
    </row>
    <row r="377" spans="6:6">
      <c r="F377" s="24"/>
    </row>
    <row r="378" spans="6:6">
      <c r="F378" s="24"/>
    </row>
    <row r="379" spans="6:6">
      <c r="F379" s="24"/>
    </row>
    <row r="380" spans="6:6">
      <c r="F380" s="24"/>
    </row>
    <row r="381" spans="6:6">
      <c r="F381" s="24"/>
    </row>
    <row r="382" spans="6:6">
      <c r="F382" s="24"/>
    </row>
    <row r="383" spans="6:6">
      <c r="F383" s="24"/>
    </row>
    <row r="384" spans="6:6">
      <c r="F384" s="24"/>
    </row>
    <row r="385" spans="6:6">
      <c r="F385" s="24"/>
    </row>
    <row r="386" spans="6:6">
      <c r="F386" s="24"/>
    </row>
    <row r="387" spans="6:6">
      <c r="F387" s="24"/>
    </row>
    <row r="388" spans="6:6">
      <c r="F388" s="24"/>
    </row>
    <row r="389" spans="6:6">
      <c r="F389" s="24"/>
    </row>
    <row r="390" spans="6:6">
      <c r="F390" s="24"/>
    </row>
    <row r="391" spans="6:6">
      <c r="F391" s="24"/>
    </row>
    <row r="392" spans="6:6">
      <c r="F392" s="24"/>
    </row>
    <row r="393" spans="6:6">
      <c r="F393" s="24"/>
    </row>
    <row r="394" spans="6:6">
      <c r="F394" s="24"/>
    </row>
    <row r="395" spans="6:6">
      <c r="F395" s="24"/>
    </row>
    <row r="396" spans="6:6">
      <c r="F396" s="24"/>
    </row>
    <row r="397" spans="6:6">
      <c r="F397" s="24"/>
    </row>
    <row r="398" spans="6:6">
      <c r="F398" s="24"/>
    </row>
    <row r="399" spans="6:6">
      <c r="F399" s="24"/>
    </row>
    <row r="400" spans="6:6">
      <c r="F400" s="24"/>
    </row>
    <row r="401" spans="6:6">
      <c r="F401" s="24"/>
    </row>
    <row r="402" spans="6:6">
      <c r="F402" s="24"/>
    </row>
    <row r="403" spans="6:6">
      <c r="F403" s="24"/>
    </row>
    <row r="404" spans="6:6">
      <c r="F404" s="24"/>
    </row>
    <row r="405" spans="6:6">
      <c r="F405" s="24"/>
    </row>
    <row r="406" spans="6:6">
      <c r="F406" s="24"/>
    </row>
    <row r="407" spans="6:6">
      <c r="F407" s="24"/>
    </row>
    <row r="408" spans="6:6">
      <c r="F408" s="24"/>
    </row>
    <row r="409" spans="6:6">
      <c r="F409" s="24"/>
    </row>
    <row r="410" spans="6:6">
      <c r="F410" s="24"/>
    </row>
    <row r="411" spans="6:6">
      <c r="F411" s="24"/>
    </row>
    <row r="412" spans="6:6">
      <c r="F412" s="24"/>
    </row>
    <row r="413" spans="6:6">
      <c r="F413" s="24"/>
    </row>
    <row r="414" spans="6:6">
      <c r="F414" s="24"/>
    </row>
    <row r="415" spans="6:6">
      <c r="F415" s="24"/>
    </row>
    <row r="416" spans="6:6">
      <c r="F416" s="24"/>
    </row>
    <row r="417" spans="6:6">
      <c r="F417" s="24"/>
    </row>
    <row r="418" spans="6:6">
      <c r="F418" s="24"/>
    </row>
    <row r="419" spans="6:6">
      <c r="F419" s="24"/>
    </row>
    <row r="420" spans="6:6">
      <c r="F420" s="24"/>
    </row>
    <row r="421" spans="6:6">
      <c r="F421" s="24"/>
    </row>
    <row r="422" spans="6:6">
      <c r="F422" s="24"/>
    </row>
    <row r="423" spans="6:6">
      <c r="F423" s="24"/>
    </row>
    <row r="424" spans="6:6">
      <c r="F424" s="24"/>
    </row>
    <row r="425" spans="6:6">
      <c r="F425" s="24"/>
    </row>
    <row r="426" spans="6:6">
      <c r="F426" s="24"/>
    </row>
    <row r="427" spans="6:6">
      <c r="F427" s="24"/>
    </row>
    <row r="428" spans="6:6">
      <c r="F428" s="24"/>
    </row>
    <row r="429" spans="6:6">
      <c r="F429" s="24"/>
    </row>
    <row r="430" spans="6:6">
      <c r="F430" s="24"/>
    </row>
    <row r="431" spans="6:6">
      <c r="F431" s="24"/>
    </row>
    <row r="432" spans="6:6">
      <c r="F432" s="24"/>
    </row>
    <row r="433" spans="6:6">
      <c r="F433" s="24"/>
    </row>
    <row r="434" spans="6:6">
      <c r="F434" s="24"/>
    </row>
    <row r="435" spans="6:6">
      <c r="F435" s="24"/>
    </row>
    <row r="436" spans="6:6">
      <c r="F436" s="24"/>
    </row>
    <row r="437" spans="6:6">
      <c r="F437" s="24"/>
    </row>
    <row r="438" spans="6:6">
      <c r="F438" s="24"/>
    </row>
    <row r="439" spans="6:6">
      <c r="F439" s="24"/>
    </row>
    <row r="440" spans="6:6">
      <c r="F440" s="24"/>
    </row>
    <row r="441" spans="6:6">
      <c r="F441" s="24"/>
    </row>
    <row r="442" spans="6:6">
      <c r="F442" s="24"/>
    </row>
    <row r="443" spans="6:6">
      <c r="F443" s="24"/>
    </row>
    <row r="444" spans="6:6">
      <c r="F444" s="24"/>
    </row>
    <row r="445" spans="6:6">
      <c r="F445" s="24"/>
    </row>
    <row r="446" spans="6:6">
      <c r="F446" s="24"/>
    </row>
    <row r="447" spans="6:6">
      <c r="F447" s="24"/>
    </row>
    <row r="448" spans="6:6">
      <c r="F448" s="24"/>
    </row>
    <row r="449" spans="6:6">
      <c r="F449" s="24"/>
    </row>
    <row r="450" spans="6:6">
      <c r="F450" s="24"/>
    </row>
    <row r="451" spans="6:6">
      <c r="F451" s="24"/>
    </row>
    <row r="452" spans="6:6">
      <c r="F452" s="24"/>
    </row>
    <row r="453" spans="6:6">
      <c r="F453" s="24"/>
    </row>
    <row r="454" spans="6:6">
      <c r="F454" s="24"/>
    </row>
    <row r="455" spans="6:6">
      <c r="F455" s="24"/>
    </row>
    <row r="456" spans="6:6">
      <c r="F456" s="24"/>
    </row>
    <row r="457" spans="6:6">
      <c r="F457" s="24"/>
    </row>
    <row r="458" spans="6:6">
      <c r="F458" s="24"/>
    </row>
    <row r="459" spans="6:6">
      <c r="F459" s="24"/>
    </row>
    <row r="460" spans="6:6">
      <c r="F460" s="24"/>
    </row>
    <row r="461" spans="6:6">
      <c r="F461" s="24"/>
    </row>
    <row r="462" spans="6:6">
      <c r="F462" s="24"/>
    </row>
    <row r="463" spans="6:6">
      <c r="F463" s="24"/>
    </row>
    <row r="464" spans="6:6">
      <c r="F464" s="24"/>
    </row>
    <row r="465" spans="6:6">
      <c r="F465" s="24"/>
    </row>
    <row r="466" spans="6:6">
      <c r="F466" s="24"/>
    </row>
    <row r="467" spans="6:6">
      <c r="F467" s="24"/>
    </row>
    <row r="468" spans="6:6">
      <c r="F468" s="24"/>
    </row>
    <row r="469" spans="6:6">
      <c r="F469" s="24"/>
    </row>
    <row r="470" spans="6:6">
      <c r="F470" s="24"/>
    </row>
    <row r="471" spans="6:6">
      <c r="F471" s="24"/>
    </row>
    <row r="472" spans="6:6">
      <c r="F472" s="24"/>
    </row>
    <row r="473" spans="6:6">
      <c r="F473" s="24"/>
    </row>
    <row r="474" spans="6:6">
      <c r="F474" s="24"/>
    </row>
    <row r="475" spans="6:6">
      <c r="F475" s="24"/>
    </row>
    <row r="476" spans="6:6">
      <c r="F476" s="24"/>
    </row>
    <row r="477" spans="6:6">
      <c r="F477" s="24"/>
    </row>
    <row r="478" spans="6:6">
      <c r="F478" s="24"/>
    </row>
    <row r="479" spans="6:6">
      <c r="F479" s="24"/>
    </row>
    <row r="480" spans="6:6">
      <c r="F480" s="24"/>
    </row>
    <row r="481" spans="6:6">
      <c r="F481" s="24"/>
    </row>
    <row r="482" spans="6:6">
      <c r="F482" s="24"/>
    </row>
    <row r="483" spans="6:6">
      <c r="F483" s="24"/>
    </row>
    <row r="484" spans="6:6">
      <c r="F484" s="24"/>
    </row>
    <row r="485" spans="6:6">
      <c r="F485" s="24"/>
    </row>
    <row r="486" spans="6:6">
      <c r="F486" s="24"/>
    </row>
    <row r="487" spans="6:6">
      <c r="F487" s="24"/>
    </row>
    <row r="488" spans="6:6">
      <c r="F488" s="24"/>
    </row>
    <row r="489" spans="6:6">
      <c r="F489" s="24"/>
    </row>
    <row r="490" spans="6:6">
      <c r="F490" s="24"/>
    </row>
    <row r="491" spans="6:6">
      <c r="F491" s="24"/>
    </row>
    <row r="492" spans="6:6">
      <c r="F492" s="24"/>
    </row>
    <row r="493" spans="6:6">
      <c r="F493" s="24"/>
    </row>
    <row r="494" spans="6:6">
      <c r="F494" s="24"/>
    </row>
    <row r="495" spans="6:6">
      <c r="F495" s="24"/>
    </row>
    <row r="496" spans="6:6">
      <c r="F496" s="24"/>
    </row>
    <row r="497" spans="6:6">
      <c r="F497" s="24"/>
    </row>
    <row r="498" spans="6:6">
      <c r="F498" s="24"/>
    </row>
    <row r="499" spans="6:6">
      <c r="F499" s="24"/>
    </row>
    <row r="500" spans="6:6">
      <c r="F500" s="24"/>
    </row>
    <row r="501" spans="6:6">
      <c r="F501" s="24"/>
    </row>
    <row r="502" spans="6:6">
      <c r="F502" s="24"/>
    </row>
    <row r="503" spans="6:6">
      <c r="F503" s="24"/>
    </row>
    <row r="504" spans="6:6">
      <c r="F504" s="24"/>
    </row>
    <row r="505" spans="6:6">
      <c r="F505" s="24"/>
    </row>
    <row r="506" spans="6:6">
      <c r="F506" s="24"/>
    </row>
    <row r="507" spans="6:6">
      <c r="F507" s="24"/>
    </row>
    <row r="508" spans="6:6">
      <c r="F508" s="24"/>
    </row>
    <row r="509" spans="6:6">
      <c r="F509" s="24"/>
    </row>
    <row r="510" spans="6:6">
      <c r="F510" s="24"/>
    </row>
    <row r="511" spans="6:6">
      <c r="F511" s="24"/>
    </row>
    <row r="512" spans="6:6">
      <c r="F512" s="24"/>
    </row>
    <row r="513" spans="6:6">
      <c r="F513" s="24"/>
    </row>
    <row r="514" spans="6:6">
      <c r="F514" s="24"/>
    </row>
    <row r="515" spans="6:6">
      <c r="F515" s="24"/>
    </row>
    <row r="516" spans="6:6">
      <c r="F516" s="24"/>
    </row>
    <row r="517" spans="6:6">
      <c r="F517" s="24"/>
    </row>
    <row r="518" spans="6:6">
      <c r="F518" s="24"/>
    </row>
    <row r="519" spans="6:6">
      <c r="F519" s="24"/>
    </row>
    <row r="520" spans="6:6">
      <c r="F520" s="24"/>
    </row>
    <row r="521" spans="6:6">
      <c r="F521" s="24"/>
    </row>
    <row r="522" spans="6:6">
      <c r="F522" s="24"/>
    </row>
    <row r="523" spans="6:6">
      <c r="F523" s="24"/>
    </row>
    <row r="524" spans="6:6">
      <c r="F524" s="24"/>
    </row>
    <row r="525" spans="6:6">
      <c r="F525" s="24"/>
    </row>
    <row r="526" spans="6:6">
      <c r="F526" s="24"/>
    </row>
    <row r="527" spans="6:6">
      <c r="F527" s="24"/>
    </row>
    <row r="528" spans="6:6">
      <c r="F528" s="24"/>
    </row>
    <row r="529" spans="6:6">
      <c r="F529" s="24"/>
    </row>
    <row r="530" spans="6:6">
      <c r="F530" s="24"/>
    </row>
    <row r="531" spans="6:6">
      <c r="F531" s="24"/>
    </row>
    <row r="532" spans="6:6">
      <c r="F532" s="24"/>
    </row>
    <row r="533" spans="6:6">
      <c r="F533" s="24"/>
    </row>
    <row r="534" spans="6:6">
      <c r="F534" s="24"/>
    </row>
    <row r="535" spans="6:6">
      <c r="F535" s="24"/>
    </row>
    <row r="536" spans="6:6">
      <c r="F536" s="24"/>
    </row>
    <row r="537" spans="6:6">
      <c r="F537" s="24"/>
    </row>
    <row r="538" spans="6:6">
      <c r="F538" s="24"/>
    </row>
    <row r="539" spans="6:6">
      <c r="F539" s="24"/>
    </row>
    <row r="540" spans="6:6">
      <c r="F540" s="24"/>
    </row>
    <row r="541" spans="6:6">
      <c r="F541" s="24"/>
    </row>
    <row r="542" spans="6:6">
      <c r="F542" s="24"/>
    </row>
    <row r="543" spans="6:6">
      <c r="F543" s="24"/>
    </row>
    <row r="544" spans="6:6">
      <c r="F544" s="24"/>
    </row>
    <row r="545" spans="6:6">
      <c r="F545" s="24"/>
    </row>
    <row r="546" spans="6:6">
      <c r="F546" s="24"/>
    </row>
    <row r="547" spans="6:6">
      <c r="F547" s="24"/>
    </row>
    <row r="548" spans="6:6">
      <c r="F548" s="24"/>
    </row>
    <row r="549" spans="6:6">
      <c r="F549" s="24"/>
    </row>
    <row r="550" spans="6:6">
      <c r="F550" s="24"/>
    </row>
    <row r="551" spans="6:6">
      <c r="F551" s="24"/>
    </row>
    <row r="552" spans="6:6">
      <c r="F552" s="24"/>
    </row>
    <row r="553" spans="6:6">
      <c r="F553" s="24"/>
    </row>
    <row r="554" spans="6:6">
      <c r="F554" s="24"/>
    </row>
    <row r="555" spans="6:6">
      <c r="F555" s="24"/>
    </row>
    <row r="556" spans="6:6">
      <c r="F556" s="24"/>
    </row>
    <row r="557" spans="6:6">
      <c r="F557" s="24"/>
    </row>
    <row r="558" spans="6:6">
      <c r="F558" s="24"/>
    </row>
    <row r="559" spans="6:6">
      <c r="F559" s="24"/>
    </row>
    <row r="560" spans="6:6">
      <c r="F560" s="24"/>
    </row>
    <row r="561" spans="6:6">
      <c r="F561" s="24"/>
    </row>
    <row r="562" spans="6:6">
      <c r="F562" s="24"/>
    </row>
    <row r="563" spans="6:6">
      <c r="F563" s="24"/>
    </row>
    <row r="564" spans="6:6">
      <c r="F564" s="24"/>
    </row>
    <row r="565" spans="6:6">
      <c r="F565" s="24"/>
    </row>
    <row r="566" spans="6:6">
      <c r="F566" s="24"/>
    </row>
    <row r="567" spans="6:6">
      <c r="F567" s="24"/>
    </row>
    <row r="568" spans="6:6">
      <c r="F568" s="24"/>
    </row>
    <row r="569" spans="6:6">
      <c r="F569" s="24"/>
    </row>
    <row r="570" spans="6:6">
      <c r="F570" s="24"/>
    </row>
    <row r="571" spans="6:6">
      <c r="F571" s="24"/>
    </row>
    <row r="572" spans="6:6">
      <c r="F572" s="24"/>
    </row>
    <row r="573" spans="6:6">
      <c r="F573" s="24"/>
    </row>
    <row r="574" spans="6:6">
      <c r="F574" s="24"/>
    </row>
    <row r="575" spans="6:6">
      <c r="F575" s="24"/>
    </row>
    <row r="576" spans="6:6">
      <c r="F576" s="24"/>
    </row>
    <row r="577" spans="6:6">
      <c r="F577" s="24"/>
    </row>
    <row r="578" spans="6:6">
      <c r="F578" s="24"/>
    </row>
    <row r="579" spans="6:6">
      <c r="F579" s="24"/>
    </row>
    <row r="580" spans="6:6">
      <c r="F580" s="24"/>
    </row>
    <row r="581" spans="6:6">
      <c r="F581" s="24"/>
    </row>
    <row r="582" spans="6:6">
      <c r="F582" s="24"/>
    </row>
    <row r="583" spans="6:6">
      <c r="F583" s="24"/>
    </row>
    <row r="584" spans="6:6">
      <c r="F584" s="24"/>
    </row>
    <row r="585" spans="6:6">
      <c r="F585" s="24"/>
    </row>
    <row r="586" spans="6:6">
      <c r="F586" s="24"/>
    </row>
    <row r="587" spans="6:6">
      <c r="F587" s="24"/>
    </row>
    <row r="588" spans="6:6">
      <c r="F588" s="24"/>
    </row>
    <row r="589" spans="6:6">
      <c r="F589" s="24"/>
    </row>
    <row r="590" spans="6:6">
      <c r="F590" s="24"/>
    </row>
    <row r="591" spans="6:6">
      <c r="F591" s="24"/>
    </row>
    <row r="592" spans="6:6">
      <c r="F592" s="24"/>
    </row>
    <row r="593" spans="6:6">
      <c r="F593" s="24"/>
    </row>
    <row r="594" spans="6:6">
      <c r="F594" s="24"/>
    </row>
    <row r="595" spans="6:6">
      <c r="F595" s="24"/>
    </row>
    <row r="596" spans="6:6">
      <c r="F596" s="24"/>
    </row>
    <row r="597" spans="6:6">
      <c r="F597" s="24"/>
    </row>
    <row r="598" spans="6:6">
      <c r="F598" s="24"/>
    </row>
    <row r="599" spans="6:6">
      <c r="F599" s="24"/>
    </row>
    <row r="600" spans="6:6">
      <c r="F600" s="24"/>
    </row>
    <row r="601" spans="6:6">
      <c r="F601" s="24"/>
    </row>
    <row r="602" spans="6:6">
      <c r="F602" s="24"/>
    </row>
    <row r="603" spans="6:6">
      <c r="F603" s="24"/>
    </row>
    <row r="604" spans="6:6">
      <c r="F604" s="24"/>
    </row>
    <row r="605" spans="6:6">
      <c r="F605" s="24"/>
    </row>
    <row r="606" spans="6:6">
      <c r="F606" s="24"/>
    </row>
    <row r="607" spans="6:6">
      <c r="F607" s="24"/>
    </row>
    <row r="608" spans="6:6">
      <c r="F608" s="24"/>
    </row>
    <row r="609" spans="6:6">
      <c r="F609" s="24"/>
    </row>
    <row r="610" spans="6:6">
      <c r="F610" s="24"/>
    </row>
    <row r="611" spans="6:6">
      <c r="F611" s="24"/>
    </row>
    <row r="612" spans="6:6">
      <c r="F612" s="24"/>
    </row>
    <row r="613" spans="6:6">
      <c r="F613" s="24"/>
    </row>
    <row r="614" spans="6:6">
      <c r="F614" s="24"/>
    </row>
    <row r="615" spans="6:6">
      <c r="F615" s="24"/>
    </row>
    <row r="616" spans="6:6">
      <c r="F616" s="24"/>
    </row>
    <row r="617" spans="6:6">
      <c r="F617" s="24"/>
    </row>
    <row r="618" spans="6:6">
      <c r="F618" s="24"/>
    </row>
    <row r="619" spans="6:6">
      <c r="F619" s="24"/>
    </row>
    <row r="620" spans="6:6">
      <c r="F620" s="24"/>
    </row>
    <row r="621" spans="6:6">
      <c r="F621" s="24"/>
    </row>
    <row r="622" spans="6:6">
      <c r="F622" s="24"/>
    </row>
    <row r="623" spans="6:6">
      <c r="F623" s="24"/>
    </row>
    <row r="624" spans="6:6">
      <c r="F624" s="24"/>
    </row>
    <row r="625" spans="6:6">
      <c r="F625" s="24"/>
    </row>
    <row r="626" spans="6:6">
      <c r="F626" s="24"/>
    </row>
    <row r="627" spans="6:6">
      <c r="F627" s="24"/>
    </row>
    <row r="628" spans="6:6">
      <c r="F628" s="24"/>
    </row>
    <row r="629" spans="6:6">
      <c r="F629" s="24"/>
    </row>
    <row r="630" spans="6:6">
      <c r="F630" s="24"/>
    </row>
    <row r="631" spans="6:6">
      <c r="F631" s="24"/>
    </row>
    <row r="632" spans="6:6">
      <c r="F632" s="24"/>
    </row>
    <row r="633" spans="6:6">
      <c r="F633" s="24"/>
    </row>
    <row r="634" spans="6:6">
      <c r="F634" s="24"/>
    </row>
    <row r="635" spans="6:6">
      <c r="F635" s="24"/>
    </row>
    <row r="636" spans="6:6">
      <c r="F636" s="24"/>
    </row>
    <row r="637" spans="6:6">
      <c r="F637" s="24"/>
    </row>
    <row r="638" spans="6:6">
      <c r="F638" s="24"/>
    </row>
    <row r="639" spans="6:6">
      <c r="F639" s="24"/>
    </row>
    <row r="640" spans="6:6">
      <c r="F640" s="24"/>
    </row>
    <row r="641" spans="6:6">
      <c r="F641" s="24"/>
    </row>
    <row r="642" spans="6:6">
      <c r="F642" s="24"/>
    </row>
    <row r="643" spans="6:6">
      <c r="F643" s="24"/>
    </row>
    <row r="644" spans="6:6">
      <c r="F644" s="24"/>
    </row>
    <row r="645" spans="6:6">
      <c r="F645" s="24"/>
    </row>
    <row r="646" spans="6:6">
      <c r="F646" s="24"/>
    </row>
    <row r="647" spans="6:6">
      <c r="F647" s="24"/>
    </row>
    <row r="648" spans="6:6">
      <c r="F648" s="24"/>
    </row>
    <row r="649" spans="6:6">
      <c r="F649" s="24"/>
    </row>
    <row r="650" spans="6:6">
      <c r="F650" s="24"/>
    </row>
    <row r="651" spans="6:6">
      <c r="F651" s="24"/>
    </row>
    <row r="652" spans="6:6">
      <c r="F652" s="24"/>
    </row>
    <row r="653" spans="6:6">
      <c r="F653" s="24"/>
    </row>
    <row r="654" spans="6:6">
      <c r="F654" s="24"/>
    </row>
    <row r="655" spans="6:6">
      <c r="F655" s="24"/>
    </row>
    <row r="656" spans="6:6">
      <c r="F656" s="24"/>
    </row>
    <row r="657" spans="6:6">
      <c r="F657" s="24"/>
    </row>
    <row r="658" spans="6:6">
      <c r="F658" s="24"/>
    </row>
    <row r="659" spans="6:6">
      <c r="F659" s="24"/>
    </row>
    <row r="660" spans="6:6">
      <c r="F660" s="24"/>
    </row>
    <row r="661" spans="6:6">
      <c r="F661" s="24"/>
    </row>
    <row r="662" spans="6:6">
      <c r="F662" s="24"/>
    </row>
    <row r="663" spans="6:6">
      <c r="F663" s="24"/>
    </row>
    <row r="664" spans="6:6">
      <c r="F664" s="24"/>
    </row>
    <row r="665" spans="6:6">
      <c r="F665" s="24"/>
    </row>
    <row r="666" spans="6:6">
      <c r="F666" s="24"/>
    </row>
    <row r="667" spans="6:6">
      <c r="F667" s="24"/>
    </row>
    <row r="668" spans="6:6">
      <c r="F668" s="24"/>
    </row>
    <row r="669" spans="6:6">
      <c r="F669" s="24"/>
    </row>
    <row r="670" spans="6:6">
      <c r="F670" s="24"/>
    </row>
    <row r="671" spans="6:6">
      <c r="F671" s="24"/>
    </row>
    <row r="672" spans="6:6">
      <c r="F672" s="24"/>
    </row>
    <row r="673" spans="6:6">
      <c r="F673" s="24"/>
    </row>
    <row r="674" spans="6:6">
      <c r="F674" s="24"/>
    </row>
    <row r="675" spans="6:6">
      <c r="F675" s="24"/>
    </row>
    <row r="676" spans="6:6">
      <c r="F676" s="24"/>
    </row>
    <row r="677" spans="6:6">
      <c r="F677" s="24"/>
    </row>
    <row r="678" spans="6:6">
      <c r="F678" s="24"/>
    </row>
    <row r="679" spans="6:6">
      <c r="F679" s="24"/>
    </row>
    <row r="680" spans="6:6">
      <c r="F680" s="24"/>
    </row>
    <row r="681" spans="6:6">
      <c r="F681" s="24"/>
    </row>
    <row r="682" spans="6:6">
      <c r="F682" s="24"/>
    </row>
    <row r="683" spans="6:6">
      <c r="F683" s="24"/>
    </row>
    <row r="684" spans="6:6">
      <c r="F684" s="24"/>
    </row>
    <row r="685" spans="6:6">
      <c r="F685" s="24"/>
    </row>
    <row r="686" spans="6:6">
      <c r="F686" s="24"/>
    </row>
    <row r="687" spans="6:6">
      <c r="F687" s="24"/>
    </row>
    <row r="688" spans="6:6">
      <c r="F688" s="24"/>
    </row>
    <row r="689" spans="6:6">
      <c r="F689" s="24"/>
    </row>
    <row r="690" spans="6:6">
      <c r="F690" s="24"/>
    </row>
    <row r="691" spans="6:6">
      <c r="F691" s="24"/>
    </row>
  </sheetData>
  <sheetProtection sheet="1" selectLockedCells="1"/>
  <phoneticPr fontId="2" type="noConversion"/>
  <pageMargins left="0.25" right="0.25" top="0.75" bottom="0.75" header="0.3" footer="0.3"/>
  <pageSetup paperSize="9" scale="4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Q145"/>
  <sheetViews>
    <sheetView zoomScale="86" zoomScaleNormal="86" workbookViewId="0">
      <selection activeCell="B8" sqref="B8"/>
    </sheetView>
  </sheetViews>
  <sheetFormatPr defaultRowHeight="15"/>
  <cols>
    <col min="1" max="1" width="31.85546875" customWidth="1"/>
    <col min="2" max="2" width="43.140625" style="90" customWidth="1"/>
    <col min="3" max="3" width="14.5703125" customWidth="1"/>
    <col min="9" max="9" width="10.140625" bestFit="1" customWidth="1"/>
    <col min="12" max="12" width="9.85546875" customWidth="1"/>
    <col min="14" max="14" width="27.5703125" style="97" customWidth="1"/>
    <col min="15" max="15" width="9.140625" style="97" customWidth="1"/>
    <col min="16" max="16" width="12.140625" style="97" customWidth="1"/>
    <col min="17" max="27" width="9.140625" style="97" customWidth="1"/>
    <col min="28" max="28" width="28.28515625" style="97" customWidth="1"/>
    <col min="29" max="29" width="9.140625" style="97" customWidth="1"/>
    <col min="30" max="30" width="23.85546875" style="97" customWidth="1"/>
    <col min="31" max="31" width="11.85546875" style="97" customWidth="1"/>
    <col min="32" max="46" width="9.140625" style="97" customWidth="1"/>
    <col min="47" max="47" width="14.5703125" style="97" customWidth="1"/>
    <col min="48" max="58" width="9.140625" style="97" customWidth="1"/>
    <col min="60" max="60" width="20" customWidth="1"/>
  </cols>
  <sheetData>
    <row r="1" spans="1:69" ht="16.5" thickBot="1">
      <c r="A1" s="89" t="s">
        <v>1126</v>
      </c>
      <c r="N1" s="147" t="s">
        <v>392</v>
      </c>
      <c r="AB1" s="143" t="s">
        <v>107</v>
      </c>
      <c r="AS1" s="147" t="s">
        <v>854</v>
      </c>
      <c r="BF1" s="147" t="s">
        <v>723</v>
      </c>
      <c r="BG1" s="97"/>
      <c r="BH1" s="97"/>
      <c r="BI1" s="97"/>
      <c r="BJ1" s="97"/>
      <c r="BK1" s="97"/>
      <c r="BL1" s="97"/>
      <c r="BM1" s="97"/>
      <c r="BN1" s="97"/>
      <c r="BO1" s="97"/>
      <c r="BP1" s="97"/>
      <c r="BQ1" s="97"/>
    </row>
    <row r="2" spans="1:69" ht="15.75" thickBot="1">
      <c r="B2" s="412" t="s">
        <v>802</v>
      </c>
      <c r="N2" s="97" t="s">
        <v>308</v>
      </c>
      <c r="P2" s="803" t="str">
        <f ca="1">OFFSET($Q$19,$O$3-1,-1)</f>
        <v>IBA FC65-G</v>
      </c>
      <c r="Q2" s="804" t="str">
        <f ca="1">OFFSET($Q$19,$O$3-1,0)</f>
        <v>Chamber description – IBA FC65-G</v>
      </c>
      <c r="R2" s="804"/>
      <c r="S2" s="804"/>
      <c r="T2" s="804"/>
      <c r="U2" s="804"/>
      <c r="V2" s="804"/>
      <c r="W2" s="804"/>
      <c r="X2" s="804"/>
      <c r="Y2" s="805"/>
      <c r="AB2" s="97" t="s">
        <v>308</v>
      </c>
      <c r="AD2" s="791" t="e">
        <f ca="1">OFFSET($AF$18,$AC$3-1,0)</f>
        <v>#N/A</v>
      </c>
      <c r="AE2" s="792"/>
      <c r="AF2" s="792"/>
      <c r="AG2" s="792"/>
      <c r="AH2" s="792"/>
      <c r="AI2" s="792"/>
      <c r="AJ2" s="792"/>
      <c r="AK2" s="792"/>
      <c r="AL2" s="792"/>
      <c r="AM2" s="792"/>
      <c r="AN2" s="793"/>
      <c r="AS2" s="799" t="s">
        <v>308</v>
      </c>
      <c r="AT2" s="799"/>
      <c r="AU2" s="803" t="e">
        <f ca="1">OFFSET($Q$19,$AT$3-1,-1)</f>
        <v>#N/A</v>
      </c>
      <c r="AV2" s="804" t="e">
        <f ca="1">OFFSET($Q$19,$AT$3-1,0)</f>
        <v>#N/A</v>
      </c>
      <c r="AW2" s="804"/>
      <c r="AX2" s="804"/>
      <c r="AY2" s="804"/>
      <c r="AZ2" s="804"/>
      <c r="BA2" s="804"/>
      <c r="BB2" s="804"/>
      <c r="BC2" s="804"/>
      <c r="BD2" s="805"/>
      <c r="BF2" s="97" t="s">
        <v>308</v>
      </c>
      <c r="BG2" s="97"/>
      <c r="BH2" s="803" t="e">
        <f ca="1">OFFSET($Q$19,$BG$3-1,-1)</f>
        <v>#N/A</v>
      </c>
      <c r="BI2" s="804" t="e">
        <f ca="1">OFFSET($Q$19,$BG$3-1,0)</f>
        <v>#N/A</v>
      </c>
      <c r="BJ2" s="804"/>
      <c r="BK2" s="804"/>
      <c r="BL2" s="804"/>
      <c r="BM2" s="804"/>
      <c r="BN2" s="804"/>
      <c r="BO2" s="804"/>
      <c r="BP2" s="804"/>
      <c r="BQ2" s="805"/>
    </row>
    <row r="3" spans="1:69" ht="15" customHeight="1">
      <c r="A3" s="129" t="s">
        <v>309</v>
      </c>
      <c r="B3" s="411"/>
      <c r="C3" s="131"/>
      <c r="D3" s="131"/>
      <c r="E3" s="131"/>
      <c r="F3" s="131"/>
      <c r="G3" s="131"/>
      <c r="H3" s="131"/>
      <c r="I3" s="131"/>
      <c r="J3" s="131"/>
      <c r="K3" s="131"/>
      <c r="L3" s="132"/>
      <c r="N3" s="97" t="s">
        <v>310</v>
      </c>
      <c r="O3" s="134">
        <f>MATCH(B29,$P$19:$P$213,0)</f>
        <v>15</v>
      </c>
      <c r="P3" s="806"/>
      <c r="Q3" s="795" t="str">
        <f ca="1">OFFSET($Q$19,$O$3,0)</f>
        <v>Farmer-type with graphite walls of nominal thickness 0.073 g/cm</v>
      </c>
      <c r="R3" s="795"/>
      <c r="S3" s="795"/>
      <c r="T3" s="795"/>
      <c r="U3" s="795"/>
      <c r="V3" s="795"/>
      <c r="W3" s="795"/>
      <c r="X3" s="795"/>
      <c r="Y3" s="807"/>
      <c r="Z3" s="912" t="s">
        <v>1317</v>
      </c>
      <c r="AB3" s="97" t="s">
        <v>310</v>
      </c>
      <c r="AC3" s="134" t="e">
        <f>MATCH(B16,$AD$18:$AD$158,0)</f>
        <v>#N/A</v>
      </c>
      <c r="AD3" s="794"/>
      <c r="AE3" s="795"/>
      <c r="AF3" s="1031" t="e">
        <f ca="1">OFFSET($AF$18,$AC$3,0)</f>
        <v>#N/A</v>
      </c>
      <c r="AG3" s="1032"/>
      <c r="AH3" s="1032"/>
      <c r="AI3" s="1032"/>
      <c r="AJ3" s="1032"/>
      <c r="AK3" s="1032"/>
      <c r="AL3" s="1032"/>
      <c r="AM3" s="1032"/>
      <c r="AN3" s="1033"/>
      <c r="AS3" s="799" t="s">
        <v>310</v>
      </c>
      <c r="AT3" s="813" t="e">
        <f>MATCH(B57,$P$19:$P$213,0)</f>
        <v>#N/A</v>
      </c>
      <c r="AU3" s="806"/>
      <c r="AV3" s="795" t="e">
        <f ca="1">OFFSET($Q$19,$AT$3,0)</f>
        <v>#N/A</v>
      </c>
      <c r="AW3" s="795"/>
      <c r="AX3" s="795"/>
      <c r="AY3" s="795"/>
      <c r="AZ3" s="795"/>
      <c r="BA3" s="795"/>
      <c r="BB3" s="795"/>
      <c r="BC3" s="795"/>
      <c r="BD3" s="807"/>
      <c r="BF3" s="97" t="s">
        <v>310</v>
      </c>
      <c r="BG3" s="134" t="e">
        <f>MATCH(B80,$P$19:$P$213,0)</f>
        <v>#N/A</v>
      </c>
      <c r="BH3" s="806"/>
      <c r="BI3" s="795" t="e">
        <f ca="1">OFFSET($Q$19,$BG$3,0)</f>
        <v>#N/A</v>
      </c>
      <c r="BJ3" s="795"/>
      <c r="BK3" s="795"/>
      <c r="BL3" s="795"/>
      <c r="BM3" s="795"/>
      <c r="BN3" s="795"/>
      <c r="BO3" s="795"/>
      <c r="BP3" s="795"/>
      <c r="BQ3" s="807"/>
    </row>
    <row r="4" spans="1:69">
      <c r="A4" s="40" t="s">
        <v>837</v>
      </c>
      <c r="B4" s="707" t="s">
        <v>132</v>
      </c>
      <c r="C4" s="39"/>
      <c r="D4" s="42" t="s">
        <v>1093</v>
      </c>
      <c r="E4" s="39"/>
      <c r="F4" s="39"/>
      <c r="G4" s="39"/>
      <c r="H4" s="39"/>
      <c r="I4" s="39"/>
      <c r="J4" s="39"/>
      <c r="K4" s="39"/>
      <c r="L4" s="47"/>
      <c r="N4" s="143" t="s">
        <v>396</v>
      </c>
      <c r="P4" s="806"/>
      <c r="Q4" s="795" t="str">
        <f ca="1">OFFSET($Q$19,$O$3+1,0)</f>
        <v>The nominal cavity volume is 0.65 cc (length 23.1 mm and radius 3.1 mm).</v>
      </c>
      <c r="R4" s="795"/>
      <c r="S4" s="795"/>
      <c r="T4" s="795"/>
      <c r="U4" s="795"/>
      <c r="V4" s="795"/>
      <c r="W4" s="795"/>
      <c r="X4" s="795"/>
      <c r="Y4" s="807"/>
      <c r="AB4" s="143" t="s">
        <v>396</v>
      </c>
      <c r="AD4" s="794"/>
      <c r="AE4" s="795"/>
      <c r="AF4" s="1034"/>
      <c r="AG4" s="1035"/>
      <c r="AH4" s="1035"/>
      <c r="AI4" s="1035"/>
      <c r="AJ4" s="1035"/>
      <c r="AK4" s="1035"/>
      <c r="AL4" s="1035"/>
      <c r="AM4" s="1035"/>
      <c r="AN4" s="1036"/>
      <c r="AS4" s="798" t="s">
        <v>396</v>
      </c>
      <c r="AT4" s="799"/>
      <c r="AU4" s="806"/>
      <c r="AV4" s="795" t="e">
        <f ca="1">OFFSET($Q$19,$AT$3+1,0)</f>
        <v>#N/A</v>
      </c>
      <c r="AW4" s="795"/>
      <c r="AX4" s="795"/>
      <c r="AY4" s="795"/>
      <c r="AZ4" s="795"/>
      <c r="BA4" s="795"/>
      <c r="BB4" s="795"/>
      <c r="BC4" s="795"/>
      <c r="BD4" s="807"/>
      <c r="BF4" s="143" t="s">
        <v>396</v>
      </c>
      <c r="BG4" s="97"/>
      <c r="BH4" s="806"/>
      <c r="BI4" s="819" t="e">
        <f ca="1">OFFSET($Q$19,$BG$3+1,0)</f>
        <v>#N/A</v>
      </c>
      <c r="BJ4" s="795"/>
      <c r="BK4" s="795"/>
      <c r="BL4" s="795"/>
      <c r="BM4" s="795"/>
      <c r="BN4" s="795"/>
      <c r="BO4" s="795"/>
      <c r="BP4" s="795"/>
      <c r="BQ4" s="807"/>
    </row>
    <row r="5" spans="1:69">
      <c r="A5" s="41" t="s">
        <v>311</v>
      </c>
      <c r="B5" s="707" t="s">
        <v>1523</v>
      </c>
      <c r="C5" s="39"/>
      <c r="D5" s="39" t="s">
        <v>312</v>
      </c>
      <c r="E5" s="39"/>
      <c r="F5" s="39"/>
      <c r="G5" s="39"/>
      <c r="H5" s="39"/>
      <c r="I5" s="39"/>
      <c r="J5" s="39"/>
      <c r="K5" s="39"/>
      <c r="L5" s="47"/>
      <c r="N5" s="218" t="s">
        <v>316</v>
      </c>
      <c r="P5" s="806"/>
      <c r="Q5" s="795" t="str">
        <f ca="1">OFFSET($Q$19,$O$3+2,0)</f>
        <v>The central electrode is aluminium.</v>
      </c>
      <c r="R5" s="795"/>
      <c r="S5" s="795"/>
      <c r="T5" s="795"/>
      <c r="U5" s="795"/>
      <c r="V5" s="795"/>
      <c r="W5" s="795"/>
      <c r="X5" s="795"/>
      <c r="Y5" s="807"/>
      <c r="AB5" s="219" t="str">
        <f>AD18</f>
        <v>PTW UNIDOS T10002</v>
      </c>
      <c r="AD5" s="794"/>
      <c r="AE5" s="795"/>
      <c r="AF5" s="1034"/>
      <c r="AG5" s="1035"/>
      <c r="AH5" s="1035"/>
      <c r="AI5" s="1035"/>
      <c r="AJ5" s="1035"/>
      <c r="AK5" s="1035"/>
      <c r="AL5" s="1035"/>
      <c r="AM5" s="1035"/>
      <c r="AN5" s="1036"/>
      <c r="AS5" s="799"/>
      <c r="AT5" s="799"/>
      <c r="AU5" s="806"/>
      <c r="AV5" s="795" t="e">
        <f ca="1">OFFSET($Q$19,$AT$3+2,0)</f>
        <v>#N/A</v>
      </c>
      <c r="AW5" s="795"/>
      <c r="AX5" s="795"/>
      <c r="AY5" s="795"/>
      <c r="AZ5" s="795"/>
      <c r="BA5" s="795"/>
      <c r="BB5" s="795"/>
      <c r="BC5" s="795"/>
      <c r="BD5" s="807"/>
      <c r="BG5" s="97"/>
      <c r="BH5" s="806"/>
      <c r="BI5" s="819" t="e">
        <f ca="1">OFFSET($Q$19,$BG$3+2,0)</f>
        <v>#N/A</v>
      </c>
      <c r="BJ5" s="795"/>
      <c r="BK5" s="795"/>
      <c r="BL5" s="795"/>
      <c r="BM5" s="795"/>
      <c r="BN5" s="795"/>
      <c r="BO5" s="795"/>
      <c r="BP5" s="795"/>
      <c r="BQ5" s="807"/>
    </row>
    <row r="6" spans="1:69">
      <c r="A6" s="41" t="s">
        <v>2</v>
      </c>
      <c r="B6" s="707" t="s">
        <v>1521</v>
      </c>
      <c r="C6" s="39"/>
      <c r="D6" s="39" t="s">
        <v>315</v>
      </c>
      <c r="E6" s="39"/>
      <c r="F6" s="39"/>
      <c r="G6" s="39"/>
      <c r="H6" s="39"/>
      <c r="I6" s="39"/>
      <c r="J6" s="39"/>
      <c r="K6" s="39"/>
      <c r="L6" s="47"/>
      <c r="N6" s="218">
        <v>2571</v>
      </c>
      <c r="P6" s="806"/>
      <c r="Q6" s="795" t="str">
        <f ca="1">OFFSET($Q$19,$O$3+3,0)</f>
        <v>The buildup cap is Delrin.</v>
      </c>
      <c r="R6" s="795"/>
      <c r="S6" s="795"/>
      <c r="T6" s="795" t="str">
        <f ca="1">OFFSET($Q$19,$O$3+3,3)</f>
        <v>Delrin</v>
      </c>
      <c r="U6" s="795"/>
      <c r="V6" s="795"/>
      <c r="W6" s="795"/>
      <c r="X6" s="795"/>
      <c r="Y6" s="807"/>
      <c r="AB6" s="219" t="str">
        <f>AD24</f>
        <v>PTW UNIDOS Webline T10022</v>
      </c>
      <c r="AD6" s="794"/>
      <c r="AE6" s="795"/>
      <c r="AF6" s="1034"/>
      <c r="AG6" s="1035"/>
      <c r="AH6" s="1035"/>
      <c r="AI6" s="1035"/>
      <c r="AJ6" s="1035"/>
      <c r="AK6" s="1035"/>
      <c r="AL6" s="1035"/>
      <c r="AM6" s="1035"/>
      <c r="AN6" s="1036"/>
      <c r="AS6" s="799"/>
      <c r="AT6" s="799"/>
      <c r="AU6" s="806"/>
      <c r="AV6" s="795" t="e">
        <f ca="1">OFFSET($Q$19,$AT$3+3,0)</f>
        <v>#N/A</v>
      </c>
      <c r="AW6" s="795"/>
      <c r="AX6" s="795"/>
      <c r="AY6" s="795"/>
      <c r="AZ6" s="795"/>
      <c r="BA6" s="795"/>
      <c r="BB6" s="795"/>
      <c r="BC6" s="795"/>
      <c r="BD6" s="807"/>
      <c r="BG6" s="97"/>
      <c r="BH6" s="806"/>
      <c r="BI6" s="819" t="e">
        <f ca="1">OFFSET($Q$19,$BG$3+3,0)</f>
        <v>#N/A</v>
      </c>
      <c r="BJ6" s="795"/>
      <c r="BK6" s="795"/>
      <c r="BL6" s="795"/>
      <c r="BM6" s="795"/>
      <c r="BN6" s="795"/>
      <c r="BO6" s="795"/>
      <c r="BP6" s="795"/>
      <c r="BQ6" s="807"/>
    </row>
    <row r="7" spans="1:69">
      <c r="A7" s="41"/>
      <c r="B7" s="707" t="s">
        <v>1525</v>
      </c>
      <c r="C7" s="39"/>
      <c r="D7" s="39" t="s">
        <v>317</v>
      </c>
      <c r="E7" s="39"/>
      <c r="F7" s="42" t="s">
        <v>828</v>
      </c>
      <c r="G7" s="39"/>
      <c r="H7" s="39"/>
      <c r="I7" s="39"/>
      <c r="J7" s="39"/>
      <c r="K7" s="39"/>
      <c r="L7" s="47"/>
      <c r="N7" s="218" t="s">
        <v>319</v>
      </c>
      <c r="P7" s="808"/>
      <c r="Q7" s="797" t="str">
        <f ca="1">OFFSET($Q$19,$O$3+4,0)</f>
        <v>The chamber is waterproof.</v>
      </c>
      <c r="R7" s="797"/>
      <c r="S7" s="797"/>
      <c r="T7" s="797"/>
      <c r="U7" s="797"/>
      <c r="V7" s="797"/>
      <c r="W7" s="797"/>
      <c r="X7" s="797"/>
      <c r="Y7" s="809"/>
      <c r="AB7" s="219" t="str">
        <f>AD30</f>
        <v>PTW UNIDOS Webline T10023</v>
      </c>
      <c r="AD7" s="796"/>
      <c r="AE7" s="797"/>
      <c r="AF7" s="1037" t="e">
        <f ca="1">OFFSET($AF$18,$AC$3+4,0)</f>
        <v>#N/A</v>
      </c>
      <c r="AG7" s="1038"/>
      <c r="AH7" s="1038"/>
      <c r="AI7" s="1038"/>
      <c r="AJ7" s="1038"/>
      <c r="AK7" s="1038"/>
      <c r="AL7" s="1038"/>
      <c r="AM7" s="1038"/>
      <c r="AN7" s="1039"/>
      <c r="AS7" s="799"/>
      <c r="AT7" s="799"/>
      <c r="AU7" s="808"/>
      <c r="AV7" s="797" t="e">
        <f ca="1">OFFSET($Q$19,$AT$3+4,0)</f>
        <v>#N/A</v>
      </c>
      <c r="AW7" s="797"/>
      <c r="AX7" s="797"/>
      <c r="AY7" s="797"/>
      <c r="AZ7" s="797"/>
      <c r="BA7" s="797"/>
      <c r="BB7" s="797"/>
      <c r="BC7" s="797"/>
      <c r="BD7" s="809"/>
      <c r="BG7" s="97"/>
      <c r="BH7" s="808"/>
      <c r="BI7" s="797" t="e">
        <f ca="1">OFFSET($Q$19,$BG$3+4,0)</f>
        <v>#N/A</v>
      </c>
      <c r="BJ7" s="797"/>
      <c r="BK7" s="797"/>
      <c r="BL7" s="797"/>
      <c r="BM7" s="797"/>
      <c r="BN7" s="797"/>
      <c r="BO7" s="797"/>
      <c r="BP7" s="797"/>
      <c r="BQ7" s="809"/>
    </row>
    <row r="8" spans="1:69">
      <c r="A8" s="41"/>
      <c r="B8" s="707" t="s">
        <v>1526</v>
      </c>
      <c r="C8" s="39"/>
      <c r="D8" s="39" t="s">
        <v>318</v>
      </c>
      <c r="E8" s="39"/>
      <c r="F8" s="39"/>
      <c r="G8" s="39"/>
      <c r="H8" s="39"/>
      <c r="I8" s="39"/>
      <c r="J8" s="39"/>
      <c r="K8" s="39"/>
      <c r="L8" s="47"/>
      <c r="N8" s="219" t="s">
        <v>321</v>
      </c>
      <c r="P8" s="810" t="s">
        <v>507</v>
      </c>
      <c r="Q8" s="797" t="str">
        <f ca="1">OFFSET($Q$19,$O$3+5,0)</f>
        <v>The geometrical centre of the cavity</v>
      </c>
      <c r="R8" s="797"/>
      <c r="S8" s="797"/>
      <c r="T8" s="797"/>
      <c r="U8" s="797"/>
      <c r="V8" s="797"/>
      <c r="W8" s="797"/>
      <c r="X8" s="811" t="s">
        <v>755</v>
      </c>
      <c r="Y8" s="812" t="str">
        <f ca="1">OFFSET($Q$19,$O$3-1,8)</f>
        <v>FC65-G</v>
      </c>
      <c r="AB8" s="219" t="str">
        <f>AD36</f>
        <v>PTW UNIDOS E Type 10009</v>
      </c>
      <c r="AD8" s="798" t="s">
        <v>447</v>
      </c>
      <c r="AE8" s="799" t="e">
        <f ca="1">OFFSET($AE$18,$AC$3-1,0)</f>
        <v>#N/A</v>
      </c>
      <c r="AF8" s="799" t="e">
        <f ca="1">IF(AE8="UK","Setting negative voltage results in CEP","Setting negative voltage results in CEN")</f>
        <v>#N/A</v>
      </c>
      <c r="AG8" s="799"/>
      <c r="AH8" s="799"/>
      <c r="AI8" s="799"/>
      <c r="AJ8" s="799"/>
      <c r="AK8" s="799"/>
      <c r="AL8" s="799"/>
      <c r="AM8" s="799"/>
      <c r="AN8" s="799"/>
      <c r="AS8" s="799"/>
      <c r="AT8" s="799"/>
      <c r="AU8" s="810" t="s">
        <v>507</v>
      </c>
      <c r="AV8" s="797" t="e">
        <f ca="1">OFFSET($Q$19,$AT$3+5,0)</f>
        <v>#N/A</v>
      </c>
      <c r="AW8" s="797"/>
      <c r="AX8" s="797"/>
      <c r="AY8" s="797"/>
      <c r="AZ8" s="797"/>
      <c r="BA8" s="797"/>
      <c r="BB8" s="797"/>
      <c r="BC8" s="797"/>
      <c r="BD8" s="809"/>
      <c r="BG8" s="97"/>
      <c r="BH8" s="810" t="s">
        <v>507</v>
      </c>
      <c r="BI8" s="797" t="e">
        <f ca="1">OFFSET($Q$19,$BG$3+5,0)</f>
        <v>#N/A</v>
      </c>
      <c r="BJ8" s="797"/>
      <c r="BK8" s="797"/>
      <c r="BL8" s="797"/>
      <c r="BM8" s="797"/>
      <c r="BN8" s="797"/>
      <c r="BO8" s="797"/>
      <c r="BP8" s="797"/>
      <c r="BQ8" s="809"/>
    </row>
    <row r="9" spans="1:69">
      <c r="A9" s="44"/>
      <c r="B9" s="704"/>
      <c r="C9" s="45"/>
      <c r="D9" s="45" t="s">
        <v>320</v>
      </c>
      <c r="E9" s="45"/>
      <c r="F9" s="45"/>
      <c r="G9" s="45"/>
      <c r="H9" s="45"/>
      <c r="I9" s="45"/>
      <c r="J9" s="45"/>
      <c r="K9" s="45"/>
      <c r="L9" s="43"/>
      <c r="N9" s="219" t="s">
        <v>313</v>
      </c>
      <c r="P9" s="798" t="s">
        <v>410</v>
      </c>
      <c r="Q9" s="813" t="b">
        <f ca="1">IF(Q7="The chamber is not waterproof.", FALSE,TRUE)</f>
        <v>1</v>
      </c>
      <c r="R9" s="799"/>
      <c r="S9" s="799"/>
      <c r="T9" s="798" t="s">
        <v>415</v>
      </c>
      <c r="U9" s="798" t="s">
        <v>502</v>
      </c>
      <c r="V9" s="814" t="s">
        <v>435</v>
      </c>
      <c r="W9" s="799"/>
      <c r="X9" s="799"/>
      <c r="Y9" s="799"/>
      <c r="AB9" s="219" t="str">
        <f>AD42</f>
        <v>IBA DOSE 1</v>
      </c>
      <c r="AD9" s="799"/>
      <c r="AE9" s="799"/>
      <c r="AF9" s="799" t="e">
        <f ca="1">IF(AE8="UK","Setting positive voltage results in CEN","Setting positive voltage results in CEP")</f>
        <v>#N/A</v>
      </c>
      <c r="AG9" s="799"/>
      <c r="AH9" s="799"/>
      <c r="AI9" s="799"/>
      <c r="AJ9" s="799"/>
      <c r="AK9" s="799"/>
      <c r="AL9" s="799"/>
      <c r="AM9" s="799"/>
      <c r="AN9" s="799"/>
      <c r="AS9" s="799"/>
      <c r="AT9" s="799"/>
      <c r="AU9" s="798" t="s">
        <v>410</v>
      </c>
      <c r="AV9" s="813" t="e">
        <f ca="1">IF(AV7="The chamber is not waterproof.", FALSE,TRUE)</f>
        <v>#N/A</v>
      </c>
      <c r="AW9" s="799"/>
      <c r="AX9" s="799"/>
      <c r="AY9" s="798" t="s">
        <v>415</v>
      </c>
      <c r="AZ9" s="798" t="s">
        <v>502</v>
      </c>
      <c r="BA9" s="814" t="s">
        <v>435</v>
      </c>
      <c r="BB9" s="799"/>
      <c r="BC9" s="799"/>
      <c r="BD9" s="799"/>
      <c r="BG9" s="97"/>
      <c r="BH9" s="798" t="s">
        <v>410</v>
      </c>
      <c r="BI9" s="813" t="e">
        <f ca="1">IF(BI7="The chamber is not waterproof.", FALSE,TRUE)</f>
        <v>#N/A</v>
      </c>
      <c r="BJ9" s="799"/>
      <c r="BK9" s="799"/>
      <c r="BL9" s="798" t="s">
        <v>415</v>
      </c>
      <c r="BM9" s="798" t="s">
        <v>502</v>
      </c>
      <c r="BN9" s="814" t="s">
        <v>435</v>
      </c>
      <c r="BO9" s="799"/>
      <c r="BP9" s="799"/>
      <c r="BQ9" s="799"/>
    </row>
    <row r="10" spans="1:69">
      <c r="N10" s="219" t="s">
        <v>314</v>
      </c>
      <c r="P10" s="798" t="s">
        <v>432</v>
      </c>
      <c r="Q10" s="815" t="str">
        <f>IF(B33="CEP","Central Electrode Positive","Central Electrode Negative")</f>
        <v>Central Electrode Negative</v>
      </c>
      <c r="R10" s="799"/>
      <c r="S10" s="799"/>
      <c r="T10" s="800" t="str">
        <f>B33</f>
        <v>CEN</v>
      </c>
      <c r="U10" s="799">
        <f>B31</f>
        <v>-242</v>
      </c>
      <c r="V10" s="816" t="str">
        <f>U10&amp; " V"</f>
        <v>-242 V</v>
      </c>
      <c r="W10" s="799"/>
      <c r="X10" s="799"/>
      <c r="Y10" s="799"/>
      <c r="AB10" s="219" t="s">
        <v>941</v>
      </c>
      <c r="AD10" s="798" t="s">
        <v>449</v>
      </c>
      <c r="AE10" s="800" t="str">
        <f>B33</f>
        <v>CEN</v>
      </c>
      <c r="AF10" s="799" t="e">
        <f ca="1">IF(AE10=RIGHT(AF8,3),AF8,AF9)</f>
        <v>#N/A</v>
      </c>
      <c r="AG10" s="799"/>
      <c r="AH10" s="799"/>
      <c r="AI10" s="799"/>
      <c r="AJ10" s="799"/>
      <c r="AK10" s="799"/>
      <c r="AL10" s="799" t="str">
        <f>IF(AE10="CEN","Central Electrode Negative","Central Electrode Positive")</f>
        <v>Central Electrode Negative</v>
      </c>
      <c r="AM10" s="799"/>
      <c r="AN10" s="799"/>
      <c r="AS10" s="799"/>
      <c r="AT10" s="799"/>
      <c r="AU10" s="798" t="s">
        <v>432</v>
      </c>
      <c r="AV10" s="815" t="str">
        <f>IF(AG41="CEP","Central Electrode Positive","Central Electrode Negative")</f>
        <v>Central Electrode Negative</v>
      </c>
      <c r="AW10" s="799"/>
      <c r="AX10" s="799"/>
      <c r="AY10" s="798">
        <f>B62</f>
        <v>0</v>
      </c>
      <c r="AZ10" s="799">
        <f>-B60</f>
        <v>0</v>
      </c>
      <c r="BA10" s="816" t="str">
        <f>AZ10&amp; " V"</f>
        <v>0 V</v>
      </c>
      <c r="BB10" s="799"/>
      <c r="BC10" s="799"/>
      <c r="BD10" s="799"/>
      <c r="BG10" s="97"/>
      <c r="BH10" s="798" t="s">
        <v>432</v>
      </c>
      <c r="BI10" s="815" t="str">
        <f>IF(BL10="CEP","Central Electrode Positive","Central Electrode Negative")</f>
        <v>Central Electrode Negative</v>
      </c>
      <c r="BJ10" s="799"/>
      <c r="BK10" s="799"/>
      <c r="BL10" s="798">
        <f>B84</f>
        <v>0</v>
      </c>
      <c r="BM10" s="799">
        <f>B82</f>
        <v>0</v>
      </c>
      <c r="BN10" s="816" t="str">
        <f>BM10&amp; " V"</f>
        <v>0 V</v>
      </c>
      <c r="BO10" s="799"/>
      <c r="BP10" s="799"/>
      <c r="BQ10" s="799"/>
    </row>
    <row r="11" spans="1:69">
      <c r="N11" s="219" t="s">
        <v>928</v>
      </c>
      <c r="P11" s="799"/>
      <c r="Q11" s="798" t="s">
        <v>433</v>
      </c>
      <c r="R11" s="799"/>
      <c r="S11" s="799"/>
      <c r="T11" s="799" t="str">
        <f>IF(T10="CEP","CEN","CEP")</f>
        <v>CEP</v>
      </c>
      <c r="U11" s="798">
        <f>-U10</f>
        <v>242</v>
      </c>
      <c r="V11" s="816" t="str">
        <f>U11&amp; " V"</f>
        <v>242 V</v>
      </c>
      <c r="W11" s="799"/>
      <c r="X11" s="799"/>
      <c r="Y11" s="799"/>
      <c r="AB11" s="219" t="str">
        <f>AD54</f>
        <v>Scanditronix-Wellhofer DOSE 1</v>
      </c>
      <c r="AD11" s="798" t="s">
        <v>450</v>
      </c>
      <c r="AE11" s="801">
        <f>ABS(B31)</f>
        <v>242</v>
      </c>
      <c r="AF11" s="799" t="e">
        <f ca="1">MID(AF10,9,8)</f>
        <v>#N/A</v>
      </c>
      <c r="AG11" s="799" t="e">
        <f ca="1">IF(AF11="negative","-","+")</f>
        <v>#N/A</v>
      </c>
      <c r="AH11" s="799"/>
      <c r="AI11" s="799"/>
      <c r="AJ11" s="798" t="s">
        <v>1065</v>
      </c>
      <c r="AK11" s="799"/>
      <c r="AL11" s="799">
        <f>ABS(B82)</f>
        <v>0</v>
      </c>
      <c r="AM11" s="799"/>
      <c r="AN11" s="799"/>
      <c r="AS11" s="799"/>
      <c r="AT11" s="799"/>
      <c r="AU11" s="799"/>
      <c r="AV11" s="798" t="s">
        <v>433</v>
      </c>
      <c r="AW11" s="799"/>
      <c r="AX11" s="799"/>
      <c r="AY11" s="799" t="str">
        <f>IF(AY10="CEP","CEN","CEP")</f>
        <v>CEP</v>
      </c>
      <c r="AZ11" s="798">
        <f>-AZ10</f>
        <v>0</v>
      </c>
      <c r="BA11" s="816" t="str">
        <f>AZ11&amp; " V"</f>
        <v>0 V</v>
      </c>
      <c r="BB11" s="799"/>
      <c r="BC11" s="799"/>
      <c r="BD11" s="799"/>
      <c r="BG11" s="97"/>
      <c r="BH11" s="799"/>
      <c r="BI11" s="798" t="s">
        <v>433</v>
      </c>
      <c r="BJ11" s="799"/>
      <c r="BK11" s="799"/>
      <c r="BL11" s="799" t="str">
        <f>IF(BL10="CEP","CEN","CEP")</f>
        <v>CEP</v>
      </c>
      <c r="BM11" s="798">
        <f>-BM10</f>
        <v>0</v>
      </c>
      <c r="BN11" s="816" t="str">
        <f>BM11&amp; " V"</f>
        <v>0 V</v>
      </c>
      <c r="BO11" s="799"/>
      <c r="BP11" s="799"/>
      <c r="BQ11" s="799"/>
    </row>
    <row r="12" spans="1:69">
      <c r="A12" s="129" t="s">
        <v>107</v>
      </c>
      <c r="B12" s="130"/>
      <c r="C12" s="131"/>
      <c r="D12" s="131"/>
      <c r="E12" s="131"/>
      <c r="F12" s="131"/>
      <c r="G12" s="131"/>
      <c r="H12" s="131"/>
      <c r="I12" s="131"/>
      <c r="J12" s="131"/>
      <c r="K12" s="131"/>
      <c r="L12" s="132"/>
      <c r="N12" s="219" t="s">
        <v>929</v>
      </c>
      <c r="P12" s="799"/>
      <c r="Q12" s="798" t="s">
        <v>434</v>
      </c>
      <c r="R12" s="799"/>
      <c r="S12" s="799"/>
      <c r="T12" s="800" t="str">
        <f>T10</f>
        <v>CEN</v>
      </c>
      <c r="U12" s="799">
        <f>B32</f>
        <v>-60</v>
      </c>
      <c r="V12" s="816" t="str">
        <f>U12&amp; " V"</f>
        <v>-60 V</v>
      </c>
      <c r="W12" s="799"/>
      <c r="X12" s="799"/>
      <c r="Y12" s="799"/>
      <c r="AB12" s="219" t="str">
        <f>AD60</f>
        <v>NE 2570/1BS1</v>
      </c>
      <c r="AD12" s="802" t="s">
        <v>451</v>
      </c>
      <c r="AE12" s="799"/>
      <c r="AF12" s="798" t="e">
        <f ca="1">"Setting '"&amp;AG11&amp; AE11&amp;" V' on the "&amp;B16&amp;" results in "&amp;AE10&amp;"."</f>
        <v>#N/A</v>
      </c>
      <c r="AG12" s="799"/>
      <c r="AH12" s="799"/>
      <c r="AI12" s="799"/>
      <c r="AJ12" s="799"/>
      <c r="AK12" s="799"/>
      <c r="AL12" s="799"/>
      <c r="AM12" s="799"/>
      <c r="AN12" s="799"/>
      <c r="AS12" s="799"/>
      <c r="AT12" s="799"/>
      <c r="AU12" s="799"/>
      <c r="AV12" s="798" t="s">
        <v>434</v>
      </c>
      <c r="AW12" s="799"/>
      <c r="AX12" s="799"/>
      <c r="AY12" s="799">
        <f>AY10</f>
        <v>0</v>
      </c>
      <c r="AZ12" s="817" t="s">
        <v>466</v>
      </c>
      <c r="BA12" s="818" t="s">
        <v>466</v>
      </c>
      <c r="BB12" s="799"/>
      <c r="BC12" s="799"/>
      <c r="BD12" s="799"/>
      <c r="BG12" s="97"/>
      <c r="BH12" s="799"/>
      <c r="BI12" s="798" t="s">
        <v>434</v>
      </c>
      <c r="BJ12" s="799"/>
      <c r="BK12" s="799"/>
      <c r="BL12" s="799">
        <f>BL10</f>
        <v>0</v>
      </c>
      <c r="BM12" s="799">
        <f>B83</f>
        <v>0</v>
      </c>
      <c r="BN12" s="816" t="str">
        <f>BM12&amp; " V"</f>
        <v>0 V</v>
      </c>
      <c r="BO12" s="799"/>
      <c r="BP12" s="799"/>
      <c r="BQ12" s="799"/>
    </row>
    <row r="13" spans="1:69">
      <c r="A13" s="40" t="s">
        <v>455</v>
      </c>
      <c r="B13" s="705" t="s">
        <v>1518</v>
      </c>
      <c r="C13" s="169"/>
      <c r="D13" s="39" t="s">
        <v>323</v>
      </c>
      <c r="E13" s="169"/>
      <c r="F13" s="169"/>
      <c r="G13" s="169"/>
      <c r="H13" s="169"/>
      <c r="I13" s="48"/>
      <c r="J13" s="48"/>
      <c r="K13" s="48"/>
      <c r="L13" s="49"/>
      <c r="N13" s="219" t="s">
        <v>930</v>
      </c>
      <c r="P13" s="815" t="s">
        <v>329</v>
      </c>
      <c r="Q13" s="798" t="str">
        <f>IF(B33="CEP","Negative (Central Electrode Positive)","Positive (Central Electrode Negative)")</f>
        <v>Positive (Central Electrode Negative)</v>
      </c>
      <c r="R13" s="795"/>
      <c r="S13" s="795"/>
      <c r="T13" s="799"/>
      <c r="U13" s="799"/>
      <c r="V13" s="799"/>
      <c r="W13" s="799"/>
      <c r="X13" s="799"/>
      <c r="Y13" s="799"/>
      <c r="AB13" s="219" t="str">
        <f>AD66</f>
        <v>NE 2670B</v>
      </c>
      <c r="AD13" s="802" t="s">
        <v>107</v>
      </c>
      <c r="AE13" s="799"/>
      <c r="AF13" s="799" t="str">
        <f>B16&amp;", serial number "&amp;B17</f>
        <v xml:space="preserve">, serial number </v>
      </c>
      <c r="AG13" s="799"/>
      <c r="AH13" s="799"/>
      <c r="AI13" s="799"/>
      <c r="AJ13" s="799"/>
      <c r="AK13" s="799"/>
      <c r="AL13" s="799"/>
      <c r="AM13" s="799"/>
      <c r="AN13" s="799"/>
      <c r="AS13" s="799"/>
      <c r="AT13" s="799"/>
      <c r="AU13" s="815" t="s">
        <v>329</v>
      </c>
      <c r="AV13" s="798" t="str">
        <f>IF(AY10="CEP","Negative ("&amp;L59&amp;" Electrode Positive)","Positive ("&amp;L59&amp;" Electrode Negative)")</f>
        <v>Positive (Collecting Electrode Negative)</v>
      </c>
      <c r="AW13" s="795"/>
      <c r="AX13" s="795"/>
      <c r="AY13" s="799"/>
      <c r="AZ13" s="799"/>
      <c r="BA13" s="799"/>
      <c r="BB13" s="799"/>
      <c r="BC13" s="799"/>
      <c r="BD13" s="799"/>
      <c r="BG13" s="97"/>
      <c r="BH13" s="815" t="s">
        <v>329</v>
      </c>
      <c r="BI13" s="798" t="str">
        <f>IF(BL10="CEP","Negative (Central Electrode Positive)","Positive (Central Electrode Negative)")</f>
        <v>Positive (Central Electrode Negative)</v>
      </c>
      <c r="BJ13" s="795"/>
      <c r="BK13" s="795"/>
      <c r="BL13" s="799"/>
      <c r="BM13" s="799"/>
      <c r="BN13" s="799"/>
      <c r="BO13" s="799"/>
      <c r="BP13" s="799"/>
      <c r="BQ13" s="799"/>
    </row>
    <row r="14" spans="1:69">
      <c r="A14" s="41" t="s">
        <v>333</v>
      </c>
      <c r="B14" s="910"/>
      <c r="C14" s="39" t="str">
        <f>IF(B14&lt;C15,"ERROR","")</f>
        <v/>
      </c>
      <c r="D14" s="908" t="s">
        <v>1435</v>
      </c>
      <c r="E14" s="39"/>
      <c r="F14" s="39"/>
      <c r="G14" s="39"/>
      <c r="H14" s="39"/>
      <c r="I14" s="39"/>
      <c r="J14" s="39"/>
      <c r="K14" s="39"/>
      <c r="L14" s="47"/>
      <c r="N14" s="219" t="s">
        <v>467</v>
      </c>
      <c r="P14" s="798" t="s">
        <v>438</v>
      </c>
      <c r="Q14" s="799" t="str">
        <f ca="1">IF(Q9=FALSE,"The buildup cap was removed and the chamber placed in a 0.5 mm Perspex sleeve.","The buildup cap was removed and the chamber placed directly in the water phantom (no sleeve)")</f>
        <v>The buildup cap was removed and the chamber placed directly in the water phantom (no sleeve)</v>
      </c>
      <c r="R14" s="799"/>
      <c r="S14" s="799"/>
      <c r="T14" s="799"/>
      <c r="U14" s="799"/>
      <c r="V14" s="799"/>
      <c r="W14" s="799"/>
      <c r="X14" s="799"/>
      <c r="Y14" s="799"/>
      <c r="AB14" s="219" t="str">
        <f>AD72</f>
        <v>Standard Imaging MAX 4000 Plus</v>
      </c>
      <c r="AD14" s="802" t="s">
        <v>473</v>
      </c>
      <c r="AE14" s="799"/>
      <c r="AF14" s="799" t="str">
        <f>IF(B21="Not applicable","None","Present")</f>
        <v>Present</v>
      </c>
      <c r="AG14" s="799" t="str">
        <f>IF(AF14="Present","The desiccant was "&amp;LOWER(B21)&amp;" in colour. It was not dried while at ARPANSA.","None.")</f>
        <v>The desiccant was  in colour. It was not dried while at ARPANSA.</v>
      </c>
      <c r="AH14" s="799"/>
      <c r="AI14" s="799"/>
      <c r="AJ14" s="799"/>
      <c r="AK14" s="799"/>
      <c r="AL14" s="799"/>
      <c r="AM14" s="799"/>
      <c r="AN14" s="799"/>
      <c r="AS14" s="799"/>
      <c r="AT14" s="799"/>
      <c r="AU14" s="798" t="s">
        <v>374</v>
      </c>
      <c r="AV14" s="799"/>
      <c r="AW14" s="799"/>
      <c r="AX14" s="799"/>
      <c r="AY14" s="799"/>
      <c r="AZ14" s="799"/>
      <c r="BA14" s="799"/>
      <c r="BB14" s="799"/>
      <c r="BC14" s="799"/>
      <c r="BD14" s="799"/>
      <c r="BG14" s="97"/>
      <c r="BH14" s="798" t="s">
        <v>374</v>
      </c>
      <c r="BI14" s="799"/>
      <c r="BJ14" s="799"/>
      <c r="BK14" s="799"/>
      <c r="BL14" s="799"/>
      <c r="BM14" s="799"/>
      <c r="BN14" s="799"/>
      <c r="BO14" s="799"/>
      <c r="BP14" s="799"/>
      <c r="BQ14" s="799"/>
    </row>
    <row r="15" spans="1:69">
      <c r="A15" s="41" t="s">
        <v>334</v>
      </c>
      <c r="B15" s="977" t="str">
        <f>Elec!I30</f>
        <v/>
      </c>
      <c r="C15" s="977" t="str">
        <f>Elec!I31</f>
        <v/>
      </c>
      <c r="D15" s="908" t="s">
        <v>1453</v>
      </c>
      <c r="E15" s="39"/>
      <c r="F15" s="39"/>
      <c r="G15" s="39"/>
      <c r="H15" s="39"/>
      <c r="I15" s="39"/>
      <c r="J15" s="39"/>
      <c r="K15" s="39"/>
      <c r="L15" s="47"/>
      <c r="N15" s="219" t="s">
        <v>468</v>
      </c>
      <c r="P15" s="798" t="s">
        <v>56</v>
      </c>
      <c r="Q15" s="799" t="str">
        <f>B29&amp;" serial number "&amp;B30</f>
        <v>IBA FC65-G serial number 457</v>
      </c>
      <c r="R15" s="799"/>
      <c r="S15" s="799"/>
      <c r="T15" s="799"/>
      <c r="U15" s="799"/>
      <c r="V15" s="799"/>
      <c r="W15" s="799"/>
      <c r="X15" s="799"/>
      <c r="Y15" s="799"/>
      <c r="AB15" s="219" t="str">
        <f>AD78</f>
        <v>Standard Imaging MAX 4001</v>
      </c>
      <c r="AD15" s="802" t="s">
        <v>451</v>
      </c>
      <c r="AE15" s="799"/>
      <c r="AF15" s="798" t="e">
        <f ca="1">"Setting '"&amp;AG11&amp; AL11&amp;" V' on the "&amp;B16&amp;" results in "&amp;AE10&amp;"."</f>
        <v>#N/A</v>
      </c>
      <c r="AG15" s="799"/>
      <c r="AH15" s="799"/>
      <c r="AI15" s="799"/>
      <c r="AJ15" s="799"/>
      <c r="AK15" s="799"/>
      <c r="AL15" s="799"/>
      <c r="AM15" s="799"/>
      <c r="AN15" s="799"/>
      <c r="AS15" s="799"/>
      <c r="AT15" s="799"/>
      <c r="AU15" s="798" t="s">
        <v>56</v>
      </c>
      <c r="AV15" s="799" t="str">
        <f>B57&amp;" serial number "&amp;B58</f>
        <v xml:space="preserve"> serial number </v>
      </c>
      <c r="AW15" s="799"/>
      <c r="AX15" s="799"/>
      <c r="AY15" s="799"/>
      <c r="AZ15" s="799"/>
      <c r="BA15" s="799"/>
      <c r="BB15" s="799"/>
      <c r="BC15" s="799"/>
      <c r="BD15" s="799"/>
      <c r="BG15" s="97"/>
      <c r="BH15" s="798" t="s">
        <v>56</v>
      </c>
      <c r="BI15" s="799" t="str">
        <f>B80&amp;", serial number "&amp;B81</f>
        <v xml:space="preserve">, serial number </v>
      </c>
      <c r="BJ15" s="799"/>
      <c r="BK15" s="799"/>
      <c r="BL15" s="799"/>
      <c r="BM15" s="799"/>
      <c r="BN15" s="799"/>
      <c r="BO15" s="799"/>
      <c r="BP15" s="799"/>
      <c r="BQ15" s="799"/>
    </row>
    <row r="16" spans="1:69">
      <c r="A16" s="51" t="s">
        <v>393</v>
      </c>
      <c r="B16" s="706"/>
      <c r="C16" s="39"/>
      <c r="D16" s="42" t="s">
        <v>458</v>
      </c>
      <c r="E16" s="39"/>
      <c r="F16" s="39"/>
      <c r="G16" s="39"/>
      <c r="H16" s="39"/>
      <c r="I16" s="39"/>
      <c r="J16" s="39"/>
      <c r="K16" s="39"/>
      <c r="L16" s="47"/>
      <c r="N16" s="219" t="s">
        <v>1098</v>
      </c>
      <c r="P16" s="143"/>
      <c r="AB16" s="219" t="str">
        <f>AD84</f>
        <v>Keithley 6517A</v>
      </c>
      <c r="AD16" s="147" t="s">
        <v>402</v>
      </c>
      <c r="AS16" s="799"/>
      <c r="AT16" s="799"/>
      <c r="AU16" s="798" t="s">
        <v>503</v>
      </c>
      <c r="AV16" s="799"/>
      <c r="AW16" s="799"/>
      <c r="AX16" s="799"/>
      <c r="AY16" s="799">
        <f>AY10</f>
        <v>0</v>
      </c>
      <c r="AZ16" s="799">
        <f>-AZ10</f>
        <v>0</v>
      </c>
      <c r="BA16" s="816" t="str">
        <f>AZ16&amp; " V"</f>
        <v>0 V</v>
      </c>
      <c r="BB16" s="799"/>
      <c r="BC16" s="799"/>
      <c r="BD16" s="799"/>
      <c r="BG16" s="97"/>
      <c r="BH16" s="798" t="s">
        <v>503</v>
      </c>
      <c r="BI16" s="799"/>
      <c r="BJ16" s="799"/>
      <c r="BK16" s="799"/>
      <c r="BL16" s="799">
        <f>BL10</f>
        <v>0</v>
      </c>
      <c r="BM16" s="799">
        <f>-BM10</f>
        <v>0</v>
      </c>
      <c r="BN16" s="816" t="str">
        <f>BM16&amp; " V"</f>
        <v>0 V</v>
      </c>
      <c r="BO16" s="799"/>
      <c r="BP16" s="799"/>
      <c r="BQ16" s="799"/>
    </row>
    <row r="17" spans="1:68">
      <c r="A17" s="40" t="s">
        <v>83</v>
      </c>
      <c r="B17" s="707"/>
      <c r="C17" s="39"/>
      <c r="D17" s="39" t="s">
        <v>326</v>
      </c>
      <c r="E17" s="39"/>
      <c r="F17" s="39"/>
      <c r="G17" s="39"/>
      <c r="H17" s="39"/>
      <c r="I17" s="39"/>
      <c r="J17" s="39"/>
      <c r="K17" s="39"/>
      <c r="L17" s="47"/>
      <c r="N17" s="219" t="s">
        <v>1094</v>
      </c>
      <c r="AB17" s="219" t="str">
        <f>AD90</f>
        <v>PTW UNIDOS T10001</v>
      </c>
      <c r="AD17" s="143" t="s">
        <v>393</v>
      </c>
      <c r="AE17" s="143" t="s">
        <v>443</v>
      </c>
      <c r="AF17" s="143" t="s">
        <v>446</v>
      </c>
      <c r="AN17" s="143"/>
      <c r="AO17" s="143"/>
      <c r="AU17" s="143"/>
    </row>
    <row r="18" spans="1:68">
      <c r="A18" s="208" t="s">
        <v>480</v>
      </c>
      <c r="B18" s="707"/>
      <c r="D18" s="209" t="s">
        <v>836</v>
      </c>
      <c r="G18" s="29"/>
      <c r="L18" s="47"/>
      <c r="N18" s="219" t="s">
        <v>1091</v>
      </c>
      <c r="P18" s="147" t="s">
        <v>403</v>
      </c>
      <c r="AB18" s="219" t="str">
        <f>AD96</f>
        <v>Keithley 35040</v>
      </c>
      <c r="AD18" s="142" t="s">
        <v>1077</v>
      </c>
      <c r="AE18" s="168" t="s">
        <v>444</v>
      </c>
      <c r="AF18" s="144" t="str">
        <f>"The electrometer is a "&amp;AD18</f>
        <v>The electrometer is a PTW UNIDOS T10002</v>
      </c>
      <c r="AG18" s="117"/>
      <c r="AH18" s="117"/>
      <c r="AI18" s="117"/>
      <c r="AJ18" s="117"/>
      <c r="AK18" s="117"/>
      <c r="AL18" s="117"/>
      <c r="AM18" s="117"/>
      <c r="AN18" s="168"/>
      <c r="AO18" s="143"/>
      <c r="AU18" s="441" t="s">
        <v>829</v>
      </c>
      <c r="BH18" t="s">
        <v>447</v>
      </c>
      <c r="BI18" t="e">
        <f ca="1">OFFSET($AE$18,$AC$3-1,0)</f>
        <v>#N/A</v>
      </c>
      <c r="BJ18" t="e">
        <f ca="1">IF(BI18="UK","Setting negative voltage results in CEP","Setting negative voltage results in CEN")</f>
        <v>#N/A</v>
      </c>
    </row>
    <row r="19" spans="1:68" ht="15" customHeight="1">
      <c r="A19" s="50" t="s">
        <v>818</v>
      </c>
      <c r="B19" s="707"/>
      <c r="D19" s="209" t="s">
        <v>823</v>
      </c>
      <c r="G19" s="29"/>
      <c r="L19" s="47"/>
      <c r="N19" s="219" t="s">
        <v>1092</v>
      </c>
      <c r="P19" s="135" t="s">
        <v>316</v>
      </c>
      <c r="Q19" s="144" t="s">
        <v>324</v>
      </c>
      <c r="R19" s="117"/>
      <c r="S19" s="117"/>
      <c r="T19" s="117"/>
      <c r="U19" s="117"/>
      <c r="V19" s="117"/>
      <c r="W19" s="117"/>
      <c r="X19" s="117"/>
      <c r="Y19" s="866">
        <v>2571</v>
      </c>
      <c r="AB19" s="219" t="str">
        <f>AD102</f>
        <v>Sun Nuclear PC Electrometer</v>
      </c>
      <c r="AD19" s="136"/>
      <c r="AE19" s="138"/>
      <c r="AF19" s="1019" t="s">
        <v>889</v>
      </c>
      <c r="AG19" s="1020"/>
      <c r="AH19" s="1020"/>
      <c r="AI19" s="1020"/>
      <c r="AJ19" s="1020"/>
      <c r="AK19" s="1020"/>
      <c r="AL19" s="1020"/>
      <c r="AM19" s="1020"/>
      <c r="AN19" s="1021"/>
      <c r="AO19" s="97" t="s">
        <v>890</v>
      </c>
      <c r="BJ19" t="e">
        <f ca="1">IF(BI18="UK","Setting positive voltage results in CEN","Setting positive voltage results in CEP")</f>
        <v>#N/A</v>
      </c>
    </row>
    <row r="20" spans="1:68">
      <c r="A20" s="50" t="s">
        <v>819</v>
      </c>
      <c r="B20" s="707"/>
      <c r="D20" s="209" t="s">
        <v>823</v>
      </c>
      <c r="G20" s="29"/>
      <c r="L20" s="47"/>
      <c r="N20" s="772" t="s">
        <v>395</v>
      </c>
      <c r="P20" s="136"/>
      <c r="Q20" s="913" t="s">
        <v>1318</v>
      </c>
      <c r="R20" s="137"/>
      <c r="S20" s="137"/>
      <c r="T20" s="137"/>
      <c r="U20" s="137"/>
      <c r="V20" s="137"/>
      <c r="W20" s="137"/>
      <c r="X20" s="137"/>
      <c r="Y20" s="867"/>
      <c r="AB20" s="219" t="str">
        <f>AD108</f>
        <v>Standard Imaging Supermax 90018</v>
      </c>
      <c r="AD20" s="136"/>
      <c r="AE20" s="138"/>
      <c r="AF20" s="1022"/>
      <c r="AG20" s="1023"/>
      <c r="AH20" s="1023"/>
      <c r="AI20" s="1023"/>
      <c r="AJ20" s="1023"/>
      <c r="AK20" s="1023"/>
      <c r="AL20" s="1023"/>
      <c r="AM20" s="1023"/>
      <c r="AN20" s="1024"/>
      <c r="BH20" t="s">
        <v>449</v>
      </c>
      <c r="BI20">
        <f>B84</f>
        <v>0</v>
      </c>
      <c r="BJ20" t="e">
        <f ca="1">IF(BI20=RIGHT(BJ18,3),BJ18,BJ19)</f>
        <v>#N/A</v>
      </c>
      <c r="BP20" t="s">
        <v>1075</v>
      </c>
    </row>
    <row r="21" spans="1:68">
      <c r="A21" s="50" t="s">
        <v>593</v>
      </c>
      <c r="B21" s="707"/>
      <c r="D21" s="209" t="s">
        <v>595</v>
      </c>
      <c r="L21" s="47"/>
      <c r="N21" s="772" t="s">
        <v>395</v>
      </c>
      <c r="P21" s="136"/>
      <c r="Q21" s="137" t="s">
        <v>325</v>
      </c>
      <c r="R21" s="137"/>
      <c r="S21" s="137"/>
      <c r="T21" s="137"/>
      <c r="U21" s="137"/>
      <c r="V21" s="137"/>
      <c r="W21" s="137"/>
      <c r="X21" s="137"/>
      <c r="Y21" s="867"/>
      <c r="AB21" s="772" t="str">
        <f>AD114</f>
        <v>New type</v>
      </c>
      <c r="AD21" s="136"/>
      <c r="AE21" s="138"/>
      <c r="AF21" s="1022"/>
      <c r="AG21" s="1023"/>
      <c r="AH21" s="1023"/>
      <c r="AI21" s="1023"/>
      <c r="AJ21" s="1023"/>
      <c r="AK21" s="1023"/>
      <c r="AL21" s="1023"/>
      <c r="AM21" s="1023"/>
      <c r="AN21" s="1024"/>
      <c r="BH21" t="s">
        <v>450</v>
      </c>
      <c r="BI21">
        <f>B82</f>
        <v>0</v>
      </c>
      <c r="BJ21" t="e">
        <f ca="1">MID(BJ20,9,8)</f>
        <v>#N/A</v>
      </c>
      <c r="BK21" s="97" t="e">
        <f ca="1">IF(BJ21="positive","+","-")</f>
        <v>#N/A</v>
      </c>
    </row>
    <row r="22" spans="1:68">
      <c r="A22" s="41" t="s">
        <v>71</v>
      </c>
      <c r="B22" s="707"/>
      <c r="C22" s="39"/>
      <c r="D22" s="42" t="s">
        <v>615</v>
      </c>
      <c r="E22" s="39"/>
      <c r="F22" s="39"/>
      <c r="G22" s="39"/>
      <c r="H22" s="39"/>
      <c r="I22" s="39"/>
      <c r="J22" s="39"/>
      <c r="L22" s="47"/>
      <c r="N22" s="772" t="s">
        <v>395</v>
      </c>
      <c r="P22" s="136"/>
      <c r="Q22" s="137" t="s">
        <v>327</v>
      </c>
      <c r="R22" s="137"/>
      <c r="S22" s="137"/>
      <c r="T22" s="137"/>
      <c r="U22" s="137"/>
      <c r="V22" s="137"/>
      <c r="W22" s="137"/>
      <c r="X22" s="137"/>
      <c r="Y22" s="867"/>
      <c r="AD22" s="136"/>
      <c r="AE22" s="138"/>
      <c r="AF22" s="1022"/>
      <c r="AG22" s="1023"/>
      <c r="AH22" s="1023"/>
      <c r="AI22" s="1023"/>
      <c r="AJ22" s="1023"/>
      <c r="AK22" s="1023"/>
      <c r="AL22" s="1023"/>
      <c r="AM22" s="1023"/>
      <c r="AN22" s="1024"/>
      <c r="BH22" t="s">
        <v>451</v>
      </c>
      <c r="BJ22" s="143" t="e">
        <f ca="1">"Setting '"&amp;BK21&amp;BI21&amp;" V' on the "&amp;B16&amp;" results in "&amp;BI20&amp;"."</f>
        <v>#N/A</v>
      </c>
    </row>
    <row r="23" spans="1:68" ht="15" customHeight="1">
      <c r="A23" s="41" t="s">
        <v>336</v>
      </c>
      <c r="B23" s="646"/>
      <c r="C23" s="39"/>
      <c r="D23" s="39" t="s">
        <v>337</v>
      </c>
      <c r="E23" s="39"/>
      <c r="F23" s="39"/>
      <c r="G23" s="39"/>
      <c r="H23" s="39"/>
      <c r="I23" s="39"/>
      <c r="J23" s="39"/>
      <c r="K23" s="39"/>
      <c r="L23" s="47"/>
      <c r="N23" s="772" t="s">
        <v>395</v>
      </c>
      <c r="P23" s="136"/>
      <c r="Q23" s="145" t="s">
        <v>1200</v>
      </c>
      <c r="R23" s="137"/>
      <c r="S23" s="137"/>
      <c r="T23" s="145" t="s">
        <v>878</v>
      </c>
      <c r="U23" s="137"/>
      <c r="V23" s="137"/>
      <c r="W23" s="137"/>
      <c r="X23" s="137"/>
      <c r="Y23" s="867"/>
      <c r="AD23" s="139"/>
      <c r="AE23" s="141"/>
      <c r="AF23" s="1028" t="e">
        <f ca="1" xml:space="preserve"> "'"&amp;$AE$11&amp;" V' on the front panel with the rear HV-Polarity switch set to '"&amp;AG11&amp;"'"</f>
        <v>#N/A</v>
      </c>
      <c r="AG23" s="1029"/>
      <c r="AH23" s="1029"/>
      <c r="AI23" s="1029"/>
      <c r="AJ23" s="1029"/>
      <c r="AK23" s="1029"/>
      <c r="AL23" s="1029"/>
      <c r="AM23" s="1029"/>
      <c r="AN23" s="1030"/>
    </row>
    <row r="24" spans="1:68">
      <c r="A24" s="41" t="s">
        <v>338</v>
      </c>
      <c r="B24" s="707"/>
      <c r="C24" s="39"/>
      <c r="D24" s="39" t="s">
        <v>337</v>
      </c>
      <c r="K24" s="216" t="s">
        <v>646</v>
      </c>
      <c r="L24" s="146" t="b">
        <f>IF(B23=B24,TRUE,FALSE)</f>
        <v>1</v>
      </c>
      <c r="N24" s="772" t="s">
        <v>395</v>
      </c>
      <c r="P24" s="136"/>
      <c r="Q24" s="137" t="s">
        <v>330</v>
      </c>
      <c r="R24" s="137"/>
      <c r="S24" s="137"/>
      <c r="T24" s="137"/>
      <c r="U24" s="137"/>
      <c r="V24" s="137"/>
      <c r="W24" s="137"/>
      <c r="X24" s="137"/>
      <c r="Y24" s="867"/>
      <c r="AD24" s="142" t="s">
        <v>841</v>
      </c>
      <c r="AE24" s="168" t="s">
        <v>444</v>
      </c>
      <c r="AF24" s="144" t="str">
        <f>"The electrometer is a "&amp;AD24</f>
        <v>The electrometer is a PTW UNIDOS Webline T10022</v>
      </c>
      <c r="AG24" s="117"/>
      <c r="AH24" s="117"/>
      <c r="AI24" s="117"/>
      <c r="AJ24" s="117"/>
      <c r="AK24" s="117"/>
      <c r="AL24" s="117"/>
      <c r="AM24" s="117"/>
      <c r="AN24" s="168"/>
    </row>
    <row r="25" spans="1:68" ht="15" customHeight="1">
      <c r="A25" s="44" t="s">
        <v>339</v>
      </c>
      <c r="B25" s="707"/>
      <c r="C25" s="45"/>
      <c r="D25" s="45" t="s">
        <v>1230</v>
      </c>
      <c r="E25" s="45"/>
      <c r="F25" s="45"/>
      <c r="G25" s="45"/>
      <c r="H25" s="45"/>
      <c r="I25" s="45"/>
      <c r="J25" s="45"/>
      <c r="K25" s="45"/>
      <c r="L25" s="43"/>
      <c r="N25" s="772" t="s">
        <v>395</v>
      </c>
      <c r="P25" s="139"/>
      <c r="Q25" s="898" t="s">
        <v>1222</v>
      </c>
      <c r="R25" s="140"/>
      <c r="S25" s="140"/>
      <c r="T25" s="140"/>
      <c r="U25" s="140"/>
      <c r="V25" s="140"/>
      <c r="W25" s="140"/>
      <c r="X25" s="140"/>
      <c r="Y25" s="868"/>
      <c r="AD25" s="136"/>
      <c r="AE25" s="138"/>
      <c r="AF25" s="1019" t="s">
        <v>860</v>
      </c>
      <c r="AG25" s="1020"/>
      <c r="AH25" s="1020"/>
      <c r="AI25" s="1020"/>
      <c r="AJ25" s="1020"/>
      <c r="AK25" s="1020"/>
      <c r="AL25" s="1020"/>
      <c r="AM25" s="1020"/>
      <c r="AN25" s="1021"/>
    </row>
    <row r="26" spans="1:68">
      <c r="P26" s="404">
        <v>2571</v>
      </c>
      <c r="Q26" s="405" t="s">
        <v>647</v>
      </c>
      <c r="R26" s="406"/>
      <c r="S26" s="406"/>
      <c r="T26" s="406"/>
      <c r="U26" s="406"/>
      <c r="V26" s="406"/>
      <c r="W26" s="406"/>
      <c r="X26" s="406"/>
      <c r="Y26" s="869">
        <v>2571</v>
      </c>
      <c r="AD26" s="136"/>
      <c r="AE26" s="138"/>
      <c r="AF26" s="1022"/>
      <c r="AG26" s="1023"/>
      <c r="AH26" s="1023"/>
      <c r="AI26" s="1023"/>
      <c r="AJ26" s="1023"/>
      <c r="AK26" s="1023"/>
      <c r="AL26" s="1023"/>
      <c r="AM26" s="1023"/>
      <c r="AN26" s="1024"/>
    </row>
    <row r="27" spans="1:68">
      <c r="P27" s="407"/>
      <c r="Q27" s="914" t="s">
        <v>1318</v>
      </c>
      <c r="R27" s="408"/>
      <c r="S27" s="408"/>
      <c r="T27" s="408"/>
      <c r="U27" s="408"/>
      <c r="V27" s="408"/>
      <c r="W27" s="408"/>
      <c r="X27" s="408"/>
      <c r="Y27" s="870"/>
      <c r="AD27" s="136"/>
      <c r="AE27" s="138"/>
      <c r="AF27" s="1022"/>
      <c r="AG27" s="1023"/>
      <c r="AH27" s="1023"/>
      <c r="AI27" s="1023"/>
      <c r="AJ27" s="1023"/>
      <c r="AK27" s="1023"/>
      <c r="AL27" s="1023"/>
      <c r="AM27" s="1023"/>
      <c r="AN27" s="1024"/>
    </row>
    <row r="28" spans="1:68">
      <c r="A28" s="386" t="s">
        <v>392</v>
      </c>
      <c r="B28" s="387" t="s">
        <v>719</v>
      </c>
      <c r="C28" s="388"/>
      <c r="D28" s="388"/>
      <c r="E28" s="388"/>
      <c r="F28" s="388"/>
      <c r="G28" s="388"/>
      <c r="H28" s="388"/>
      <c r="I28" s="388"/>
      <c r="J28" s="388"/>
      <c r="K28" s="388"/>
      <c r="L28" s="389"/>
      <c r="N28" s="143" t="s">
        <v>415</v>
      </c>
      <c r="P28" s="407"/>
      <c r="Q28" s="408" t="s">
        <v>325</v>
      </c>
      <c r="R28" s="408"/>
      <c r="S28" s="408"/>
      <c r="T28" s="408"/>
      <c r="U28" s="408"/>
      <c r="V28" s="408"/>
      <c r="W28" s="408"/>
      <c r="X28" s="408"/>
      <c r="Y28" s="870"/>
      <c r="AD28" s="136"/>
      <c r="AE28" s="138"/>
      <c r="AF28" s="1022"/>
      <c r="AG28" s="1023"/>
      <c r="AH28" s="1023"/>
      <c r="AI28" s="1023"/>
      <c r="AJ28" s="1023"/>
      <c r="AK28" s="1023"/>
      <c r="AL28" s="1023"/>
      <c r="AM28" s="1023"/>
      <c r="AN28" s="1024"/>
    </row>
    <row r="29" spans="1:68" ht="15" customHeight="1">
      <c r="A29" s="133" t="s">
        <v>393</v>
      </c>
      <c r="B29" s="707" t="s">
        <v>321</v>
      </c>
      <c r="C29" s="48"/>
      <c r="D29" s="46" t="s">
        <v>404</v>
      </c>
      <c r="E29" s="48"/>
      <c r="F29" s="48"/>
      <c r="G29" s="48"/>
      <c r="H29" s="46"/>
      <c r="I29" s="48"/>
      <c r="J29" s="48"/>
      <c r="K29" s="48"/>
      <c r="L29" s="49"/>
      <c r="N29" s="146" t="s">
        <v>431</v>
      </c>
      <c r="P29" s="407"/>
      <c r="Q29" s="408" t="s">
        <v>327</v>
      </c>
      <c r="R29" s="408"/>
      <c r="S29" s="408"/>
      <c r="T29" s="408"/>
      <c r="U29" s="408"/>
      <c r="V29" s="408"/>
      <c r="W29" s="408"/>
      <c r="X29" s="408"/>
      <c r="Y29" s="870"/>
      <c r="AD29" s="139"/>
      <c r="AE29" s="141"/>
      <c r="AF29" s="1028" t="e">
        <f ca="1" xml:space="preserve"> "'"&amp;$AG$11&amp; $AE$11&amp;" V' on the front panel"</f>
        <v>#N/A</v>
      </c>
      <c r="AG29" s="1029"/>
      <c r="AH29" s="1029"/>
      <c r="AI29" s="1029"/>
      <c r="AJ29" s="1029"/>
      <c r="AK29" s="1029"/>
      <c r="AL29" s="1029"/>
      <c r="AM29" s="1029"/>
      <c r="AN29" s="1030"/>
    </row>
    <row r="30" spans="1:68">
      <c r="A30" s="40" t="s">
        <v>83</v>
      </c>
      <c r="B30" s="707" t="s">
        <v>1517</v>
      </c>
      <c r="C30" s="39"/>
      <c r="D30" s="39" t="s">
        <v>326</v>
      </c>
      <c r="E30" s="39"/>
      <c r="F30" s="39"/>
      <c r="G30" s="39"/>
      <c r="H30" s="39"/>
      <c r="I30" s="39"/>
      <c r="J30" s="39"/>
      <c r="K30" s="39"/>
      <c r="L30" s="47"/>
      <c r="N30" s="146" t="s">
        <v>452</v>
      </c>
      <c r="P30" s="407"/>
      <c r="Q30" s="148" t="s">
        <v>1200</v>
      </c>
      <c r="R30" s="408"/>
      <c r="S30" s="408"/>
      <c r="T30" s="148" t="s">
        <v>878</v>
      </c>
      <c r="U30" s="408"/>
      <c r="V30" s="408"/>
      <c r="W30" s="408"/>
      <c r="X30" s="408"/>
      <c r="Y30" s="870"/>
      <c r="AD30" s="142" t="s">
        <v>842</v>
      </c>
      <c r="AE30" s="168" t="s">
        <v>444</v>
      </c>
      <c r="AF30" s="144" t="str">
        <f>"The electrometer is a "&amp;AD30</f>
        <v>The electrometer is a PTW UNIDOS Webline T10023</v>
      </c>
      <c r="AG30" s="117"/>
      <c r="AH30" s="117"/>
      <c r="AI30" s="117"/>
      <c r="AJ30" s="117"/>
      <c r="AK30" s="117"/>
      <c r="AL30" s="117"/>
      <c r="AM30" s="117"/>
      <c r="AN30" s="168"/>
    </row>
    <row r="31" spans="1:68" ht="15" customHeight="1">
      <c r="A31" s="40" t="s">
        <v>644</v>
      </c>
      <c r="B31" s="953">
        <v>-242</v>
      </c>
      <c r="C31" s="39"/>
      <c r="D31" s="42" t="s">
        <v>645</v>
      </c>
      <c r="E31" s="39"/>
      <c r="F31" s="39"/>
      <c r="G31" s="39"/>
      <c r="H31" s="39"/>
      <c r="I31" s="39"/>
      <c r="J31" s="39"/>
      <c r="K31" s="39"/>
      <c r="L31" s="47"/>
      <c r="P31" s="407"/>
      <c r="Q31" s="408" t="s">
        <v>330</v>
      </c>
      <c r="R31" s="408"/>
      <c r="S31" s="408"/>
      <c r="T31" s="408"/>
      <c r="U31" s="408"/>
      <c r="V31" s="408"/>
      <c r="W31" s="408"/>
      <c r="X31" s="408"/>
      <c r="Y31" s="870"/>
      <c r="AD31" s="136"/>
      <c r="AE31" s="138"/>
      <c r="AF31" s="1019" t="s">
        <v>860</v>
      </c>
      <c r="AG31" s="1020"/>
      <c r="AH31" s="1020"/>
      <c r="AI31" s="1020"/>
      <c r="AJ31" s="1020"/>
      <c r="AK31" s="1020"/>
      <c r="AL31" s="1020"/>
      <c r="AM31" s="1020"/>
      <c r="AN31" s="1021"/>
    </row>
    <row r="32" spans="1:68">
      <c r="A32" s="40" t="s">
        <v>430</v>
      </c>
      <c r="B32" s="953">
        <v>-60</v>
      </c>
      <c r="C32" s="39"/>
      <c r="D32" s="42" t="s">
        <v>500</v>
      </c>
      <c r="E32" s="39"/>
      <c r="F32" s="39"/>
      <c r="G32" s="182" t="str">
        <f>IF(B31*B32&lt;0,"Error: polarity of reduced voltage doesn't match!","ok")</f>
        <v>ok</v>
      </c>
      <c r="H32" s="39"/>
      <c r="I32" s="39"/>
      <c r="J32" s="39"/>
      <c r="K32" s="39"/>
      <c r="L32" s="47"/>
      <c r="N32" s="171" t="s">
        <v>56</v>
      </c>
      <c r="P32" s="409"/>
      <c r="Q32" s="898" t="s">
        <v>1222</v>
      </c>
      <c r="R32" s="410"/>
      <c r="S32" s="410"/>
      <c r="T32" s="410"/>
      <c r="U32" s="410"/>
      <c r="V32" s="410"/>
      <c r="W32" s="410"/>
      <c r="X32" s="410"/>
      <c r="Y32" s="871"/>
      <c r="AD32" s="136"/>
      <c r="AE32" s="138"/>
      <c r="AF32" s="1022"/>
      <c r="AG32" s="1023"/>
      <c r="AH32" s="1023"/>
      <c r="AI32" s="1023"/>
      <c r="AJ32" s="1023"/>
      <c r="AK32" s="1023"/>
      <c r="AL32" s="1023"/>
      <c r="AM32" s="1023"/>
      <c r="AN32" s="1024"/>
    </row>
    <row r="33" spans="1:40">
      <c r="A33" s="40" t="s">
        <v>415</v>
      </c>
      <c r="B33" s="911" t="s">
        <v>452</v>
      </c>
      <c r="C33" s="39"/>
      <c r="D33" s="42" t="s">
        <v>499</v>
      </c>
      <c r="E33" s="39"/>
      <c r="F33" s="39"/>
      <c r="G33" s="182" t="str">
        <f>IF(B31="","ok",IF(B33="CEN",IF(B31&lt;0,"ok","Sign of measured voltage doesn't match polarity"),IF(B31&gt;0,"ok","Sign of measured voltage doesn't match polarity")))</f>
        <v>ok</v>
      </c>
      <c r="J33" s="39"/>
      <c r="K33" s="39"/>
      <c r="L33" s="47"/>
      <c r="N33" s="146" t="s">
        <v>461</v>
      </c>
      <c r="P33" s="172" t="s">
        <v>321</v>
      </c>
      <c r="Q33" s="145" t="s">
        <v>397</v>
      </c>
      <c r="R33" s="137"/>
      <c r="S33" s="137"/>
      <c r="T33" s="137"/>
      <c r="U33" s="137"/>
      <c r="V33" s="137"/>
      <c r="W33" s="137"/>
      <c r="X33" s="137"/>
      <c r="Y33" s="872" t="s">
        <v>685</v>
      </c>
      <c r="AD33" s="136"/>
      <c r="AE33" s="138"/>
      <c r="AF33" s="1022"/>
      <c r="AG33" s="1023"/>
      <c r="AH33" s="1023"/>
      <c r="AI33" s="1023"/>
      <c r="AJ33" s="1023"/>
      <c r="AK33" s="1023"/>
      <c r="AL33" s="1023"/>
      <c r="AM33" s="1023"/>
      <c r="AN33" s="1024"/>
    </row>
    <row r="34" spans="1:40">
      <c r="A34" s="44" t="s">
        <v>331</v>
      </c>
      <c r="B34" s="707" t="s">
        <v>1522</v>
      </c>
      <c r="C34" s="45"/>
      <c r="D34" s="170" t="s">
        <v>808</v>
      </c>
      <c r="E34" s="45"/>
      <c r="F34" s="45"/>
      <c r="G34" s="45"/>
      <c r="H34" s="45"/>
      <c r="I34" s="45"/>
      <c r="J34" s="45"/>
      <c r="K34" s="45"/>
      <c r="L34" s="43"/>
      <c r="N34" s="146" t="s">
        <v>462</v>
      </c>
      <c r="P34" s="136"/>
      <c r="Q34" s="913" t="s">
        <v>1319</v>
      </c>
      <c r="R34" s="137"/>
      <c r="S34" s="137"/>
      <c r="T34" s="137"/>
      <c r="U34" s="137"/>
      <c r="V34" s="137"/>
      <c r="W34" s="137"/>
      <c r="X34" s="137"/>
      <c r="Y34" s="867"/>
      <c r="AD34" s="136"/>
      <c r="AE34" s="138"/>
      <c r="AF34" s="1022"/>
      <c r="AG34" s="1023"/>
      <c r="AH34" s="1023"/>
      <c r="AI34" s="1023"/>
      <c r="AJ34" s="1023"/>
      <c r="AK34" s="1023"/>
      <c r="AL34" s="1023"/>
      <c r="AM34" s="1023"/>
      <c r="AN34" s="1024"/>
    </row>
    <row r="35" spans="1:40" ht="15" customHeight="1">
      <c r="N35" s="146" t="s">
        <v>463</v>
      </c>
      <c r="P35" s="136"/>
      <c r="Q35" s="145" t="s">
        <v>510</v>
      </c>
      <c r="R35" s="137"/>
      <c r="S35" s="137"/>
      <c r="T35" s="137"/>
      <c r="U35" s="137"/>
      <c r="V35" s="137"/>
      <c r="W35" s="137"/>
      <c r="X35" s="137"/>
      <c r="Y35" s="867"/>
      <c r="AD35" s="139"/>
      <c r="AE35" s="141"/>
      <c r="AF35" s="1028" t="e">
        <f ca="1" xml:space="preserve"> "'"&amp;$AG$11&amp; $AE$11&amp;" V' on the front panel"</f>
        <v>#N/A</v>
      </c>
      <c r="AG35" s="1029"/>
      <c r="AH35" s="1029"/>
      <c r="AI35" s="1029"/>
      <c r="AJ35" s="1029"/>
      <c r="AK35" s="1029"/>
      <c r="AL35" s="1029"/>
      <c r="AM35" s="1029"/>
      <c r="AN35" s="1030"/>
    </row>
    <row r="36" spans="1:40">
      <c r="P36" s="136"/>
      <c r="Q36" s="137" t="s">
        <v>327</v>
      </c>
      <c r="R36" s="137"/>
      <c r="S36" s="137"/>
      <c r="T36" s="137"/>
      <c r="U36" s="137"/>
      <c r="V36" s="137"/>
      <c r="W36" s="137"/>
      <c r="X36" s="137"/>
      <c r="Y36" s="867"/>
      <c r="AD36" s="142" t="s">
        <v>844</v>
      </c>
      <c r="AE36" s="168" t="s">
        <v>444</v>
      </c>
      <c r="AF36" s="144" t="str">
        <f>"The electrometer is a "&amp;AD36</f>
        <v>The electrometer is a PTW UNIDOS E Type 10009</v>
      </c>
      <c r="AG36" s="117"/>
      <c r="AH36" s="117"/>
      <c r="AI36" s="117"/>
      <c r="AJ36" s="117"/>
      <c r="AK36" s="117"/>
      <c r="AL36" s="117"/>
      <c r="AM36" s="117"/>
      <c r="AN36" s="168"/>
    </row>
    <row r="37" spans="1:40" ht="15" customHeight="1">
      <c r="A37" s="129" t="s">
        <v>134</v>
      </c>
      <c r="B37" s="130"/>
      <c r="C37" s="131"/>
      <c r="D37" s="131"/>
      <c r="E37" s="131"/>
      <c r="F37" s="131"/>
      <c r="G37" s="131"/>
      <c r="H37" s="131"/>
      <c r="I37" s="131"/>
      <c r="J37" s="131"/>
      <c r="K37" s="131"/>
      <c r="L37" s="132"/>
      <c r="N37" s="171" t="s">
        <v>473</v>
      </c>
      <c r="P37" s="136"/>
      <c r="Q37" s="145" t="s">
        <v>1200</v>
      </c>
      <c r="R37" s="137"/>
      <c r="S37" s="137"/>
      <c r="T37" s="145" t="s">
        <v>878</v>
      </c>
      <c r="U37" s="137"/>
      <c r="V37" s="137"/>
      <c r="W37" s="137"/>
      <c r="X37" s="137"/>
      <c r="Y37" s="867"/>
      <c r="AD37" s="136"/>
      <c r="AE37" s="138"/>
      <c r="AF37" s="1019" t="s">
        <v>830</v>
      </c>
      <c r="AG37" s="1020"/>
      <c r="AH37" s="1020"/>
      <c r="AI37" s="1020"/>
      <c r="AJ37" s="1020"/>
      <c r="AK37" s="1020"/>
      <c r="AL37" s="1020"/>
      <c r="AM37" s="1020"/>
      <c r="AN37" s="1021"/>
    </row>
    <row r="38" spans="1:40">
      <c r="A38" s="40" t="s">
        <v>454</v>
      </c>
      <c r="B38" s="707"/>
      <c r="C38" s="39"/>
      <c r="D38" s="908" t="s">
        <v>1389</v>
      </c>
      <c r="E38" s="39"/>
      <c r="F38" s="39"/>
      <c r="G38" s="169" t="s">
        <v>1388</v>
      </c>
      <c r="H38" s="169"/>
      <c r="I38" s="169"/>
      <c r="J38" s="39"/>
      <c r="K38" s="39"/>
      <c r="L38" s="47"/>
      <c r="N38" s="146" t="s">
        <v>601</v>
      </c>
      <c r="P38" s="136"/>
      <c r="Q38" s="145" t="s">
        <v>398</v>
      </c>
      <c r="R38" s="137"/>
      <c r="S38" s="137"/>
      <c r="T38" s="137"/>
      <c r="U38" s="137"/>
      <c r="V38" s="137"/>
      <c r="W38" s="137"/>
      <c r="X38" s="137"/>
      <c r="Y38" s="867"/>
      <c r="AD38" s="136"/>
      <c r="AE38" s="138"/>
      <c r="AF38" s="1022"/>
      <c r="AG38" s="1023"/>
      <c r="AH38" s="1023"/>
      <c r="AI38" s="1023"/>
      <c r="AJ38" s="1023"/>
      <c r="AK38" s="1023"/>
      <c r="AL38" s="1023"/>
      <c r="AM38" s="1023"/>
      <c r="AN38" s="1024"/>
    </row>
    <row r="39" spans="1:40">
      <c r="A39" s="41" t="s">
        <v>333</v>
      </c>
      <c r="B39" s="910"/>
      <c r="C39" s="39" t="str">
        <f>IF(B39&lt;C40,"ERROR","")</f>
        <v/>
      </c>
      <c r="D39" s="908" t="s">
        <v>1435</v>
      </c>
      <c r="E39" s="39"/>
      <c r="F39" s="39"/>
      <c r="G39" s="39"/>
      <c r="H39" s="39"/>
      <c r="I39" s="39"/>
      <c r="J39" s="39"/>
      <c r="K39" s="39"/>
      <c r="L39" s="47"/>
      <c r="N39" s="146" t="s">
        <v>594</v>
      </c>
      <c r="P39" s="139"/>
      <c r="Q39" s="898" t="s">
        <v>1222</v>
      </c>
      <c r="R39" s="140"/>
      <c r="S39" s="140"/>
      <c r="T39" s="140"/>
      <c r="U39" s="140"/>
      <c r="V39" s="140"/>
      <c r="W39" s="140"/>
      <c r="X39" s="140"/>
      <c r="Y39" s="868"/>
      <c r="AD39" s="136"/>
      <c r="AE39" s="138"/>
      <c r="AF39" s="1022"/>
      <c r="AG39" s="1023"/>
      <c r="AH39" s="1023"/>
      <c r="AI39" s="1023"/>
      <c r="AJ39" s="1023"/>
      <c r="AK39" s="1023"/>
      <c r="AL39" s="1023"/>
      <c r="AM39" s="1023"/>
      <c r="AN39" s="1024"/>
    </row>
    <row r="40" spans="1:40">
      <c r="A40" s="973" t="s">
        <v>1441</v>
      </c>
      <c r="B40" s="977" t="str">
        <f>IF(MIN(Co!Q9:'Co'!R10)&lt;30000,"",MIN(Co!Q9:'Co'!R10))</f>
        <v/>
      </c>
      <c r="C40" s="977" t="str">
        <f>IF(MAX(Co!Q9:'Co'!R10)&lt;30000,"",MAX(Co!Q9:'Co'!R10))</f>
        <v/>
      </c>
      <c r="D40" s="908" t="s">
        <v>1448</v>
      </c>
      <c r="E40" s="39"/>
      <c r="F40" s="39"/>
      <c r="G40" s="39"/>
      <c r="H40" s="39"/>
      <c r="I40" s="909"/>
      <c r="J40" s="39"/>
      <c r="K40" s="39"/>
      <c r="L40" s="47"/>
      <c r="N40" s="146" t="s">
        <v>599</v>
      </c>
      <c r="P40" s="135" t="s">
        <v>319</v>
      </c>
      <c r="Q40" s="144" t="s">
        <v>335</v>
      </c>
      <c r="R40" s="117"/>
      <c r="S40" s="117"/>
      <c r="T40" s="117"/>
      <c r="U40" s="117"/>
      <c r="V40" s="117"/>
      <c r="W40" s="117"/>
      <c r="X40" s="117"/>
      <c r="Y40" s="866">
        <v>30013</v>
      </c>
      <c r="AD40" s="136"/>
      <c r="AE40" s="138"/>
      <c r="AF40" s="1022"/>
      <c r="AG40" s="1023"/>
      <c r="AH40" s="1023"/>
      <c r="AI40" s="1023"/>
      <c r="AJ40" s="1023"/>
      <c r="AK40" s="1023"/>
      <c r="AL40" s="1023"/>
      <c r="AM40" s="1023"/>
      <c r="AN40" s="1024"/>
    </row>
    <row r="41" spans="1:40" ht="15" customHeight="1">
      <c r="A41" s="41" t="s">
        <v>71</v>
      </c>
      <c r="B41" s="707"/>
      <c r="C41" s="39"/>
      <c r="D41" s="42" t="s">
        <v>615</v>
      </c>
      <c r="E41" s="39"/>
      <c r="F41" s="39"/>
      <c r="G41" s="39"/>
      <c r="H41" s="39"/>
      <c r="I41" s="39"/>
      <c r="J41" s="39"/>
      <c r="L41" s="47"/>
      <c r="N41" s="146" t="s">
        <v>600</v>
      </c>
      <c r="P41" s="136"/>
      <c r="Q41" s="913" t="s">
        <v>1320</v>
      </c>
      <c r="R41" s="137"/>
      <c r="S41" s="137"/>
      <c r="T41" s="137"/>
      <c r="U41" s="137"/>
      <c r="V41" s="137"/>
      <c r="W41" s="137"/>
      <c r="X41" s="137"/>
      <c r="Y41" s="867"/>
      <c r="AD41" s="139"/>
      <c r="AE41" s="141"/>
      <c r="AF41" s="1028" t="e">
        <f ca="1" xml:space="preserve"> "'"&amp;$AG$11&amp; $AE$11&amp;" V' on the front panel"</f>
        <v>#N/A</v>
      </c>
      <c r="AG41" s="1029"/>
      <c r="AH41" s="1029"/>
      <c r="AI41" s="1029"/>
      <c r="AJ41" s="1029"/>
      <c r="AK41" s="1029"/>
      <c r="AL41" s="1029"/>
      <c r="AM41" s="1029"/>
      <c r="AN41" s="1030"/>
    </row>
    <row r="42" spans="1:40">
      <c r="A42" s="41" t="s">
        <v>336</v>
      </c>
      <c r="B42" s="646"/>
      <c r="C42" s="39"/>
      <c r="D42" s="39" t="s">
        <v>337</v>
      </c>
      <c r="E42" s="39"/>
      <c r="F42" s="39"/>
      <c r="G42" s="39"/>
      <c r="H42" s="39"/>
      <c r="I42" s="39"/>
      <c r="J42" s="39"/>
      <c r="K42" s="39"/>
      <c r="L42" s="47"/>
      <c r="N42" s="146" t="s">
        <v>602</v>
      </c>
      <c r="P42" s="136"/>
      <c r="Q42" s="145" t="s">
        <v>511</v>
      </c>
      <c r="R42" s="137"/>
      <c r="S42" s="137"/>
      <c r="T42" s="137"/>
      <c r="U42" s="137"/>
      <c r="V42" s="137"/>
      <c r="W42" s="137"/>
      <c r="X42" s="137"/>
      <c r="Y42" s="867"/>
      <c r="AD42" s="142" t="s">
        <v>401</v>
      </c>
      <c r="AE42" s="168" t="s">
        <v>445</v>
      </c>
      <c r="AF42" s="144" t="str">
        <f>"The electrometer is an "&amp;AD42</f>
        <v>The electrometer is an IBA DOSE 1</v>
      </c>
      <c r="AG42" s="117"/>
      <c r="AH42" s="117"/>
      <c r="AI42" s="117"/>
      <c r="AJ42" s="117"/>
      <c r="AK42" s="117"/>
      <c r="AL42" s="117"/>
      <c r="AM42" s="117"/>
      <c r="AN42" s="168"/>
    </row>
    <row r="43" spans="1:40" ht="15" customHeight="1">
      <c r="A43" s="41" t="s">
        <v>338</v>
      </c>
      <c r="B43" s="707"/>
      <c r="C43" s="39"/>
      <c r="D43" s="39" t="s">
        <v>337</v>
      </c>
      <c r="K43" s="216" t="s">
        <v>646</v>
      </c>
      <c r="L43" s="146" t="b">
        <f>IF(B42=B43,TRUE,FALSE)</f>
        <v>1</v>
      </c>
      <c r="M43" s="39"/>
      <c r="N43" s="146" t="s">
        <v>598</v>
      </c>
      <c r="P43" s="136"/>
      <c r="Q43" s="137" t="s">
        <v>327</v>
      </c>
      <c r="R43" s="137"/>
      <c r="S43" s="137"/>
      <c r="T43" s="137"/>
      <c r="U43" s="137"/>
      <c r="V43" s="137"/>
      <c r="W43" s="137"/>
      <c r="X43" s="137"/>
      <c r="Y43" s="867"/>
      <c r="AD43" s="136"/>
      <c r="AE43" s="138"/>
      <c r="AF43" s="1019" t="s">
        <v>861</v>
      </c>
      <c r="AG43" s="1020"/>
      <c r="AH43" s="1020"/>
      <c r="AI43" s="1020"/>
      <c r="AJ43" s="1020"/>
      <c r="AK43" s="1020"/>
      <c r="AL43" s="1020"/>
      <c r="AM43" s="1020"/>
      <c r="AN43" s="1021"/>
    </row>
    <row r="44" spans="1:40">
      <c r="A44" s="44" t="s">
        <v>339</v>
      </c>
      <c r="B44" s="707"/>
      <c r="C44" s="45"/>
      <c r="D44" s="45" t="s">
        <v>1230</v>
      </c>
      <c r="E44" s="45"/>
      <c r="F44" s="45"/>
      <c r="G44" s="45"/>
      <c r="H44" s="45"/>
      <c r="I44" s="45"/>
      <c r="J44" s="45"/>
      <c r="K44" s="45"/>
      <c r="L44" s="43"/>
      <c r="M44" s="39"/>
      <c r="N44" s="649"/>
      <c r="P44" s="136"/>
      <c r="Q44" s="145" t="s">
        <v>1201</v>
      </c>
      <c r="R44" s="137"/>
      <c r="S44" s="137"/>
      <c r="T44" s="145" t="s">
        <v>879</v>
      </c>
      <c r="U44" s="137"/>
      <c r="V44" s="137"/>
      <c r="W44" s="137"/>
      <c r="X44" s="137"/>
      <c r="Y44" s="867"/>
      <c r="AD44" s="136"/>
      <c r="AE44" s="138"/>
      <c r="AF44" s="1022"/>
      <c r="AG44" s="1023"/>
      <c r="AH44" s="1023"/>
      <c r="AI44" s="1023"/>
      <c r="AJ44" s="1023"/>
      <c r="AK44" s="1023"/>
      <c r="AL44" s="1023"/>
      <c r="AM44" s="1023"/>
      <c r="AN44" s="1024"/>
    </row>
    <row r="45" spans="1:40">
      <c r="F45" s="39"/>
      <c r="G45" s="39"/>
      <c r="H45" s="39"/>
      <c r="I45" s="39"/>
      <c r="J45" s="39"/>
      <c r="K45" s="39"/>
      <c r="M45" s="39"/>
      <c r="N45" s="649"/>
      <c r="P45" s="136"/>
      <c r="Q45" s="145" t="s">
        <v>398</v>
      </c>
      <c r="R45" s="137"/>
      <c r="S45" s="137"/>
      <c r="T45" s="137"/>
      <c r="U45" s="137"/>
      <c r="V45" s="137"/>
      <c r="W45" s="137"/>
      <c r="X45" s="137"/>
      <c r="Y45" s="867"/>
      <c r="AD45" s="136"/>
      <c r="AE45" s="138"/>
      <c r="AF45" s="1022"/>
      <c r="AG45" s="1023"/>
      <c r="AH45" s="1023"/>
      <c r="AI45" s="1023"/>
      <c r="AJ45" s="1023"/>
      <c r="AK45" s="1023"/>
      <c r="AL45" s="1023"/>
      <c r="AM45" s="1023"/>
      <c r="AN45" s="1024"/>
    </row>
    <row r="46" spans="1:40">
      <c r="A46" s="129" t="s">
        <v>301</v>
      </c>
      <c r="B46" s="130"/>
      <c r="C46" s="131"/>
      <c r="D46" s="131"/>
      <c r="E46" s="131"/>
      <c r="F46" s="131"/>
      <c r="G46" s="131"/>
      <c r="H46" s="131"/>
      <c r="I46" s="131"/>
      <c r="J46" s="131"/>
      <c r="K46" s="131"/>
      <c r="L46" s="132"/>
      <c r="P46" s="139"/>
      <c r="Q46" s="898" t="s">
        <v>1222</v>
      </c>
      <c r="R46" s="140"/>
      <c r="S46" s="140"/>
      <c r="T46" s="140"/>
      <c r="U46" s="140"/>
      <c r="V46" s="140"/>
      <c r="W46" s="140"/>
      <c r="X46" s="140"/>
      <c r="Y46" s="868"/>
      <c r="AD46" s="136"/>
      <c r="AE46" s="138"/>
      <c r="AF46" s="1025"/>
      <c r="AG46" s="1026"/>
      <c r="AH46" s="1026"/>
      <c r="AI46" s="1026"/>
      <c r="AJ46" s="1026"/>
      <c r="AK46" s="1026"/>
      <c r="AL46" s="1026"/>
      <c r="AM46" s="1026"/>
      <c r="AN46" s="1027"/>
    </row>
    <row r="47" spans="1:40" ht="15" customHeight="1">
      <c r="A47" s="41" t="s">
        <v>322</v>
      </c>
      <c r="B47" s="646" t="s">
        <v>1519</v>
      </c>
      <c r="C47" s="39"/>
      <c r="D47" s="39" t="s">
        <v>323</v>
      </c>
      <c r="E47" s="39"/>
      <c r="F47" s="39"/>
      <c r="G47" s="39"/>
      <c r="H47" s="39"/>
      <c r="I47" s="39"/>
      <c r="J47" s="39"/>
      <c r="K47" s="39"/>
      <c r="L47" s="47"/>
      <c r="P47" s="142" t="s">
        <v>313</v>
      </c>
      <c r="Q47" s="144" t="s">
        <v>399</v>
      </c>
      <c r="R47" s="117"/>
      <c r="S47" s="117"/>
      <c r="T47" s="117"/>
      <c r="U47" s="117"/>
      <c r="V47" s="117"/>
      <c r="W47" s="117"/>
      <c r="X47" s="117"/>
      <c r="Y47" s="866">
        <v>2561</v>
      </c>
      <c r="AD47" s="139"/>
      <c r="AE47" s="141"/>
      <c r="AF47" s="1028" t="e">
        <f ca="1" xml:space="preserve"> "'"&amp;$AG$11&amp; $AE$11&amp;" V' on the front panel"</f>
        <v>#N/A</v>
      </c>
      <c r="AG47" s="1029"/>
      <c r="AH47" s="1029"/>
      <c r="AI47" s="1029"/>
      <c r="AJ47" s="1029"/>
      <c r="AK47" s="1029"/>
      <c r="AL47" s="1029"/>
      <c r="AM47" s="1029"/>
      <c r="AN47" s="1030"/>
    </row>
    <row r="48" spans="1:40">
      <c r="A48" s="41" t="s">
        <v>333</v>
      </c>
      <c r="B48" s="910">
        <v>44384</v>
      </c>
      <c r="C48" s="39" t="str">
        <f>IF(B48&lt;C49,"ERROR","")</f>
        <v/>
      </c>
      <c r="D48" s="908" t="s">
        <v>1435</v>
      </c>
      <c r="E48" s="39"/>
      <c r="F48" s="39"/>
      <c r="G48" s="39"/>
      <c r="H48" s="39"/>
      <c r="I48" s="39"/>
      <c r="J48" s="39"/>
      <c r="K48" s="39"/>
      <c r="L48" s="47"/>
      <c r="P48" s="136"/>
      <c r="Q48" s="913" t="s">
        <v>1321</v>
      </c>
      <c r="R48" s="137"/>
      <c r="S48" s="137"/>
      <c r="T48" s="137"/>
      <c r="U48" s="137"/>
      <c r="V48" s="137"/>
      <c r="W48" s="137"/>
      <c r="X48" s="137"/>
      <c r="Y48" s="867"/>
      <c r="AD48" s="142" t="s">
        <v>941</v>
      </c>
      <c r="AE48" s="168" t="s">
        <v>445</v>
      </c>
      <c r="AF48" s="144" t="str">
        <f>"The electrometer is an "&amp;AD48</f>
        <v>The electrometer is an IBA DOSE 2</v>
      </c>
      <c r="AG48" s="117"/>
      <c r="AH48" s="117"/>
      <c r="AI48" s="117"/>
      <c r="AJ48" s="117"/>
      <c r="AK48" s="117"/>
      <c r="AL48" s="117"/>
      <c r="AM48" s="117"/>
      <c r="AN48" s="168"/>
    </row>
    <row r="49" spans="1:40" ht="15" customHeight="1">
      <c r="A49" s="41" t="s">
        <v>334</v>
      </c>
      <c r="B49" s="977">
        <f>MEX!V77</f>
        <v>44379</v>
      </c>
      <c r="C49" s="977">
        <f>MEX!V78</f>
        <v>44383</v>
      </c>
      <c r="D49" s="908" t="s">
        <v>1455</v>
      </c>
      <c r="E49" s="39"/>
      <c r="F49" s="39"/>
      <c r="G49" s="39"/>
      <c r="H49" s="39"/>
      <c r="I49" s="39"/>
      <c r="J49" s="39"/>
      <c r="K49" s="39"/>
      <c r="L49" s="47"/>
      <c r="N49" s="148" t="s">
        <v>480</v>
      </c>
      <c r="P49" s="136"/>
      <c r="Q49" s="137" t="s">
        <v>858</v>
      </c>
      <c r="R49" s="137"/>
      <c r="S49" s="137"/>
      <c r="T49" s="137"/>
      <c r="U49" s="137"/>
      <c r="V49" s="137"/>
      <c r="W49" s="137"/>
      <c r="X49" s="137"/>
      <c r="Y49" s="867"/>
      <c r="AD49" s="136"/>
      <c r="AE49" s="138"/>
      <c r="AF49" s="1019" t="s">
        <v>861</v>
      </c>
      <c r="AG49" s="1020"/>
      <c r="AH49" s="1020"/>
      <c r="AI49" s="1020"/>
      <c r="AJ49" s="1020"/>
      <c r="AK49" s="1020"/>
      <c r="AL49" s="1020"/>
      <c r="AM49" s="1020"/>
      <c r="AN49" s="1021"/>
    </row>
    <row r="50" spans="1:40">
      <c r="A50" s="41" t="s">
        <v>71</v>
      </c>
      <c r="B50" s="707" t="s">
        <v>1524</v>
      </c>
      <c r="C50" s="39"/>
      <c r="D50" s="42" t="s">
        <v>615</v>
      </c>
      <c r="E50" s="39"/>
      <c r="F50" s="39"/>
      <c r="G50" s="39"/>
      <c r="H50" s="39"/>
      <c r="I50" s="39"/>
      <c r="J50" s="39"/>
      <c r="K50" s="39"/>
      <c r="L50" s="47"/>
      <c r="N50" s="146" t="s">
        <v>838</v>
      </c>
      <c r="P50" s="136"/>
      <c r="Q50" s="137" t="s">
        <v>859</v>
      </c>
      <c r="R50" s="137"/>
      <c r="S50" s="137"/>
      <c r="T50" s="137"/>
      <c r="U50" s="137"/>
      <c r="V50" s="137"/>
      <c r="W50" s="137"/>
      <c r="X50" s="137"/>
      <c r="Y50" s="867"/>
      <c r="AD50" s="136"/>
      <c r="AE50" s="138"/>
      <c r="AF50" s="1022"/>
      <c r="AG50" s="1023"/>
      <c r="AH50" s="1023"/>
      <c r="AI50" s="1023"/>
      <c r="AJ50" s="1023"/>
      <c r="AK50" s="1023"/>
      <c r="AL50" s="1023"/>
      <c r="AM50" s="1023"/>
      <c r="AN50" s="1024"/>
    </row>
    <row r="51" spans="1:40">
      <c r="A51" s="41" t="s">
        <v>336</v>
      </c>
      <c r="B51" s="646" t="s">
        <v>1032</v>
      </c>
      <c r="C51" s="39"/>
      <c r="D51" s="39" t="s">
        <v>337</v>
      </c>
      <c r="E51" s="39"/>
      <c r="F51" s="39"/>
      <c r="G51" s="39"/>
      <c r="H51" s="39"/>
      <c r="I51" s="39"/>
      <c r="J51" s="39"/>
      <c r="K51" s="39"/>
      <c r="L51" s="47"/>
      <c r="N51" s="146" t="s">
        <v>839</v>
      </c>
      <c r="P51" s="136"/>
      <c r="Q51" s="145" t="s">
        <v>1200</v>
      </c>
      <c r="R51" s="137"/>
      <c r="S51" s="137"/>
      <c r="T51" s="145" t="s">
        <v>878</v>
      </c>
      <c r="U51" s="137"/>
      <c r="V51" s="137"/>
      <c r="W51" s="137"/>
      <c r="X51" s="137"/>
      <c r="Y51" s="867"/>
      <c r="AD51" s="136"/>
      <c r="AE51" s="138"/>
      <c r="AF51" s="1022"/>
      <c r="AG51" s="1023"/>
      <c r="AH51" s="1023"/>
      <c r="AI51" s="1023"/>
      <c r="AJ51" s="1023"/>
      <c r="AK51" s="1023"/>
      <c r="AL51" s="1023"/>
      <c r="AM51" s="1023"/>
      <c r="AN51" s="1024"/>
    </row>
    <row r="52" spans="1:40">
      <c r="A52" s="41" t="s">
        <v>338</v>
      </c>
      <c r="B52" s="707" t="s">
        <v>1032</v>
      </c>
      <c r="C52" s="39"/>
      <c r="D52" s="39" t="s">
        <v>337</v>
      </c>
      <c r="E52" s="39"/>
      <c r="F52" s="39"/>
      <c r="G52" s="39"/>
      <c r="H52" s="39"/>
      <c r="I52" s="39"/>
      <c r="K52" s="216" t="s">
        <v>646</v>
      </c>
      <c r="L52" s="146" t="b">
        <f>IF(B51=B52,TRUE,FALSE)</f>
        <v>1</v>
      </c>
      <c r="N52" s="146" t="s">
        <v>1139</v>
      </c>
      <c r="P52" s="136"/>
      <c r="Q52" s="145" t="s">
        <v>330</v>
      </c>
      <c r="R52" s="137"/>
      <c r="S52" s="137"/>
      <c r="T52" s="137"/>
      <c r="U52" s="137"/>
      <c r="V52" s="137"/>
      <c r="W52" s="137"/>
      <c r="X52" s="137"/>
      <c r="Y52" s="867"/>
      <c r="AD52" s="136"/>
      <c r="AE52" s="138"/>
      <c r="AF52" s="1025"/>
      <c r="AG52" s="1026"/>
      <c r="AH52" s="1026"/>
      <c r="AI52" s="1026"/>
      <c r="AJ52" s="1026"/>
      <c r="AK52" s="1026"/>
      <c r="AL52" s="1026"/>
      <c r="AM52" s="1026"/>
      <c r="AN52" s="1027"/>
    </row>
    <row r="53" spans="1:40" ht="15" customHeight="1">
      <c r="A53" s="44" t="s">
        <v>339</v>
      </c>
      <c r="B53" s="707" t="s">
        <v>1232</v>
      </c>
      <c r="C53" s="45"/>
      <c r="D53" s="45" t="s">
        <v>1230</v>
      </c>
      <c r="E53" s="45"/>
      <c r="F53" s="45"/>
      <c r="G53" s="45"/>
      <c r="H53" s="45"/>
      <c r="I53" s="45"/>
      <c r="J53" s="45"/>
      <c r="K53" s="45"/>
      <c r="L53" s="43"/>
      <c r="N53" s="650" t="s">
        <v>840</v>
      </c>
      <c r="P53" s="139"/>
      <c r="Q53" s="898" t="s">
        <v>1222</v>
      </c>
      <c r="R53" s="140"/>
      <c r="S53" s="140"/>
      <c r="T53" s="140"/>
      <c r="U53" s="140"/>
      <c r="V53" s="140"/>
      <c r="W53" s="140"/>
      <c r="X53" s="140"/>
      <c r="Y53" s="868"/>
      <c r="AD53" s="139"/>
      <c r="AE53" s="141"/>
      <c r="AF53" s="1028" t="e">
        <f ca="1" xml:space="preserve"> "'"&amp;$AG$11&amp; $AE$11&amp;" V' on the front panel"</f>
        <v>#N/A</v>
      </c>
      <c r="AG53" s="1029"/>
      <c r="AH53" s="1029"/>
      <c r="AI53" s="1029"/>
      <c r="AJ53" s="1029"/>
      <c r="AK53" s="1029"/>
      <c r="AL53" s="1029"/>
      <c r="AM53" s="1029"/>
      <c r="AN53" s="1030"/>
    </row>
    <row r="54" spans="1:40">
      <c r="P54" s="142" t="s">
        <v>314</v>
      </c>
      <c r="Q54" s="144" t="s">
        <v>400</v>
      </c>
      <c r="R54" s="117"/>
      <c r="S54" s="117"/>
      <c r="T54" s="117"/>
      <c r="U54" s="117"/>
      <c r="V54" s="117"/>
      <c r="W54" s="117"/>
      <c r="X54" s="117"/>
      <c r="Y54" s="873" t="s">
        <v>754</v>
      </c>
      <c r="AD54" s="430" t="s">
        <v>643</v>
      </c>
      <c r="AE54" s="431" t="s">
        <v>445</v>
      </c>
      <c r="AF54" s="406" t="str">
        <f>"The electrometer is an "&amp;AD54</f>
        <v>The electrometer is an Scanditronix-Wellhofer DOSE 1</v>
      </c>
      <c r="AG54" s="406"/>
      <c r="AH54" s="406"/>
      <c r="AI54" s="406"/>
      <c r="AJ54" s="406"/>
      <c r="AK54" s="406"/>
      <c r="AL54" s="406"/>
      <c r="AM54" s="406"/>
      <c r="AN54" s="431"/>
    </row>
    <row r="55" spans="1:40" ht="15" customHeight="1">
      <c r="P55" s="136"/>
      <c r="Q55" s="913" t="s">
        <v>1321</v>
      </c>
      <c r="R55" s="137"/>
      <c r="S55" s="137"/>
      <c r="T55" s="137"/>
      <c r="U55" s="137"/>
      <c r="V55" s="137"/>
      <c r="W55" s="137"/>
      <c r="X55" s="137"/>
      <c r="Y55" s="867"/>
      <c r="AD55" s="407"/>
      <c r="AE55" s="432"/>
      <c r="AF55" s="1019" t="s">
        <v>861</v>
      </c>
      <c r="AG55" s="1020"/>
      <c r="AH55" s="1020"/>
      <c r="AI55" s="1020"/>
      <c r="AJ55" s="1020"/>
      <c r="AK55" s="1020"/>
      <c r="AL55" s="1020"/>
      <c r="AM55" s="1020"/>
      <c r="AN55" s="1021"/>
    </row>
    <row r="56" spans="1:40">
      <c r="A56" s="390" t="s">
        <v>854</v>
      </c>
      <c r="B56" s="391" t="s">
        <v>806</v>
      </c>
      <c r="C56" s="392"/>
      <c r="D56" s="392"/>
      <c r="E56" s="392"/>
      <c r="F56" s="392"/>
      <c r="G56" s="392"/>
      <c r="H56" s="392"/>
      <c r="I56" s="392"/>
      <c r="J56" s="392"/>
      <c r="K56" s="392"/>
      <c r="L56" s="393"/>
      <c r="N56" s="148" t="s">
        <v>480</v>
      </c>
      <c r="P56" s="136"/>
      <c r="Q56" s="145" t="s">
        <v>858</v>
      </c>
      <c r="R56" s="137"/>
      <c r="S56" s="137"/>
      <c r="T56" s="137"/>
      <c r="U56" s="137"/>
      <c r="V56" s="137"/>
      <c r="W56" s="137"/>
      <c r="X56" s="137"/>
      <c r="Y56" s="867"/>
      <c r="AD56" s="407"/>
      <c r="AE56" s="432"/>
      <c r="AF56" s="1022"/>
      <c r="AG56" s="1023"/>
      <c r="AH56" s="1023"/>
      <c r="AI56" s="1023"/>
      <c r="AJ56" s="1023"/>
      <c r="AK56" s="1023"/>
      <c r="AL56" s="1023"/>
      <c r="AM56" s="1023"/>
      <c r="AN56" s="1024"/>
    </row>
    <row r="57" spans="1:40">
      <c r="A57" s="133" t="s">
        <v>393</v>
      </c>
      <c r="B57" s="647"/>
      <c r="C57" s="48"/>
      <c r="D57" s="46" t="s">
        <v>404</v>
      </c>
      <c r="E57" s="48"/>
      <c r="F57" s="48"/>
      <c r="G57" s="48"/>
      <c r="H57" s="48"/>
      <c r="I57" s="48"/>
      <c r="J57" s="48"/>
      <c r="K57" s="48"/>
      <c r="L57" s="49"/>
      <c r="N57" s="146" t="s">
        <v>856</v>
      </c>
      <c r="P57" s="136"/>
      <c r="Q57" s="145" t="s">
        <v>859</v>
      </c>
      <c r="R57" s="137"/>
      <c r="S57" s="137"/>
      <c r="T57" s="137"/>
      <c r="U57" s="137"/>
      <c r="V57" s="137"/>
      <c r="W57" s="137"/>
      <c r="X57" s="137"/>
      <c r="Y57" s="867"/>
      <c r="AD57" s="407"/>
      <c r="AE57" s="432"/>
      <c r="AF57" s="1022"/>
      <c r="AG57" s="1023"/>
      <c r="AH57" s="1023"/>
      <c r="AI57" s="1023"/>
      <c r="AJ57" s="1023"/>
      <c r="AK57" s="1023"/>
      <c r="AL57" s="1023"/>
      <c r="AM57" s="1023"/>
      <c r="AN57" s="1024"/>
    </row>
    <row r="58" spans="1:40">
      <c r="A58" s="40" t="s">
        <v>83</v>
      </c>
      <c r="B58" s="647"/>
      <c r="C58" s="39"/>
      <c r="D58" s="39" t="s">
        <v>326</v>
      </c>
      <c r="E58" s="39"/>
      <c r="F58" s="39"/>
      <c r="G58" s="39"/>
      <c r="H58" s="39"/>
      <c r="I58" s="39"/>
      <c r="J58" s="39"/>
      <c r="K58" s="39"/>
      <c r="L58" s="47"/>
      <c r="N58" s="146" t="s">
        <v>461</v>
      </c>
      <c r="P58" s="136"/>
      <c r="Q58" s="145" t="s">
        <v>1200</v>
      </c>
      <c r="R58" s="137"/>
      <c r="S58" s="137"/>
      <c r="T58" s="145" t="s">
        <v>878</v>
      </c>
      <c r="U58" s="137"/>
      <c r="V58" s="137"/>
      <c r="W58" s="137"/>
      <c r="X58" s="137"/>
      <c r="Y58" s="867"/>
      <c r="AD58" s="407"/>
      <c r="AE58" s="432"/>
      <c r="AF58" s="1022"/>
      <c r="AG58" s="1023"/>
      <c r="AH58" s="1023"/>
      <c r="AI58" s="1023"/>
      <c r="AJ58" s="1023"/>
      <c r="AK58" s="1023"/>
      <c r="AL58" s="1023"/>
      <c r="AM58" s="1023"/>
      <c r="AN58" s="1024"/>
    </row>
    <row r="59" spans="1:40">
      <c r="A59" s="41" t="s">
        <v>855</v>
      </c>
      <c r="B59" s="647"/>
      <c r="C59" s="39"/>
      <c r="D59" s="39" t="s">
        <v>857</v>
      </c>
      <c r="E59" s="39"/>
      <c r="F59" s="39"/>
      <c r="G59" s="39"/>
      <c r="H59" s="39"/>
      <c r="I59" s="39"/>
      <c r="J59" s="39"/>
      <c r="K59" s="39"/>
      <c r="L59" s="146" t="str">
        <f>IF(B59="Thimble","Central","Collecting")</f>
        <v>Collecting</v>
      </c>
      <c r="N59" s="650" t="s">
        <v>840</v>
      </c>
      <c r="P59" s="136"/>
      <c r="Q59" s="145" t="s">
        <v>330</v>
      </c>
      <c r="R59" s="137"/>
      <c r="S59" s="137"/>
      <c r="T59" s="137"/>
      <c r="U59" s="137"/>
      <c r="V59" s="137"/>
      <c r="W59" s="137"/>
      <c r="X59" s="137"/>
      <c r="Y59" s="867"/>
      <c r="AD59" s="409"/>
      <c r="AE59" s="433"/>
      <c r="AF59" s="1028" t="e">
        <f ca="1" xml:space="preserve"> "'"&amp;$AG$11&amp; $AE$11&amp;" V' on the front panel"</f>
        <v>#N/A</v>
      </c>
      <c r="AG59" s="1029"/>
      <c r="AH59" s="1029"/>
      <c r="AI59" s="1029"/>
      <c r="AJ59" s="1029"/>
      <c r="AK59" s="1029"/>
      <c r="AL59" s="1029"/>
      <c r="AM59" s="1029"/>
      <c r="AN59" s="1030"/>
    </row>
    <row r="60" spans="1:40">
      <c r="A60" s="41" t="s">
        <v>328</v>
      </c>
      <c r="B60" s="648"/>
      <c r="C60" s="39"/>
      <c r="D60" s="42" t="s">
        <v>913</v>
      </c>
      <c r="E60" s="39"/>
      <c r="F60" s="39"/>
      <c r="G60" s="39"/>
      <c r="H60" s="39"/>
      <c r="I60" s="39"/>
      <c r="J60" s="39"/>
      <c r="K60" s="39"/>
      <c r="L60" s="47"/>
      <c r="P60" s="139"/>
      <c r="Q60" s="898" t="s">
        <v>1222</v>
      </c>
      <c r="R60" s="140"/>
      <c r="S60" s="140"/>
      <c r="T60" s="140"/>
      <c r="U60" s="140"/>
      <c r="V60" s="140"/>
      <c r="W60" s="140"/>
      <c r="X60" s="140"/>
      <c r="Y60" s="868"/>
      <c r="AD60" s="430" t="s">
        <v>812</v>
      </c>
      <c r="AE60" s="431" t="s">
        <v>444</v>
      </c>
      <c r="AF60" s="406" t="str">
        <f>"The electrometer is an "&amp;AD60</f>
        <v>The electrometer is an NE 2570/1BS1</v>
      </c>
      <c r="AG60" s="406"/>
      <c r="AH60" s="406"/>
      <c r="AI60" s="406"/>
      <c r="AJ60" s="406"/>
      <c r="AK60" s="406"/>
      <c r="AL60" s="406"/>
      <c r="AM60" s="406"/>
      <c r="AN60" s="431"/>
    </row>
    <row r="61" spans="1:40" ht="15" customHeight="1">
      <c r="A61" s="40" t="s">
        <v>430</v>
      </c>
      <c r="B61" s="648"/>
      <c r="C61" s="39"/>
      <c r="D61" s="42" t="s">
        <v>501</v>
      </c>
      <c r="E61" s="39"/>
      <c r="F61" s="39"/>
      <c r="G61" s="39"/>
      <c r="H61" s="39"/>
      <c r="I61" s="39"/>
      <c r="J61" s="39"/>
      <c r="K61" s="39"/>
      <c r="L61" s="47"/>
      <c r="P61" s="142" t="s">
        <v>928</v>
      </c>
      <c r="Q61" s="405" t="s">
        <v>931</v>
      </c>
      <c r="R61" s="117"/>
      <c r="S61" s="117"/>
      <c r="T61" s="117"/>
      <c r="U61" s="117"/>
      <c r="V61" s="117"/>
      <c r="W61" s="117"/>
      <c r="X61" s="117"/>
      <c r="Y61" s="866">
        <v>30012</v>
      </c>
      <c r="AD61" s="407"/>
      <c r="AE61" s="432"/>
      <c r="AF61" s="1019" t="s">
        <v>862</v>
      </c>
      <c r="AG61" s="1020"/>
      <c r="AH61" s="1020"/>
      <c r="AI61" s="1020"/>
      <c r="AJ61" s="1020"/>
      <c r="AK61" s="1020"/>
      <c r="AL61" s="1020"/>
      <c r="AM61" s="1020"/>
      <c r="AN61" s="1021"/>
    </row>
    <row r="62" spans="1:40">
      <c r="A62" s="40" t="s">
        <v>415</v>
      </c>
      <c r="B62" s="648"/>
      <c r="C62" s="39"/>
      <c r="D62" s="42" t="s">
        <v>456</v>
      </c>
      <c r="E62" s="39"/>
      <c r="F62" s="182" t="str">
        <f>IF(B62=B33,"ok","Error: must be the same as thimble chamber")</f>
        <v>Error: must be the same as thimble chamber</v>
      </c>
      <c r="G62" s="39"/>
      <c r="H62" s="39"/>
      <c r="I62" s="39"/>
      <c r="J62" s="39"/>
      <c r="K62" s="39"/>
      <c r="L62" s="47"/>
      <c r="P62" s="136"/>
      <c r="Q62" s="914" t="s">
        <v>1322</v>
      </c>
      <c r="R62" s="137"/>
      <c r="S62" s="137"/>
      <c r="T62" s="137"/>
      <c r="U62" s="137"/>
      <c r="V62" s="137"/>
      <c r="W62" s="137"/>
      <c r="X62" s="137"/>
      <c r="Y62" s="867"/>
      <c r="AD62" s="407"/>
      <c r="AE62" s="432"/>
      <c r="AF62" s="1022"/>
      <c r="AG62" s="1023"/>
      <c r="AH62" s="1023"/>
      <c r="AI62" s="1023"/>
      <c r="AJ62" s="1023"/>
      <c r="AK62" s="1023"/>
      <c r="AL62" s="1023"/>
      <c r="AM62" s="1023"/>
      <c r="AN62" s="1024"/>
    </row>
    <row r="63" spans="1:40">
      <c r="A63" s="44" t="s">
        <v>331</v>
      </c>
      <c r="B63" s="647"/>
      <c r="C63" s="45"/>
      <c r="D63" s="170" t="s">
        <v>800</v>
      </c>
      <c r="E63" s="45"/>
      <c r="F63" s="45"/>
      <c r="G63" s="45"/>
      <c r="H63" s="45"/>
      <c r="I63" s="45"/>
      <c r="J63" s="45"/>
      <c r="K63" s="45"/>
      <c r="L63" s="181"/>
      <c r="P63" s="136"/>
      <c r="Q63" s="148" t="s">
        <v>932</v>
      </c>
      <c r="R63" s="137"/>
      <c r="S63" s="137"/>
      <c r="T63" s="137"/>
      <c r="U63" s="137"/>
      <c r="V63" s="137"/>
      <c r="W63" s="137"/>
      <c r="X63" s="137"/>
      <c r="Y63" s="867"/>
      <c r="AD63" s="407"/>
      <c r="AE63" s="432"/>
      <c r="AF63" s="1022"/>
      <c r="AG63" s="1023"/>
      <c r="AH63" s="1023"/>
      <c r="AI63" s="1023"/>
      <c r="AJ63" s="1023"/>
      <c r="AK63" s="1023"/>
      <c r="AL63" s="1023"/>
      <c r="AM63" s="1023"/>
      <c r="AN63" s="1024"/>
    </row>
    <row r="64" spans="1:40">
      <c r="P64" s="136"/>
      <c r="Q64" s="148" t="s">
        <v>327</v>
      </c>
      <c r="R64" s="137"/>
      <c r="S64" s="137"/>
      <c r="T64" s="137"/>
      <c r="U64" s="137"/>
      <c r="V64" s="137"/>
      <c r="W64" s="137"/>
      <c r="X64" s="137"/>
      <c r="Y64" s="867"/>
      <c r="AD64" s="407"/>
      <c r="AE64" s="432"/>
      <c r="AF64" s="1022"/>
      <c r="AG64" s="1023"/>
      <c r="AH64" s="1023"/>
      <c r="AI64" s="1023"/>
      <c r="AJ64" s="1023"/>
      <c r="AK64" s="1023"/>
      <c r="AL64" s="1023"/>
      <c r="AM64" s="1023"/>
      <c r="AN64" s="1024"/>
    </row>
    <row r="65" spans="1:40">
      <c r="P65" s="136"/>
      <c r="Q65" s="148" t="s">
        <v>1201</v>
      </c>
      <c r="R65" s="137"/>
      <c r="S65" s="137"/>
      <c r="T65" s="137" t="s">
        <v>879</v>
      </c>
      <c r="U65" s="137"/>
      <c r="V65" s="137"/>
      <c r="W65" s="137"/>
      <c r="X65" s="137"/>
      <c r="Y65" s="867"/>
      <c r="AD65" s="409"/>
      <c r="AE65" s="433"/>
      <c r="AF65" s="1028" t="str">
        <f>$AE$11&amp;"V with rear panel switches set to '-(NORMAL)' and 'V (NORMAL)'"</f>
        <v>242V with rear panel switches set to '-(NORMAL)' and 'V (NORMAL)'</v>
      </c>
      <c r="AG65" s="1029"/>
      <c r="AH65" s="1029"/>
      <c r="AI65" s="1029"/>
      <c r="AJ65" s="1029"/>
      <c r="AK65" s="1029"/>
      <c r="AL65" s="1029"/>
      <c r="AM65" s="1029"/>
      <c r="AN65" s="1030"/>
    </row>
    <row r="66" spans="1:40">
      <c r="A66" s="129" t="s">
        <v>302</v>
      </c>
      <c r="B66" s="130"/>
      <c r="C66" s="131"/>
      <c r="D66" s="131"/>
      <c r="E66" s="131"/>
      <c r="F66" s="131"/>
      <c r="G66" s="131"/>
      <c r="H66" s="131"/>
      <c r="I66" s="131"/>
      <c r="J66" s="131"/>
      <c r="K66" s="131"/>
      <c r="L66" s="132"/>
      <c r="P66" s="136"/>
      <c r="Q66" s="148" t="s">
        <v>330</v>
      </c>
      <c r="R66" s="137"/>
      <c r="S66" s="137"/>
      <c r="T66" s="137"/>
      <c r="U66" s="137"/>
      <c r="V66" s="137"/>
      <c r="W66" s="137"/>
      <c r="X66" s="137"/>
      <c r="Y66" s="867"/>
      <c r="AD66" s="142" t="s">
        <v>817</v>
      </c>
      <c r="AE66" s="168" t="s">
        <v>444</v>
      </c>
      <c r="AF66" s="144" t="str">
        <f>"The electrometer is an "&amp;AD66</f>
        <v>The electrometer is an NE 2670B</v>
      </c>
      <c r="AG66" s="117"/>
      <c r="AH66" s="117"/>
      <c r="AI66" s="117"/>
      <c r="AJ66" s="117"/>
      <c r="AK66" s="117"/>
      <c r="AL66" s="117"/>
      <c r="AM66" s="117"/>
      <c r="AN66" s="168"/>
    </row>
    <row r="67" spans="1:40">
      <c r="A67" s="40" t="s">
        <v>460</v>
      </c>
      <c r="B67" s="646"/>
      <c r="C67" s="39"/>
      <c r="D67" s="39" t="s">
        <v>323</v>
      </c>
      <c r="E67" s="39"/>
      <c r="F67" s="39"/>
      <c r="G67" s="39"/>
      <c r="H67" s="39"/>
      <c r="I67" s="39"/>
      <c r="J67" s="39"/>
      <c r="K67" s="39"/>
      <c r="L67" s="47"/>
      <c r="P67" s="139"/>
      <c r="Q67" s="898" t="s">
        <v>1222</v>
      </c>
      <c r="R67" s="140"/>
      <c r="S67" s="140"/>
      <c r="T67" s="140"/>
      <c r="U67" s="140"/>
      <c r="V67" s="140"/>
      <c r="W67" s="140"/>
      <c r="X67" s="140"/>
      <c r="Y67" s="868"/>
      <c r="AD67" s="136"/>
      <c r="AE67" s="138"/>
      <c r="AF67" s="1019" t="s">
        <v>831</v>
      </c>
      <c r="AG67" s="1020"/>
      <c r="AH67" s="1020"/>
      <c r="AI67" s="1020"/>
      <c r="AJ67" s="1020"/>
      <c r="AK67" s="1020"/>
      <c r="AL67" s="1020"/>
      <c r="AM67" s="1020"/>
      <c r="AN67" s="1021"/>
    </row>
    <row r="68" spans="1:40">
      <c r="A68" s="41" t="s">
        <v>333</v>
      </c>
      <c r="B68" s="910"/>
      <c r="C68" s="39" t="str">
        <f>IF(B68&lt;C69,"ERROR","")</f>
        <v/>
      </c>
      <c r="D68" s="908" t="s">
        <v>1435</v>
      </c>
      <c r="E68" s="39"/>
      <c r="F68" s="39"/>
      <c r="G68" s="39"/>
      <c r="H68" s="39"/>
      <c r="I68" s="39"/>
      <c r="J68" s="39"/>
      <c r="K68" s="39"/>
      <c r="L68" s="47"/>
      <c r="P68" s="142" t="s">
        <v>929</v>
      </c>
      <c r="Q68" s="405" t="s">
        <v>933</v>
      </c>
      <c r="R68" s="117"/>
      <c r="S68" s="117"/>
      <c r="T68" s="117"/>
      <c r="U68" s="117"/>
      <c r="V68" s="117"/>
      <c r="W68" s="117"/>
      <c r="X68" s="117"/>
      <c r="Y68" s="866" t="s">
        <v>687</v>
      </c>
      <c r="AD68" s="136"/>
      <c r="AE68" s="138"/>
      <c r="AF68" s="1022"/>
      <c r="AG68" s="1023"/>
      <c r="AH68" s="1023"/>
      <c r="AI68" s="1023"/>
      <c r="AJ68" s="1023"/>
      <c r="AK68" s="1023"/>
      <c r="AL68" s="1023"/>
      <c r="AM68" s="1023"/>
      <c r="AN68" s="1024"/>
    </row>
    <row r="69" spans="1:40">
      <c r="A69" s="41" t="s">
        <v>334</v>
      </c>
      <c r="B69" s="977" t="str">
        <f>LEX!L22</f>
        <v/>
      </c>
      <c r="C69" s="977" t="str">
        <f>LEX!L23</f>
        <v/>
      </c>
      <c r="D69" s="908" t="s">
        <v>1454</v>
      </c>
      <c r="E69" s="39"/>
      <c r="F69" s="39"/>
      <c r="G69" s="39"/>
      <c r="H69" s="39"/>
      <c r="I69" s="39"/>
      <c r="J69" s="39"/>
      <c r="K69" s="39"/>
      <c r="L69" s="47"/>
      <c r="P69" s="136"/>
      <c r="Q69" s="914" t="s">
        <v>1323</v>
      </c>
      <c r="R69" s="137"/>
      <c r="S69" s="137"/>
      <c r="T69" s="137"/>
      <c r="U69" s="137"/>
      <c r="V69" s="137"/>
      <c r="W69" s="137"/>
      <c r="X69" s="137"/>
      <c r="Y69" s="867"/>
      <c r="AD69" s="136"/>
      <c r="AE69" s="138"/>
      <c r="AF69" s="1022"/>
      <c r="AG69" s="1023"/>
      <c r="AH69" s="1023"/>
      <c r="AI69" s="1023"/>
      <c r="AJ69" s="1023"/>
      <c r="AK69" s="1023"/>
      <c r="AL69" s="1023"/>
      <c r="AM69" s="1023"/>
      <c r="AN69" s="1024"/>
    </row>
    <row r="70" spans="1:40">
      <c r="A70" s="41" t="s">
        <v>71</v>
      </c>
      <c r="B70" s="646"/>
      <c r="C70" s="39"/>
      <c r="D70" s="42" t="s">
        <v>615</v>
      </c>
      <c r="E70" s="39"/>
      <c r="F70" s="39"/>
      <c r="G70" s="39"/>
      <c r="H70" s="39"/>
      <c r="I70" s="39"/>
      <c r="J70" s="39"/>
      <c r="K70" s="39"/>
      <c r="L70" s="47"/>
      <c r="P70" s="136"/>
      <c r="Q70" s="148" t="s">
        <v>934</v>
      </c>
      <c r="R70" s="137"/>
      <c r="S70" s="137"/>
      <c r="T70" s="137"/>
      <c r="U70" s="137"/>
      <c r="V70" s="137"/>
      <c r="W70" s="137"/>
      <c r="X70" s="137"/>
      <c r="Y70" s="867"/>
      <c r="AD70" s="136"/>
      <c r="AE70" s="138"/>
      <c r="AF70" s="1022"/>
      <c r="AG70" s="1023"/>
      <c r="AH70" s="1023"/>
      <c r="AI70" s="1023"/>
      <c r="AJ70" s="1023"/>
      <c r="AK70" s="1023"/>
      <c r="AL70" s="1023"/>
      <c r="AM70" s="1023"/>
      <c r="AN70" s="1024"/>
    </row>
    <row r="71" spans="1:40">
      <c r="A71" s="41" t="s">
        <v>336</v>
      </c>
      <c r="B71" s="646"/>
      <c r="C71" s="39"/>
      <c r="D71" s="39" t="s">
        <v>337</v>
      </c>
      <c r="E71" s="39"/>
      <c r="F71" s="39"/>
      <c r="G71" s="39"/>
      <c r="H71" s="39"/>
      <c r="I71" s="39"/>
      <c r="J71" s="39"/>
      <c r="K71" s="39"/>
      <c r="L71" s="47"/>
      <c r="P71" s="136"/>
      <c r="Q71" s="148" t="s">
        <v>935</v>
      </c>
      <c r="R71" s="137"/>
      <c r="S71" s="137"/>
      <c r="T71" s="137"/>
      <c r="U71" s="137"/>
      <c r="V71" s="137"/>
      <c r="W71" s="137"/>
      <c r="X71" s="137"/>
      <c r="Y71" s="867"/>
      <c r="AD71" s="139"/>
      <c r="AE71" s="141"/>
      <c r="AF71" s="1028" t="str">
        <f>$AE$11&amp;"V with rear panel switches set to 'Type A' and 'Left'"</f>
        <v>242V with rear panel switches set to 'Type A' and 'Left'</v>
      </c>
      <c r="AG71" s="1029"/>
      <c r="AH71" s="1029"/>
      <c r="AI71" s="1029"/>
      <c r="AJ71" s="1029"/>
      <c r="AK71" s="1029"/>
      <c r="AL71" s="1029"/>
      <c r="AM71" s="1029"/>
      <c r="AN71" s="1030"/>
    </row>
    <row r="72" spans="1:40">
      <c r="A72" s="41" t="s">
        <v>338</v>
      </c>
      <c r="B72" s="707"/>
      <c r="C72" s="39"/>
      <c r="D72" s="39" t="s">
        <v>337</v>
      </c>
      <c r="E72" s="39"/>
      <c r="F72" s="39"/>
      <c r="G72" s="39"/>
      <c r="H72" s="39"/>
      <c r="I72" s="39"/>
      <c r="K72" s="216" t="s">
        <v>646</v>
      </c>
      <c r="L72" s="146" t="b">
        <f>IF(B71=B72,TRUE,FALSE)</f>
        <v>1</v>
      </c>
      <c r="P72" s="136"/>
      <c r="Q72" s="148" t="s">
        <v>1202</v>
      </c>
      <c r="R72" s="137"/>
      <c r="S72" s="137"/>
      <c r="T72" s="137" t="s">
        <v>937</v>
      </c>
      <c r="U72" s="137"/>
      <c r="V72" s="137"/>
      <c r="W72" s="137"/>
      <c r="X72" s="137"/>
      <c r="Y72" s="867"/>
      <c r="AD72" s="142" t="s">
        <v>457</v>
      </c>
      <c r="AE72" s="168" t="s">
        <v>445</v>
      </c>
      <c r="AF72" s="144" t="str">
        <f>"The electrometer is a "&amp;AD72</f>
        <v>The electrometer is a Standard Imaging MAX 4000 Plus</v>
      </c>
      <c r="AG72" s="117"/>
      <c r="AH72" s="117"/>
      <c r="AI72" s="117"/>
      <c r="AJ72" s="117"/>
      <c r="AK72" s="117"/>
      <c r="AL72" s="117"/>
      <c r="AM72" s="117"/>
      <c r="AN72" s="168"/>
    </row>
    <row r="73" spans="1:40">
      <c r="A73" s="44" t="s">
        <v>339</v>
      </c>
      <c r="B73" s="707"/>
      <c r="C73" s="45"/>
      <c r="D73" s="45" t="s">
        <v>1230</v>
      </c>
      <c r="E73" s="45"/>
      <c r="F73" s="45"/>
      <c r="G73" s="45"/>
      <c r="H73" s="45"/>
      <c r="I73" s="45"/>
      <c r="J73" s="45"/>
      <c r="K73" s="45"/>
      <c r="L73" s="43"/>
      <c r="P73" s="136"/>
      <c r="Q73" s="148" t="s">
        <v>398</v>
      </c>
      <c r="R73" s="137"/>
      <c r="S73" s="137"/>
      <c r="T73" s="137"/>
      <c r="U73" s="137"/>
      <c r="V73" s="137"/>
      <c r="W73" s="137"/>
      <c r="X73" s="137"/>
      <c r="Y73" s="867"/>
      <c r="AD73" s="136"/>
      <c r="AE73" s="138"/>
      <c r="AF73" s="1019" t="s">
        <v>861</v>
      </c>
      <c r="AG73" s="1020"/>
      <c r="AH73" s="1020"/>
      <c r="AI73" s="1020"/>
      <c r="AJ73" s="1020"/>
      <c r="AK73" s="1020"/>
      <c r="AL73" s="1020"/>
      <c r="AM73" s="1020"/>
      <c r="AN73" s="1021"/>
    </row>
    <row r="74" spans="1:40" ht="15" customHeight="1">
      <c r="P74" s="139"/>
      <c r="Q74" s="898" t="s">
        <v>1222</v>
      </c>
      <c r="R74" s="140"/>
      <c r="S74" s="140"/>
      <c r="T74" s="140"/>
      <c r="U74" s="140"/>
      <c r="V74" s="140"/>
      <c r="W74" s="140"/>
      <c r="X74" s="140"/>
      <c r="Y74" s="868"/>
      <c r="AD74" s="136"/>
      <c r="AE74" s="138"/>
      <c r="AF74" s="1022"/>
      <c r="AG74" s="1023"/>
      <c r="AH74" s="1023"/>
      <c r="AI74" s="1023"/>
      <c r="AJ74" s="1023"/>
      <c r="AK74" s="1023"/>
      <c r="AL74" s="1023"/>
      <c r="AM74" s="1023"/>
      <c r="AN74" s="1024"/>
    </row>
    <row r="75" spans="1:40">
      <c r="P75" s="172" t="s">
        <v>930</v>
      </c>
      <c r="Q75" s="405" t="s">
        <v>938</v>
      </c>
      <c r="R75" s="137"/>
      <c r="S75" s="137"/>
      <c r="T75" s="137"/>
      <c r="U75" s="137"/>
      <c r="V75" s="137"/>
      <c r="W75" s="137"/>
      <c r="X75" s="137"/>
      <c r="Y75" s="872" t="s">
        <v>691</v>
      </c>
      <c r="AD75" s="136"/>
      <c r="AE75" s="138"/>
      <c r="AF75" s="1022"/>
      <c r="AG75" s="1023"/>
      <c r="AH75" s="1023"/>
      <c r="AI75" s="1023"/>
      <c r="AJ75" s="1023"/>
      <c r="AK75" s="1023"/>
      <c r="AL75" s="1023"/>
      <c r="AM75" s="1023"/>
      <c r="AN75" s="1024"/>
    </row>
    <row r="76" spans="1:40">
      <c r="P76" s="136"/>
      <c r="Q76" s="913" t="s">
        <v>1324</v>
      </c>
      <c r="R76" s="137"/>
      <c r="S76" s="137"/>
      <c r="T76" s="137"/>
      <c r="U76" s="137"/>
      <c r="V76" s="137"/>
      <c r="W76" s="137"/>
      <c r="X76" s="137"/>
      <c r="Y76" s="867"/>
      <c r="AD76" s="136"/>
      <c r="AE76" s="138"/>
      <c r="AF76" s="1022"/>
      <c r="AG76" s="1023"/>
      <c r="AH76" s="1023"/>
      <c r="AI76" s="1023"/>
      <c r="AJ76" s="1023"/>
      <c r="AK76" s="1023"/>
      <c r="AL76" s="1023"/>
      <c r="AM76" s="1023"/>
      <c r="AN76" s="1024"/>
    </row>
    <row r="77" spans="1:40">
      <c r="P77" s="136"/>
      <c r="Q77" s="148" t="s">
        <v>939</v>
      </c>
      <c r="R77" s="137"/>
      <c r="S77" s="137"/>
      <c r="T77" s="137"/>
      <c r="U77" s="137"/>
      <c r="V77" s="137"/>
      <c r="W77" s="137"/>
      <c r="X77" s="137"/>
      <c r="Y77" s="867"/>
      <c r="AD77" s="139"/>
      <c r="AE77" s="141"/>
      <c r="AF77" s="1028" t="e">
        <f ca="1" xml:space="preserve"> "'"&amp;$AG$11&amp; $AE$11&amp;" V' on the front panel"</f>
        <v>#N/A</v>
      </c>
      <c r="AG77" s="1029"/>
      <c r="AH77" s="1029"/>
      <c r="AI77" s="1029"/>
      <c r="AJ77" s="1029"/>
      <c r="AK77" s="1029"/>
      <c r="AL77" s="1029"/>
      <c r="AM77" s="1029"/>
      <c r="AN77" s="1030"/>
    </row>
    <row r="78" spans="1:40" ht="15" customHeight="1">
      <c r="A78" s="350"/>
      <c r="P78" s="136"/>
      <c r="Q78" s="148" t="s">
        <v>935</v>
      </c>
      <c r="R78" s="137"/>
      <c r="S78" s="137"/>
      <c r="T78" s="137"/>
      <c r="U78" s="137"/>
      <c r="V78" s="137"/>
      <c r="W78" s="137"/>
      <c r="X78" s="137"/>
      <c r="Y78" s="867"/>
      <c r="AD78" s="142" t="s">
        <v>815</v>
      </c>
      <c r="AE78" s="168" t="s">
        <v>445</v>
      </c>
      <c r="AF78" s="144" t="str">
        <f>"The electrometer is a "&amp;AD78</f>
        <v>The electrometer is a Standard Imaging MAX 4001</v>
      </c>
      <c r="AG78" s="117"/>
      <c r="AH78" s="117"/>
      <c r="AI78" s="117"/>
      <c r="AJ78" s="117"/>
      <c r="AK78" s="117"/>
      <c r="AL78" s="117"/>
      <c r="AM78" s="117"/>
      <c r="AN78" s="168"/>
    </row>
    <row r="79" spans="1:40">
      <c r="A79" s="394" t="s">
        <v>723</v>
      </c>
      <c r="B79" s="395" t="s">
        <v>805</v>
      </c>
      <c r="C79" s="396"/>
      <c r="D79" s="396"/>
      <c r="E79" s="396"/>
      <c r="F79" s="396"/>
      <c r="G79" s="396"/>
      <c r="H79" s="396"/>
      <c r="I79" s="396"/>
      <c r="J79" s="396"/>
      <c r="K79" s="396"/>
      <c r="L79" s="397"/>
      <c r="P79" s="136"/>
      <c r="Q79" s="148" t="s">
        <v>940</v>
      </c>
      <c r="R79" s="137"/>
      <c r="S79" s="137"/>
      <c r="T79" s="137"/>
      <c r="U79" s="137"/>
      <c r="V79" s="137"/>
      <c r="W79" s="137"/>
      <c r="X79" s="137"/>
      <c r="Y79" s="867"/>
      <c r="AD79" s="136"/>
      <c r="AE79" s="138"/>
      <c r="AF79" s="1019" t="s">
        <v>861</v>
      </c>
      <c r="AG79" s="1020"/>
      <c r="AH79" s="1020"/>
      <c r="AI79" s="1020"/>
      <c r="AJ79" s="1020"/>
      <c r="AK79" s="1020"/>
      <c r="AL79" s="1020"/>
      <c r="AM79" s="1020"/>
      <c r="AN79" s="1021"/>
    </row>
    <row r="80" spans="1:40">
      <c r="A80" s="133" t="s">
        <v>393</v>
      </c>
      <c r="B80" s="708"/>
      <c r="C80" s="48"/>
      <c r="D80" s="46" t="s">
        <v>724</v>
      </c>
      <c r="E80" s="48"/>
      <c r="F80" s="48"/>
      <c r="G80" s="48"/>
      <c r="H80" s="48"/>
      <c r="I80" s="48"/>
      <c r="J80" s="48"/>
      <c r="K80" s="48"/>
      <c r="L80" s="49"/>
      <c r="P80" s="136"/>
      <c r="Q80" s="148" t="s">
        <v>398</v>
      </c>
      <c r="R80" s="137"/>
      <c r="S80" s="137"/>
      <c r="T80" s="137"/>
      <c r="U80" s="137"/>
      <c r="V80" s="137"/>
      <c r="W80" s="137"/>
      <c r="X80" s="137"/>
      <c r="Y80" s="867"/>
      <c r="AD80" s="136"/>
      <c r="AE80" s="138"/>
      <c r="AF80" s="1022"/>
      <c r="AG80" s="1023"/>
      <c r="AH80" s="1023"/>
      <c r="AI80" s="1023"/>
      <c r="AJ80" s="1023"/>
      <c r="AK80" s="1023"/>
      <c r="AL80" s="1023"/>
      <c r="AM80" s="1023"/>
      <c r="AN80" s="1024"/>
    </row>
    <row r="81" spans="1:40">
      <c r="A81" s="40" t="s">
        <v>83</v>
      </c>
      <c r="B81" s="708"/>
      <c r="C81" s="39"/>
      <c r="D81" s="39" t="s">
        <v>326</v>
      </c>
      <c r="E81" s="39"/>
      <c r="F81" s="39"/>
      <c r="G81" s="39"/>
      <c r="H81" s="39"/>
      <c r="I81" s="39"/>
      <c r="J81" s="39"/>
      <c r="K81" s="39"/>
      <c r="L81" s="47"/>
      <c r="P81" s="136"/>
      <c r="Q81" s="898" t="s">
        <v>1222</v>
      </c>
      <c r="R81" s="137"/>
      <c r="S81" s="137"/>
      <c r="T81" s="137"/>
      <c r="U81" s="137"/>
      <c r="V81" s="137"/>
      <c r="W81" s="137"/>
      <c r="X81" s="137"/>
      <c r="Y81" s="867"/>
      <c r="AD81" s="136"/>
      <c r="AE81" s="138"/>
      <c r="AF81" s="1022"/>
      <c r="AG81" s="1023"/>
      <c r="AH81" s="1023"/>
      <c r="AI81" s="1023"/>
      <c r="AJ81" s="1023"/>
      <c r="AK81" s="1023"/>
      <c r="AL81" s="1023"/>
      <c r="AM81" s="1023"/>
      <c r="AN81" s="1024"/>
    </row>
    <row r="82" spans="1:40">
      <c r="A82" s="41" t="s">
        <v>328</v>
      </c>
      <c r="B82" s="953"/>
      <c r="C82" s="39"/>
      <c r="D82" s="42" t="s">
        <v>1076</v>
      </c>
      <c r="E82" s="39"/>
      <c r="F82" s="39"/>
      <c r="G82" s="39"/>
      <c r="H82" s="39"/>
      <c r="I82" s="39"/>
      <c r="J82" s="39"/>
      <c r="K82" s="39"/>
      <c r="L82" s="47"/>
      <c r="P82" s="142" t="s">
        <v>467</v>
      </c>
      <c r="Q82" s="144" t="s">
        <v>470</v>
      </c>
      <c r="R82" s="117"/>
      <c r="S82" s="117"/>
      <c r="T82" s="117"/>
      <c r="U82" s="117"/>
      <c r="V82" s="117"/>
      <c r="W82" s="117"/>
      <c r="X82" s="117"/>
      <c r="Y82" s="866">
        <v>23342</v>
      </c>
      <c r="AD82" s="136"/>
      <c r="AE82" s="138"/>
      <c r="AF82" s="1022"/>
      <c r="AG82" s="1023"/>
      <c r="AH82" s="1023"/>
      <c r="AI82" s="1023"/>
      <c r="AJ82" s="1023"/>
      <c r="AK82" s="1023"/>
      <c r="AL82" s="1023"/>
      <c r="AM82" s="1023"/>
      <c r="AN82" s="1024"/>
    </row>
    <row r="83" spans="1:40">
      <c r="A83" s="40" t="s">
        <v>430</v>
      </c>
      <c r="B83" s="953"/>
      <c r="C83" s="39"/>
      <c r="D83" s="42"/>
      <c r="E83" s="39"/>
      <c r="F83" s="39"/>
      <c r="G83" s="39"/>
      <c r="H83" s="39"/>
      <c r="I83" s="39"/>
      <c r="J83" s="39"/>
      <c r="K83" s="39"/>
      <c r="L83" s="47"/>
      <c r="P83" s="136"/>
      <c r="Q83" s="145" t="s">
        <v>516</v>
      </c>
      <c r="R83" s="137"/>
      <c r="S83" s="137"/>
      <c r="T83" s="137"/>
      <c r="U83" s="137"/>
      <c r="V83" s="137"/>
      <c r="W83" s="137"/>
      <c r="X83" s="137"/>
      <c r="Y83" s="867"/>
      <c r="AD83" s="139"/>
      <c r="AE83" s="141"/>
      <c r="AF83" s="1028" t="e">
        <f ca="1" xml:space="preserve"> "'"&amp;$AG$11&amp; $AE$11&amp;" V' on the front panel"</f>
        <v>#N/A</v>
      </c>
      <c r="AG83" s="1029"/>
      <c r="AH83" s="1029"/>
      <c r="AI83" s="1029"/>
      <c r="AJ83" s="1029"/>
      <c r="AK83" s="1029"/>
      <c r="AL83" s="1029"/>
      <c r="AM83" s="1029"/>
      <c r="AN83" s="1030"/>
    </row>
    <row r="84" spans="1:40">
      <c r="A84" s="40" t="s">
        <v>415</v>
      </c>
      <c r="B84" s="911"/>
      <c r="C84" s="39"/>
      <c r="D84" s="42" t="s">
        <v>456</v>
      </c>
      <c r="E84" s="39"/>
      <c r="F84" s="182" t="str">
        <f>IF(B84=B33,"ok","Warning: is the polarity the same as thimble chamber?")</f>
        <v>Warning: is the polarity the same as thimble chamber?</v>
      </c>
      <c r="G84" s="39"/>
      <c r="H84" s="39"/>
      <c r="I84" s="39"/>
      <c r="J84" s="39"/>
      <c r="K84" s="39"/>
      <c r="L84" s="47"/>
      <c r="P84" s="136"/>
      <c r="Q84" s="145" t="s">
        <v>514</v>
      </c>
      <c r="R84" s="137"/>
      <c r="S84" s="137"/>
      <c r="T84" s="137"/>
      <c r="U84" s="137"/>
      <c r="V84" s="137"/>
      <c r="W84" s="137"/>
      <c r="X84" s="137"/>
      <c r="Y84" s="867"/>
      <c r="AD84" s="755" t="s">
        <v>869</v>
      </c>
      <c r="AE84" s="756" t="s">
        <v>445</v>
      </c>
      <c r="AF84" s="750" t="str">
        <f>"The electrometer is a "&amp;AD84</f>
        <v>The electrometer is a Keithley 6517A</v>
      </c>
      <c r="AG84" s="406"/>
      <c r="AH84" s="406"/>
      <c r="AI84" s="406"/>
      <c r="AJ84" s="406"/>
      <c r="AK84" s="406"/>
      <c r="AL84" s="406"/>
      <c r="AM84" s="406"/>
      <c r="AN84" s="757"/>
    </row>
    <row r="85" spans="1:40" ht="15" customHeight="1">
      <c r="A85" s="44" t="s">
        <v>331</v>
      </c>
      <c r="B85" s="708"/>
      <c r="C85" s="45"/>
      <c r="D85" s="170" t="s">
        <v>800</v>
      </c>
      <c r="E85" s="45"/>
      <c r="F85" s="45"/>
      <c r="G85" s="45"/>
      <c r="H85" s="45"/>
      <c r="I85" s="45"/>
      <c r="J85" s="45"/>
      <c r="K85" s="45"/>
      <c r="L85" s="181"/>
      <c r="P85" s="136"/>
      <c r="Q85" s="148" t="s">
        <v>509</v>
      </c>
      <c r="R85" s="137"/>
      <c r="S85" s="137"/>
      <c r="T85" s="137"/>
      <c r="U85" s="137"/>
      <c r="V85" s="137"/>
      <c r="W85" s="137"/>
      <c r="X85" s="137"/>
      <c r="Y85" s="867"/>
      <c r="AD85" s="407"/>
      <c r="AE85" s="432"/>
      <c r="AF85" s="1019" t="s">
        <v>871</v>
      </c>
      <c r="AG85" s="1020"/>
      <c r="AH85" s="1020"/>
      <c r="AI85" s="1020"/>
      <c r="AJ85" s="1020"/>
      <c r="AK85" s="1020"/>
      <c r="AL85" s="1020"/>
      <c r="AM85" s="1020"/>
      <c r="AN85" s="1021"/>
    </row>
    <row r="86" spans="1:40">
      <c r="P86" s="136"/>
      <c r="Q86" s="148" t="s">
        <v>512</v>
      </c>
      <c r="R86" s="137"/>
      <c r="S86" s="137"/>
      <c r="T86" s="137"/>
      <c r="U86" s="137"/>
      <c r="V86" s="137"/>
      <c r="W86" s="137"/>
      <c r="X86" s="137"/>
      <c r="Y86" s="867"/>
      <c r="AD86" s="407"/>
      <c r="AE86" s="432"/>
      <c r="AF86" s="1022"/>
      <c r="AG86" s="1023"/>
      <c r="AH86" s="1023"/>
      <c r="AI86" s="1023"/>
      <c r="AJ86" s="1023"/>
      <c r="AK86" s="1023"/>
      <c r="AL86" s="1023"/>
      <c r="AM86" s="1023"/>
      <c r="AN86" s="1024"/>
    </row>
    <row r="87" spans="1:40">
      <c r="P87" s="136"/>
      <c r="Q87" s="145" t="s">
        <v>330</v>
      </c>
      <c r="R87" s="137"/>
      <c r="S87" s="137"/>
      <c r="T87" s="137"/>
      <c r="U87" s="137"/>
      <c r="V87" s="137"/>
      <c r="W87" s="137"/>
      <c r="X87" s="137"/>
      <c r="Y87" s="867"/>
      <c r="AD87" s="407"/>
      <c r="AE87" s="432"/>
      <c r="AF87" s="1022"/>
      <c r="AG87" s="1023"/>
      <c r="AH87" s="1023"/>
      <c r="AI87" s="1023"/>
      <c r="AJ87" s="1023"/>
      <c r="AK87" s="1023"/>
      <c r="AL87" s="1023"/>
      <c r="AM87" s="1023"/>
      <c r="AN87" s="1024"/>
    </row>
    <row r="88" spans="1:40">
      <c r="A88" s="129" t="s">
        <v>722</v>
      </c>
      <c r="B88" s="130"/>
      <c r="C88" s="131"/>
      <c r="D88" s="131"/>
      <c r="E88" s="131"/>
      <c r="F88" s="131"/>
      <c r="G88" s="131"/>
      <c r="H88" s="131"/>
      <c r="I88" s="131"/>
      <c r="J88" s="131"/>
      <c r="K88" s="131"/>
      <c r="L88" s="132"/>
      <c r="P88" s="139"/>
      <c r="Q88" s="173" t="s">
        <v>471</v>
      </c>
      <c r="R88" s="140"/>
      <c r="S88" s="140"/>
      <c r="T88" s="140"/>
      <c r="U88" s="140"/>
      <c r="V88" s="140"/>
      <c r="W88" s="140"/>
      <c r="X88" s="140"/>
      <c r="Y88" s="868"/>
      <c r="AD88" s="407"/>
      <c r="AE88" s="432"/>
      <c r="AF88" s="1022"/>
      <c r="AG88" s="1023"/>
      <c r="AH88" s="1023"/>
      <c r="AI88" s="1023"/>
      <c r="AJ88" s="1023"/>
      <c r="AK88" s="1023"/>
      <c r="AL88" s="1023"/>
      <c r="AM88" s="1023"/>
      <c r="AN88" s="1024"/>
    </row>
    <row r="89" spans="1:40" ht="15" customHeight="1">
      <c r="A89" s="40" t="s">
        <v>1055</v>
      </c>
      <c r="B89" s="707" t="s">
        <v>1520</v>
      </c>
      <c r="C89" s="39"/>
      <c r="D89" s="39" t="s">
        <v>323</v>
      </c>
      <c r="E89" s="39"/>
      <c r="F89" s="39"/>
      <c r="G89" s="39"/>
      <c r="H89" s="39"/>
      <c r="I89" s="39"/>
      <c r="J89" s="39"/>
      <c r="K89" s="39"/>
      <c r="L89" s="47"/>
      <c r="P89" s="142" t="s">
        <v>468</v>
      </c>
      <c r="Q89" s="144" t="s">
        <v>469</v>
      </c>
      <c r="R89" s="117"/>
      <c r="S89" s="117"/>
      <c r="T89" s="117"/>
      <c r="U89" s="117"/>
      <c r="V89" s="117"/>
      <c r="W89" s="117"/>
      <c r="X89" s="117"/>
      <c r="Y89" s="866">
        <v>23344</v>
      </c>
      <c r="AD89" s="409"/>
      <c r="AE89" s="433"/>
      <c r="AF89" s="1028" t="e">
        <f ca="1" xml:space="preserve"> "'"&amp;$AG$11&amp; $AE$11&amp;" V' on the front panel"</f>
        <v>#N/A</v>
      </c>
      <c r="AG89" s="1029"/>
      <c r="AH89" s="1029"/>
      <c r="AI89" s="1029"/>
      <c r="AJ89" s="1029"/>
      <c r="AK89" s="1029"/>
      <c r="AL89" s="1029"/>
      <c r="AM89" s="1029"/>
      <c r="AN89" s="1030"/>
    </row>
    <row r="90" spans="1:40">
      <c r="A90" s="41" t="s">
        <v>333</v>
      </c>
      <c r="B90" s="910"/>
      <c r="C90" s="39" t="str">
        <f>IF(B90&lt;C91,"ERROR","")</f>
        <v/>
      </c>
      <c r="D90" s="908" t="s">
        <v>1435</v>
      </c>
      <c r="E90" s="39"/>
      <c r="F90" s="39"/>
      <c r="G90" s="39"/>
      <c r="H90" s="39"/>
      <c r="J90" s="974" t="s">
        <v>1439</v>
      </c>
      <c r="K90" s="974" t="s">
        <v>1437</v>
      </c>
      <c r="L90" s="974" t="s">
        <v>1438</v>
      </c>
      <c r="P90" s="136"/>
      <c r="Q90" s="145" t="s">
        <v>516</v>
      </c>
      <c r="R90" s="137"/>
      <c r="S90" s="137"/>
      <c r="T90" s="137"/>
      <c r="U90" s="137"/>
      <c r="V90" s="137"/>
      <c r="W90" s="137"/>
      <c r="X90" s="137"/>
      <c r="Y90" s="867"/>
      <c r="AD90" s="755" t="s">
        <v>1100</v>
      </c>
      <c r="AE90" s="756" t="s">
        <v>444</v>
      </c>
      <c r="AF90" s="144" t="str">
        <f>"The electrometer is a "&amp;AD90</f>
        <v>The electrometer is a PTW UNIDOS T10001</v>
      </c>
      <c r="AG90" s="117"/>
      <c r="AH90" s="117"/>
      <c r="AI90" s="117"/>
      <c r="AJ90" s="117"/>
      <c r="AK90" s="117"/>
      <c r="AL90" s="117"/>
      <c r="AM90" s="117"/>
      <c r="AN90" s="168"/>
    </row>
    <row r="91" spans="1:40" ht="15" customHeight="1">
      <c r="A91" s="973" t="s">
        <v>1440</v>
      </c>
      <c r="B91" s="977" t="str">
        <f>'MV-P'!M6</f>
        <v/>
      </c>
      <c r="C91" s="977" t="str">
        <f>'MV-P'!M7</f>
        <v/>
      </c>
      <c r="D91" s="908" t="s">
        <v>1443</v>
      </c>
      <c r="E91" s="39"/>
      <c r="F91" s="39"/>
      <c r="G91" s="39"/>
      <c r="H91" s="39"/>
      <c r="J91" s="909"/>
      <c r="K91" s="992">
        <f>MIN(B91,B40)</f>
        <v>0</v>
      </c>
      <c r="L91" s="992">
        <f>MAX(C91,C40)</f>
        <v>0</v>
      </c>
      <c r="P91" s="136"/>
      <c r="Q91" s="145" t="s">
        <v>514</v>
      </c>
      <c r="R91" s="137"/>
      <c r="S91" s="137"/>
      <c r="T91" s="137"/>
      <c r="U91" s="137"/>
      <c r="V91" s="137"/>
      <c r="W91" s="137"/>
      <c r="X91" s="137"/>
      <c r="Y91" s="867"/>
      <c r="AD91" s="407"/>
      <c r="AE91" s="432"/>
      <c r="AF91" s="1019" t="s">
        <v>889</v>
      </c>
      <c r="AG91" s="1020"/>
      <c r="AH91" s="1020"/>
      <c r="AI91" s="1020"/>
      <c r="AJ91" s="1020"/>
      <c r="AK91" s="1020"/>
      <c r="AL91" s="1020"/>
      <c r="AM91" s="1020"/>
      <c r="AN91" s="1021"/>
    </row>
    <row r="92" spans="1:40">
      <c r="A92" s="41" t="s">
        <v>71</v>
      </c>
      <c r="B92" s="707"/>
      <c r="C92" s="39"/>
      <c r="D92" s="42" t="s">
        <v>615</v>
      </c>
      <c r="E92" s="39"/>
      <c r="F92" s="39"/>
      <c r="G92" s="39"/>
      <c r="H92" s="39"/>
      <c r="I92" s="39"/>
      <c r="J92" s="39"/>
      <c r="K92" s="39"/>
      <c r="L92" s="47"/>
      <c r="P92" s="136"/>
      <c r="Q92" s="148" t="s">
        <v>508</v>
      </c>
      <c r="R92" s="137"/>
      <c r="S92" s="137"/>
      <c r="T92" s="137"/>
      <c r="U92" s="137"/>
      <c r="V92" s="137"/>
      <c r="W92" s="137"/>
      <c r="X92" s="137"/>
      <c r="Y92" s="867"/>
      <c r="AD92" s="407"/>
      <c r="AE92" s="432"/>
      <c r="AF92" s="1022"/>
      <c r="AG92" s="1023"/>
      <c r="AH92" s="1023"/>
      <c r="AI92" s="1023"/>
      <c r="AJ92" s="1023"/>
      <c r="AK92" s="1023"/>
      <c r="AL92" s="1023"/>
      <c r="AM92" s="1023"/>
      <c r="AN92" s="1024"/>
    </row>
    <row r="93" spans="1:40">
      <c r="A93" s="41" t="s">
        <v>336</v>
      </c>
      <c r="B93" s="707"/>
      <c r="C93" s="39"/>
      <c r="D93" s="39" t="s">
        <v>337</v>
      </c>
      <c r="E93" s="39"/>
      <c r="F93" s="39"/>
      <c r="G93" s="39"/>
      <c r="H93" s="39"/>
      <c r="I93" s="39"/>
      <c r="J93" s="39"/>
      <c r="K93" s="943" t="s">
        <v>1384</v>
      </c>
      <c r="L93" s="146" t="b">
        <f>IF(B42=B93,TRUE,FALSE)</f>
        <v>1</v>
      </c>
      <c r="P93" s="136"/>
      <c r="Q93" s="148" t="s">
        <v>513</v>
      </c>
      <c r="R93" s="137"/>
      <c r="S93" s="137"/>
      <c r="T93" s="137"/>
      <c r="U93" s="137"/>
      <c r="V93" s="137"/>
      <c r="W93" s="137"/>
      <c r="X93" s="137"/>
      <c r="Y93" s="867"/>
      <c r="AD93" s="407"/>
      <c r="AE93" s="432"/>
      <c r="AF93" s="1022"/>
      <c r="AG93" s="1023"/>
      <c r="AH93" s="1023"/>
      <c r="AI93" s="1023"/>
      <c r="AJ93" s="1023"/>
      <c r="AK93" s="1023"/>
      <c r="AL93" s="1023"/>
      <c r="AM93" s="1023"/>
      <c r="AN93" s="1024"/>
    </row>
    <row r="94" spans="1:40">
      <c r="A94" s="41" t="s">
        <v>338</v>
      </c>
      <c r="B94" s="707"/>
      <c r="C94" s="39"/>
      <c r="D94" s="39" t="s">
        <v>337</v>
      </c>
      <c r="E94" s="39"/>
      <c r="F94" s="39"/>
      <c r="G94" s="39"/>
      <c r="H94" s="39"/>
      <c r="I94" s="39"/>
      <c r="K94" s="216" t="s">
        <v>646</v>
      </c>
      <c r="L94" s="146" t="b">
        <f>IF(B93=B94,TRUE,FALSE)</f>
        <v>1</v>
      </c>
      <c r="P94" s="136"/>
      <c r="Q94" s="145" t="s">
        <v>330</v>
      </c>
      <c r="R94" s="137"/>
      <c r="S94" s="137"/>
      <c r="T94" s="137"/>
      <c r="U94" s="137"/>
      <c r="V94" s="137"/>
      <c r="W94" s="137"/>
      <c r="X94" s="137"/>
      <c r="Y94" s="867"/>
      <c r="AD94" s="407"/>
      <c r="AE94" s="432"/>
      <c r="AF94" s="1022"/>
      <c r="AG94" s="1023"/>
      <c r="AH94" s="1023"/>
      <c r="AI94" s="1023"/>
      <c r="AJ94" s="1023"/>
      <c r="AK94" s="1023"/>
      <c r="AL94" s="1023"/>
      <c r="AM94" s="1023"/>
      <c r="AN94" s="1024"/>
    </row>
    <row r="95" spans="1:40" ht="15" customHeight="1">
      <c r="A95" s="44" t="s">
        <v>339</v>
      </c>
      <c r="B95" s="707"/>
      <c r="C95" s="45"/>
      <c r="D95" s="45" t="s">
        <v>1230</v>
      </c>
      <c r="E95" s="45"/>
      <c r="F95" s="45"/>
      <c r="G95" s="45"/>
      <c r="H95" s="45"/>
      <c r="I95" s="45"/>
      <c r="J95" s="45"/>
      <c r="K95" s="45"/>
      <c r="L95" s="43"/>
      <c r="P95" s="139"/>
      <c r="Q95" s="173" t="s">
        <v>471</v>
      </c>
      <c r="R95" s="140"/>
      <c r="S95" s="140"/>
      <c r="T95" s="140"/>
      <c r="U95" s="140"/>
      <c r="V95" s="140"/>
      <c r="W95" s="140"/>
      <c r="X95" s="140"/>
      <c r="Y95" s="868"/>
      <c r="AD95" s="409"/>
      <c r="AE95" s="433"/>
      <c r="AF95" s="1028" t="str">
        <f xml:space="preserve"> "'"&amp;$AE$11&amp;" V' on the front panel with the rear HV-Polarity switch set to '"&amp;AG83&amp;"'"</f>
        <v>'242 V' on the front panel with the rear HV-Polarity switch set to ''</v>
      </c>
      <c r="AG95" s="1029"/>
      <c r="AH95" s="1029"/>
      <c r="AI95" s="1029"/>
      <c r="AJ95" s="1029"/>
      <c r="AK95" s="1029"/>
      <c r="AL95" s="1029"/>
      <c r="AM95" s="1029"/>
      <c r="AN95" s="1030"/>
    </row>
    <row r="96" spans="1:40" ht="12.75">
      <c r="B96"/>
      <c r="P96" s="430" t="s">
        <v>1098</v>
      </c>
      <c r="Q96" s="405" t="s">
        <v>1099</v>
      </c>
      <c r="R96" s="750"/>
      <c r="S96" s="750"/>
      <c r="T96" s="750"/>
      <c r="U96" s="750"/>
      <c r="V96" s="750"/>
      <c r="W96" s="750"/>
      <c r="X96" s="750"/>
      <c r="Y96" s="874" t="s">
        <v>1095</v>
      </c>
      <c r="AD96" s="755" t="s">
        <v>1101</v>
      </c>
      <c r="AE96" s="756" t="s">
        <v>445</v>
      </c>
      <c r="AF96" s="750" t="str">
        <f>"The electrometer is a "&amp;AD96</f>
        <v>The electrometer is a Keithley 35040</v>
      </c>
      <c r="AG96" s="750"/>
      <c r="AH96" s="750"/>
      <c r="AI96" s="750"/>
      <c r="AJ96" s="750"/>
      <c r="AK96" s="750"/>
      <c r="AL96" s="750"/>
      <c r="AM96" s="750"/>
      <c r="AN96" s="786"/>
    </row>
    <row r="97" spans="1:40" ht="12.75">
      <c r="B97"/>
      <c r="P97" s="751"/>
      <c r="Q97" s="148" t="s">
        <v>797</v>
      </c>
      <c r="R97" s="752"/>
      <c r="S97" s="752"/>
      <c r="T97" s="752"/>
      <c r="U97" s="752"/>
      <c r="V97" s="752"/>
      <c r="W97" s="752"/>
      <c r="X97" s="752"/>
      <c r="Y97" s="875"/>
      <c r="AD97" s="751"/>
      <c r="AE97" s="787"/>
      <c r="AF97" s="1040" t="s">
        <v>861</v>
      </c>
      <c r="AG97" s="1041"/>
      <c r="AH97" s="1041"/>
      <c r="AI97" s="1041"/>
      <c r="AJ97" s="1041"/>
      <c r="AK97" s="1041"/>
      <c r="AL97" s="1041"/>
      <c r="AM97" s="1041"/>
      <c r="AN97" s="1042"/>
    </row>
    <row r="98" spans="1:40">
      <c r="A98" s="129" t="s">
        <v>720</v>
      </c>
      <c r="B98" s="130"/>
      <c r="C98" s="131"/>
      <c r="D98" s="131"/>
      <c r="E98" s="131"/>
      <c r="F98" s="131"/>
      <c r="G98" s="131"/>
      <c r="H98" s="131"/>
      <c r="I98" s="131"/>
      <c r="J98" s="131"/>
      <c r="K98" s="131"/>
      <c r="L98" s="132"/>
      <c r="P98" s="751"/>
      <c r="Q98" s="148" t="s">
        <v>919</v>
      </c>
      <c r="R98" s="752"/>
      <c r="S98" s="752"/>
      <c r="T98" s="752"/>
      <c r="U98" s="752"/>
      <c r="V98" s="752"/>
      <c r="W98" s="752"/>
      <c r="X98" s="752"/>
      <c r="Y98" s="875"/>
      <c r="AD98" s="751"/>
      <c r="AE98" s="787"/>
      <c r="AF98" s="1043"/>
      <c r="AG98" s="1044"/>
      <c r="AH98" s="1044"/>
      <c r="AI98" s="1044"/>
      <c r="AJ98" s="1044"/>
      <c r="AK98" s="1044"/>
      <c r="AL98" s="1044"/>
      <c r="AM98" s="1044"/>
      <c r="AN98" s="1045"/>
    </row>
    <row r="99" spans="1:40">
      <c r="A99" s="40" t="s">
        <v>721</v>
      </c>
      <c r="B99" s="707"/>
      <c r="C99" s="39"/>
      <c r="D99" s="39" t="s">
        <v>323</v>
      </c>
      <c r="E99" s="39"/>
      <c r="F99" s="39"/>
      <c r="G99" s="39"/>
      <c r="H99" s="39"/>
      <c r="I99" s="39"/>
      <c r="J99" s="39"/>
      <c r="K99" s="39"/>
      <c r="L99" s="47"/>
      <c r="P99" s="751"/>
      <c r="Q99" s="148" t="s">
        <v>922</v>
      </c>
      <c r="R99" s="752"/>
      <c r="S99" s="752"/>
      <c r="T99" s="752"/>
      <c r="U99" s="752"/>
      <c r="V99" s="752"/>
      <c r="W99" s="752"/>
      <c r="X99" s="752"/>
      <c r="Y99" s="875"/>
      <c r="AD99" s="751"/>
      <c r="AE99" s="787"/>
      <c r="AF99" s="1043"/>
      <c r="AG99" s="1044"/>
      <c r="AH99" s="1044"/>
      <c r="AI99" s="1044"/>
      <c r="AJ99" s="1044"/>
      <c r="AK99" s="1044"/>
      <c r="AL99" s="1044"/>
      <c r="AM99" s="1044"/>
      <c r="AN99" s="1045"/>
    </row>
    <row r="100" spans="1:40">
      <c r="A100" s="41" t="s">
        <v>333</v>
      </c>
      <c r="B100" s="707"/>
      <c r="C100" s="39" t="str">
        <f>IF(B100&lt;C101,"ERROR","")</f>
        <v/>
      </c>
      <c r="D100" s="908" t="s">
        <v>1435</v>
      </c>
      <c r="E100" s="39"/>
      <c r="F100" s="39"/>
      <c r="G100" s="39"/>
      <c r="H100" s="39"/>
      <c r="I100" s="39"/>
      <c r="J100" s="39"/>
      <c r="K100" s="39"/>
      <c r="L100" s="47"/>
      <c r="P100" s="751"/>
      <c r="Q100" s="148" t="s">
        <v>1054</v>
      </c>
      <c r="R100" s="752"/>
      <c r="S100" s="752"/>
      <c r="T100" s="752"/>
      <c r="U100" s="752"/>
      <c r="V100" s="752"/>
      <c r="W100" s="752"/>
      <c r="X100" s="752"/>
      <c r="Y100" s="875"/>
      <c r="AD100" s="751"/>
      <c r="AE100" s="787"/>
      <c r="AF100" s="1043"/>
      <c r="AG100" s="1044"/>
      <c r="AH100" s="1044"/>
      <c r="AI100" s="1044"/>
      <c r="AJ100" s="1044"/>
      <c r="AK100" s="1044"/>
      <c r="AL100" s="1044"/>
      <c r="AM100" s="1044"/>
      <c r="AN100" s="1045"/>
    </row>
    <row r="101" spans="1:40">
      <c r="A101" s="41" t="s">
        <v>334</v>
      </c>
      <c r="B101" s="977" t="str">
        <f>'MV-E'!L12</f>
        <v/>
      </c>
      <c r="C101" s="977" t="str">
        <f>'MV-E'!L13</f>
        <v/>
      </c>
      <c r="D101" s="908" t="s">
        <v>1444</v>
      </c>
      <c r="E101" s="39"/>
      <c r="F101" s="39"/>
      <c r="G101" s="39"/>
      <c r="H101" s="39"/>
      <c r="I101" s="39"/>
      <c r="J101" s="39"/>
      <c r="K101" s="39"/>
      <c r="L101" s="47"/>
      <c r="P101" s="751"/>
      <c r="Q101" s="148" t="s">
        <v>398</v>
      </c>
      <c r="R101" s="752"/>
      <c r="S101" s="752"/>
      <c r="T101" s="752"/>
      <c r="U101" s="752"/>
      <c r="V101" s="752"/>
      <c r="W101" s="752"/>
      <c r="X101" s="752"/>
      <c r="Y101" s="875"/>
      <c r="AD101" s="753"/>
      <c r="AE101" s="788"/>
      <c r="AF101" s="1046" t="e">
        <f ca="1" xml:space="preserve"> "'"&amp;$AG$11&amp; $AE$11&amp;" V' on the front panel"</f>
        <v>#N/A</v>
      </c>
      <c r="AG101" s="1047"/>
      <c r="AH101" s="1047"/>
      <c r="AI101" s="1047"/>
      <c r="AJ101" s="1047"/>
      <c r="AK101" s="1047"/>
      <c r="AL101" s="1047"/>
      <c r="AM101" s="1047"/>
      <c r="AN101" s="1048"/>
    </row>
    <row r="102" spans="1:40">
      <c r="A102" s="41" t="s">
        <v>71</v>
      </c>
      <c r="B102" s="707"/>
      <c r="C102" s="39"/>
      <c r="D102" s="42" t="s">
        <v>615</v>
      </c>
      <c r="E102" s="39"/>
      <c r="F102" s="39"/>
      <c r="G102" s="39"/>
      <c r="H102" s="39"/>
      <c r="I102" s="39"/>
      <c r="J102" s="39"/>
      <c r="K102" s="39"/>
      <c r="L102" s="47"/>
      <c r="P102" s="753"/>
      <c r="Q102" s="898" t="s">
        <v>1225</v>
      </c>
      <c r="R102" s="754"/>
      <c r="S102" s="754"/>
      <c r="T102" s="754"/>
      <c r="U102" s="754"/>
      <c r="V102" s="754"/>
      <c r="W102" s="754"/>
      <c r="X102" s="754"/>
      <c r="Y102" s="876"/>
      <c r="AD102" s="755" t="s">
        <v>1102</v>
      </c>
      <c r="AE102" s="756" t="s">
        <v>445</v>
      </c>
      <c r="AF102" s="750" t="str">
        <f>"The electrometer is a "&amp;AD102</f>
        <v>The electrometer is a Sun Nuclear PC Electrometer</v>
      </c>
      <c r="AG102" s="750"/>
      <c r="AH102" s="750"/>
      <c r="AI102" s="750"/>
      <c r="AJ102" s="750"/>
      <c r="AK102" s="750"/>
      <c r="AL102" s="750"/>
      <c r="AM102" s="750"/>
      <c r="AN102" s="786"/>
    </row>
    <row r="103" spans="1:40" ht="14.45" customHeight="1">
      <c r="A103" s="41" t="s">
        <v>336</v>
      </c>
      <c r="B103" s="707"/>
      <c r="C103" s="39"/>
      <c r="D103" s="39" t="s">
        <v>337</v>
      </c>
      <c r="E103" s="39"/>
      <c r="F103" s="39"/>
      <c r="G103" s="39"/>
      <c r="H103" s="39"/>
      <c r="I103" s="39"/>
      <c r="J103" s="39"/>
      <c r="K103" s="39"/>
      <c r="L103" s="47"/>
      <c r="P103" s="430" t="s">
        <v>1094</v>
      </c>
      <c r="Q103" s="405" t="s">
        <v>920</v>
      </c>
      <c r="R103" s="750"/>
      <c r="S103" s="750"/>
      <c r="T103" s="750"/>
      <c r="U103" s="750"/>
      <c r="V103" s="750"/>
      <c r="W103" s="750"/>
      <c r="X103" s="750"/>
      <c r="Y103" s="874" t="s">
        <v>1096</v>
      </c>
      <c r="AD103" s="751"/>
      <c r="AE103" s="787"/>
      <c r="AF103" s="1040" t="s">
        <v>1138</v>
      </c>
      <c r="AG103" s="1041"/>
      <c r="AH103" s="1041"/>
      <c r="AI103" s="1041"/>
      <c r="AJ103" s="1041"/>
      <c r="AK103" s="1041"/>
      <c r="AL103" s="1041"/>
      <c r="AM103" s="1041"/>
      <c r="AN103" s="1042"/>
    </row>
    <row r="104" spans="1:40">
      <c r="A104" s="41" t="s">
        <v>338</v>
      </c>
      <c r="B104" s="707"/>
      <c r="C104" s="39"/>
      <c r="D104" s="39" t="s">
        <v>337</v>
      </c>
      <c r="E104" s="39"/>
      <c r="F104" s="39"/>
      <c r="G104" s="39"/>
      <c r="H104" s="39"/>
      <c r="I104" s="39"/>
      <c r="K104" s="216" t="s">
        <v>646</v>
      </c>
      <c r="L104" s="146" t="b">
        <f>IF(B103=B104,TRUE,FALSE)</f>
        <v>1</v>
      </c>
      <c r="P104" s="751"/>
      <c r="Q104" s="148" t="s">
        <v>797</v>
      </c>
      <c r="R104" s="752"/>
      <c r="S104" s="752"/>
      <c r="T104" s="752"/>
      <c r="U104" s="752"/>
      <c r="V104" s="752"/>
      <c r="W104" s="752"/>
      <c r="X104" s="752"/>
      <c r="Y104" s="875"/>
      <c r="AD104" s="751"/>
      <c r="AE104" s="787"/>
      <c r="AF104" s="1043"/>
      <c r="AG104" s="1044"/>
      <c r="AH104" s="1044"/>
      <c r="AI104" s="1044"/>
      <c r="AJ104" s="1044"/>
      <c r="AK104" s="1044"/>
      <c r="AL104" s="1044"/>
      <c r="AM104" s="1044"/>
      <c r="AN104" s="1045"/>
    </row>
    <row r="105" spans="1:40">
      <c r="A105" s="44" t="s">
        <v>339</v>
      </c>
      <c r="B105" s="707"/>
      <c r="C105" s="45"/>
      <c r="D105" s="45" t="s">
        <v>1230</v>
      </c>
      <c r="E105" s="45"/>
      <c r="F105" s="45"/>
      <c r="G105" s="45"/>
      <c r="H105" s="45"/>
      <c r="I105" s="45"/>
      <c r="J105" s="45"/>
      <c r="K105" s="45"/>
      <c r="L105" s="43"/>
      <c r="P105" s="751"/>
      <c r="Q105" s="148" t="s">
        <v>925</v>
      </c>
      <c r="R105" s="752"/>
      <c r="S105" s="752"/>
      <c r="T105" s="752"/>
      <c r="U105" s="752"/>
      <c r="V105" s="752"/>
      <c r="W105" s="752"/>
      <c r="X105" s="752"/>
      <c r="Y105" s="875"/>
      <c r="AD105" s="751"/>
      <c r="AE105" s="787"/>
      <c r="AF105" s="1043"/>
      <c r="AG105" s="1044"/>
      <c r="AH105" s="1044"/>
      <c r="AI105" s="1044"/>
      <c r="AJ105" s="1044"/>
      <c r="AK105" s="1044"/>
      <c r="AL105" s="1044"/>
      <c r="AM105" s="1044"/>
      <c r="AN105" s="1045"/>
    </row>
    <row r="106" spans="1:40">
      <c r="A106" s="771" t="s">
        <v>1040</v>
      </c>
      <c r="B106" s="708"/>
      <c r="C106" s="380"/>
      <c r="D106" s="381" t="s">
        <v>1041</v>
      </c>
      <c r="E106" s="131"/>
      <c r="F106" s="131"/>
      <c r="G106" s="131"/>
      <c r="H106" s="131"/>
      <c r="I106" s="131"/>
      <c r="J106" s="131"/>
      <c r="K106" s="131"/>
      <c r="L106" s="132"/>
      <c r="P106" s="751"/>
      <c r="Q106" s="148" t="s">
        <v>923</v>
      </c>
      <c r="R106" s="752"/>
      <c r="S106" s="752"/>
      <c r="T106" s="752"/>
      <c r="U106" s="752"/>
      <c r="V106" s="752"/>
      <c r="W106" s="752"/>
      <c r="X106" s="752"/>
      <c r="Y106" s="875"/>
      <c r="AD106" s="751"/>
      <c r="AE106" s="787"/>
      <c r="AF106" s="1043"/>
      <c r="AG106" s="1044"/>
      <c r="AH106" s="1044"/>
      <c r="AI106" s="1044"/>
      <c r="AJ106" s="1044"/>
      <c r="AK106" s="1044"/>
      <c r="AL106" s="1044"/>
      <c r="AM106" s="1044"/>
      <c r="AN106" s="1045"/>
    </row>
    <row r="107" spans="1:40">
      <c r="A107" s="771" t="s">
        <v>1038</v>
      </c>
      <c r="B107" s="646"/>
      <c r="C107" s="380"/>
      <c r="D107" s="381" t="s">
        <v>1039</v>
      </c>
      <c r="E107" s="131"/>
      <c r="F107" s="131"/>
      <c r="G107" s="131"/>
      <c r="H107" s="131"/>
      <c r="I107" s="131"/>
      <c r="J107" s="131"/>
      <c r="K107" s="131"/>
      <c r="L107" s="132"/>
      <c r="P107" s="751"/>
      <c r="Q107" s="148" t="s">
        <v>924</v>
      </c>
      <c r="R107" s="752"/>
      <c r="S107" s="752"/>
      <c r="T107" s="752"/>
      <c r="U107" s="752"/>
      <c r="V107" s="752"/>
      <c r="W107" s="752"/>
      <c r="X107" s="752"/>
      <c r="Y107" s="875"/>
      <c r="AD107" s="753"/>
      <c r="AE107" s="788"/>
      <c r="AF107" s="1046" t="e">
        <f ca="1" xml:space="preserve"> "'"&amp;$AG$11&amp; $AE$11&amp;" V' set using the PC electrometer software"</f>
        <v>#N/A</v>
      </c>
      <c r="AG107" s="1047"/>
      <c r="AH107" s="1047"/>
      <c r="AI107" s="1047"/>
      <c r="AJ107" s="1047"/>
      <c r="AK107" s="1047"/>
      <c r="AL107" s="1047"/>
      <c r="AM107" s="1047"/>
      <c r="AN107" s="1048"/>
    </row>
    <row r="108" spans="1:40">
      <c r="P108" s="751"/>
      <c r="Q108" s="148" t="s">
        <v>921</v>
      </c>
      <c r="R108" s="752"/>
      <c r="S108" s="752"/>
      <c r="T108" s="752"/>
      <c r="U108" s="752"/>
      <c r="V108" s="752"/>
      <c r="W108" s="752"/>
      <c r="X108" s="752"/>
      <c r="Y108" s="875"/>
      <c r="AD108" s="755" t="s">
        <v>1103</v>
      </c>
      <c r="AE108" s="756" t="s">
        <v>816</v>
      </c>
      <c r="AF108" s="750" t="str">
        <f>"The electrometer is a "&amp;AD108</f>
        <v>The electrometer is a Standard Imaging Supermax 90018</v>
      </c>
      <c r="AG108" s="750"/>
      <c r="AH108" s="750"/>
      <c r="AI108" s="750"/>
      <c r="AJ108" s="750"/>
      <c r="AK108" s="750"/>
      <c r="AL108" s="750"/>
      <c r="AM108" s="750"/>
      <c r="AN108" s="786"/>
    </row>
    <row r="109" spans="1:40" ht="14.45" customHeight="1">
      <c r="A109" t="s">
        <v>1231</v>
      </c>
      <c r="P109" s="753"/>
      <c r="Q109" s="173" t="s">
        <v>725</v>
      </c>
      <c r="R109" s="754"/>
      <c r="S109" s="754"/>
      <c r="T109" s="754"/>
      <c r="U109" s="754"/>
      <c r="V109" s="754"/>
      <c r="W109" s="754"/>
      <c r="X109" s="754"/>
      <c r="Y109" s="876"/>
      <c r="AD109" s="751"/>
      <c r="AE109" s="787"/>
      <c r="AF109" s="1019" t="s">
        <v>861</v>
      </c>
      <c r="AG109" s="1020"/>
      <c r="AH109" s="1020"/>
      <c r="AI109" s="1020"/>
      <c r="AJ109" s="1020"/>
      <c r="AK109" s="1020"/>
      <c r="AL109" s="1020"/>
      <c r="AM109" s="1020"/>
      <c r="AN109" s="1021"/>
    </row>
    <row r="110" spans="1:40">
      <c r="A110" s="899" t="s">
        <v>1232</v>
      </c>
      <c r="B110" s="901"/>
      <c r="P110" s="142" t="s">
        <v>1091</v>
      </c>
      <c r="Q110" s="405" t="s">
        <v>1081</v>
      </c>
      <c r="R110" s="117"/>
      <c r="S110" s="117"/>
      <c r="T110" s="117"/>
      <c r="U110" s="117"/>
      <c r="V110" s="117"/>
      <c r="W110" s="117"/>
      <c r="X110" s="117"/>
      <c r="Y110" s="866" t="s">
        <v>1082</v>
      </c>
      <c r="AD110" s="751"/>
      <c r="AE110" s="787"/>
      <c r="AF110" s="1022"/>
      <c r="AG110" s="1023"/>
      <c r="AH110" s="1023"/>
      <c r="AI110" s="1023"/>
      <c r="AJ110" s="1023"/>
      <c r="AK110" s="1023"/>
      <c r="AL110" s="1023"/>
      <c r="AM110" s="1023"/>
      <c r="AN110" s="1024"/>
    </row>
    <row r="111" spans="1:40">
      <c r="A111" s="899" t="s">
        <v>1233</v>
      </c>
      <c r="B111" s="901"/>
      <c r="P111" s="136"/>
      <c r="Q111" s="148" t="s">
        <v>1083</v>
      </c>
      <c r="R111" s="137"/>
      <c r="S111" s="137"/>
      <c r="T111" s="137"/>
      <c r="U111" s="137"/>
      <c r="V111" s="137"/>
      <c r="W111" s="137"/>
      <c r="X111" s="137"/>
      <c r="Y111" s="867"/>
      <c r="AD111" s="751"/>
      <c r="AE111" s="787"/>
      <c r="AF111" s="1022"/>
      <c r="AG111" s="1023"/>
      <c r="AH111" s="1023"/>
      <c r="AI111" s="1023"/>
      <c r="AJ111" s="1023"/>
      <c r="AK111" s="1023"/>
      <c r="AL111" s="1023"/>
      <c r="AM111" s="1023"/>
      <c r="AN111" s="1024"/>
    </row>
    <row r="112" spans="1:40">
      <c r="A112" s="900" t="s">
        <v>840</v>
      </c>
      <c r="B112" s="902"/>
      <c r="P112" s="136"/>
      <c r="Q112" s="148" t="s">
        <v>1084</v>
      </c>
      <c r="R112" s="137"/>
      <c r="S112" s="137"/>
      <c r="T112" s="137"/>
      <c r="U112" s="137"/>
      <c r="V112" s="137"/>
      <c r="W112" s="137"/>
      <c r="X112" s="137"/>
      <c r="Y112" s="867"/>
      <c r="AD112" s="751"/>
      <c r="AE112" s="787"/>
      <c r="AF112" s="1022"/>
      <c r="AG112" s="1023"/>
      <c r="AH112" s="1023"/>
      <c r="AI112" s="1023"/>
      <c r="AJ112" s="1023"/>
      <c r="AK112" s="1023"/>
      <c r="AL112" s="1023"/>
      <c r="AM112" s="1023"/>
      <c r="AN112" s="1024"/>
    </row>
    <row r="113" spans="16:51">
      <c r="P113" s="136"/>
      <c r="Q113" s="148" t="s">
        <v>935</v>
      </c>
      <c r="R113" s="137"/>
      <c r="S113" s="137"/>
      <c r="T113" s="137"/>
      <c r="U113" s="137"/>
      <c r="V113" s="137"/>
      <c r="W113" s="137"/>
      <c r="X113" s="137"/>
      <c r="Y113" s="867"/>
      <c r="AD113" s="753"/>
      <c r="AE113" s="788"/>
      <c r="AF113" s="1046" t="e">
        <f ca="1" xml:space="preserve"> "'"&amp;$AG$11&amp; $AE$11&amp;" V' on the front panel"</f>
        <v>#N/A</v>
      </c>
      <c r="AG113" s="1047"/>
      <c r="AH113" s="1047"/>
      <c r="AI113" s="1047"/>
      <c r="AJ113" s="1047"/>
      <c r="AK113" s="1047"/>
      <c r="AL113" s="1047"/>
      <c r="AM113" s="1047"/>
      <c r="AN113" s="1048"/>
    </row>
    <row r="114" spans="16:51">
      <c r="P114" s="136"/>
      <c r="Q114" s="148" t="s">
        <v>936</v>
      </c>
      <c r="R114" s="137"/>
      <c r="S114" s="137"/>
      <c r="T114" s="137" t="s">
        <v>937</v>
      </c>
      <c r="U114" s="137"/>
      <c r="V114" s="137"/>
      <c r="W114" s="137"/>
      <c r="X114" s="137"/>
      <c r="Y114" s="867"/>
      <c r="AD114" s="651" t="s">
        <v>1104</v>
      </c>
      <c r="AE114" s="657" t="s">
        <v>816</v>
      </c>
      <c r="AF114" s="652" t="str">
        <f>"The electrometer is a "&amp;AD114</f>
        <v>The electrometer is a New type</v>
      </c>
      <c r="AG114" s="652"/>
      <c r="AH114" s="652"/>
      <c r="AI114" s="652"/>
      <c r="AJ114" s="652"/>
      <c r="AK114" s="652"/>
      <c r="AL114" s="652"/>
      <c r="AM114" s="652"/>
      <c r="AN114" s="660"/>
    </row>
    <row r="115" spans="16:51">
      <c r="P115" s="136"/>
      <c r="Q115" s="148" t="s">
        <v>398</v>
      </c>
      <c r="R115" s="137"/>
      <c r="S115" s="137"/>
      <c r="T115" s="137"/>
      <c r="U115" s="137"/>
      <c r="V115" s="137"/>
      <c r="W115" s="137"/>
      <c r="X115" s="137"/>
      <c r="Y115" s="867"/>
      <c r="AD115" s="653"/>
      <c r="AE115" s="658"/>
      <c r="AF115" s="1049" t="s">
        <v>860</v>
      </c>
      <c r="AG115" s="1050"/>
      <c r="AH115" s="1050"/>
      <c r="AI115" s="1050"/>
      <c r="AJ115" s="1050"/>
      <c r="AK115" s="1050"/>
      <c r="AL115" s="1050"/>
      <c r="AM115" s="1050"/>
      <c r="AN115" s="1051"/>
      <c r="AP115" s="759"/>
      <c r="AQ115" s="137"/>
      <c r="AR115" s="137"/>
      <c r="AS115" s="137"/>
      <c r="AT115" s="137"/>
      <c r="AU115" s="137"/>
      <c r="AV115" s="137"/>
      <c r="AW115" s="137"/>
      <c r="AX115" s="137"/>
      <c r="AY115" s="137"/>
    </row>
    <row r="116" spans="16:51">
      <c r="P116" s="139"/>
      <c r="Q116" s="898" t="s">
        <v>1222</v>
      </c>
      <c r="R116" s="140"/>
      <c r="S116" s="140"/>
      <c r="T116" s="140"/>
      <c r="U116" s="140"/>
      <c r="V116" s="140"/>
      <c r="W116" s="140"/>
      <c r="X116" s="140"/>
      <c r="Y116" s="868"/>
      <c r="AD116" s="653"/>
      <c r="AE116" s="658"/>
      <c r="AF116" s="1052"/>
      <c r="AG116" s="1053"/>
      <c r="AH116" s="1053"/>
      <c r="AI116" s="1053"/>
      <c r="AJ116" s="1053"/>
      <c r="AK116" s="1053"/>
      <c r="AL116" s="1053"/>
      <c r="AM116" s="1053"/>
      <c r="AN116" s="1054"/>
      <c r="AP116" s="759"/>
      <c r="AQ116" s="137"/>
      <c r="AR116" s="137"/>
      <c r="AS116" s="137"/>
      <c r="AT116" s="137"/>
      <c r="AU116" s="137"/>
      <c r="AV116" s="137"/>
      <c r="AW116" s="137"/>
      <c r="AX116" s="137"/>
      <c r="AY116" s="137"/>
    </row>
    <row r="117" spans="16:51">
      <c r="P117" s="142" t="s">
        <v>1092</v>
      </c>
      <c r="Q117" s="405" t="s">
        <v>1085</v>
      </c>
      <c r="R117" s="117"/>
      <c r="S117" s="117"/>
      <c r="T117" s="117"/>
      <c r="U117" s="117"/>
      <c r="V117" s="117"/>
      <c r="W117" s="117"/>
      <c r="X117" s="117"/>
      <c r="Y117" s="866" t="s">
        <v>1079</v>
      </c>
      <c r="AD117" s="653"/>
      <c r="AE117" s="658"/>
      <c r="AF117" s="1052"/>
      <c r="AG117" s="1053"/>
      <c r="AH117" s="1053"/>
      <c r="AI117" s="1053"/>
      <c r="AJ117" s="1053"/>
      <c r="AK117" s="1053"/>
      <c r="AL117" s="1053"/>
      <c r="AM117" s="1053"/>
      <c r="AN117" s="1054"/>
      <c r="AP117" s="137"/>
      <c r="AQ117" s="137"/>
      <c r="AR117" s="137"/>
      <c r="AS117" s="137"/>
      <c r="AT117" s="137"/>
      <c r="AU117" s="137"/>
      <c r="AV117" s="137"/>
      <c r="AW117" s="137"/>
      <c r="AX117" s="137"/>
      <c r="AY117" s="137"/>
    </row>
    <row r="118" spans="16:51">
      <c r="P118" s="136"/>
      <c r="Q118" s="148" t="s">
        <v>1086</v>
      </c>
      <c r="R118" s="145"/>
      <c r="S118" s="145"/>
      <c r="T118" s="145"/>
      <c r="U118" s="145"/>
      <c r="V118" s="145"/>
      <c r="W118" s="145"/>
      <c r="X118" s="145"/>
      <c r="Y118" s="872"/>
      <c r="AD118" s="653"/>
      <c r="AE118" s="658"/>
      <c r="AF118" s="1052"/>
      <c r="AG118" s="1053"/>
      <c r="AH118" s="1053"/>
      <c r="AI118" s="1053"/>
      <c r="AJ118" s="1053"/>
      <c r="AK118" s="1053"/>
      <c r="AL118" s="1053"/>
      <c r="AM118" s="1053"/>
      <c r="AN118" s="1054"/>
      <c r="AO118" s="29"/>
      <c r="AP118" s="758"/>
      <c r="AQ118" s="137"/>
      <c r="AR118" s="137"/>
      <c r="AS118" s="137"/>
      <c r="AT118" s="137"/>
      <c r="AU118" s="137"/>
      <c r="AV118" s="137"/>
      <c r="AW118" s="137"/>
      <c r="AX118" s="137"/>
      <c r="AY118" s="137"/>
    </row>
    <row r="119" spans="16:51" ht="15" customHeight="1">
      <c r="P119" s="136"/>
      <c r="Q119" s="148" t="s">
        <v>1087</v>
      </c>
      <c r="R119" s="145"/>
      <c r="S119" s="145"/>
      <c r="T119" s="145"/>
      <c r="U119" s="145"/>
      <c r="V119" s="145"/>
      <c r="W119" s="145"/>
      <c r="X119" s="145"/>
      <c r="Y119" s="872"/>
      <c r="AD119" s="655"/>
      <c r="AE119" s="659"/>
      <c r="AF119" s="1055" t="e">
        <f ca="1" xml:space="preserve"> "'"&amp;$AG$11&amp; $AE$11&amp;" V' on the front panel"</f>
        <v>#N/A</v>
      </c>
      <c r="AG119" s="1056"/>
      <c r="AH119" s="1056"/>
      <c r="AI119" s="1056"/>
      <c r="AJ119" s="1056"/>
      <c r="AK119" s="1056"/>
      <c r="AL119" s="1056"/>
      <c r="AM119" s="1056"/>
      <c r="AN119" s="1057"/>
      <c r="AP119" s="1018"/>
      <c r="AQ119" s="1018"/>
      <c r="AR119" s="1018"/>
      <c r="AS119" s="1018"/>
      <c r="AT119" s="1018"/>
      <c r="AU119" s="1018"/>
      <c r="AV119" s="1018"/>
      <c r="AW119" s="1018"/>
      <c r="AX119" s="1018"/>
      <c r="AY119" s="1018"/>
    </row>
    <row r="120" spans="16:51" ht="15" customHeight="1">
      <c r="P120" s="136"/>
      <c r="Q120" s="148" t="s">
        <v>1088</v>
      </c>
      <c r="R120" s="145"/>
      <c r="S120" s="145"/>
      <c r="T120" s="145"/>
      <c r="U120" s="145"/>
      <c r="V120" s="145"/>
      <c r="W120" s="145"/>
      <c r="X120" s="145"/>
      <c r="Y120" s="872"/>
      <c r="AP120" s="1018"/>
      <c r="AQ120" s="1018"/>
      <c r="AR120" s="1018"/>
      <c r="AS120" s="1018"/>
      <c r="AT120" s="1018"/>
      <c r="AU120" s="1018"/>
      <c r="AV120" s="1018"/>
      <c r="AW120" s="1018"/>
      <c r="AX120" s="1018"/>
      <c r="AY120" s="1018"/>
    </row>
    <row r="121" spans="16:51">
      <c r="P121" s="136"/>
      <c r="Q121" s="148" t="s">
        <v>1089</v>
      </c>
      <c r="R121" s="145"/>
      <c r="S121" s="145"/>
      <c r="T121" s="145"/>
      <c r="U121" s="145"/>
      <c r="V121" s="145"/>
      <c r="W121" s="145"/>
      <c r="X121" s="145"/>
      <c r="Y121" s="872"/>
      <c r="AP121" s="137"/>
      <c r="AQ121" s="137"/>
      <c r="AR121" s="137"/>
      <c r="AS121" s="137"/>
      <c r="AT121" s="137"/>
      <c r="AU121" s="137"/>
      <c r="AV121" s="137"/>
      <c r="AW121" s="137"/>
      <c r="AX121" s="137"/>
      <c r="AY121" s="137"/>
    </row>
    <row r="122" spans="16:51">
      <c r="P122" s="136"/>
      <c r="Q122" s="148" t="s">
        <v>398</v>
      </c>
      <c r="R122" s="145"/>
      <c r="S122" s="145"/>
      <c r="T122" s="145"/>
      <c r="U122" s="145"/>
      <c r="V122" s="145"/>
      <c r="W122" s="145"/>
      <c r="X122" s="145"/>
      <c r="Y122" s="872"/>
      <c r="AP122" s="137"/>
      <c r="AQ122" s="137"/>
      <c r="AR122" s="137"/>
      <c r="AS122" s="137"/>
      <c r="AT122" s="137"/>
      <c r="AU122" s="137"/>
      <c r="AV122" s="137"/>
      <c r="AW122" s="137"/>
      <c r="AX122" s="137"/>
      <c r="AY122" s="137"/>
    </row>
    <row r="123" spans="16:51">
      <c r="P123" s="139"/>
      <c r="Q123" s="173" t="s">
        <v>1090</v>
      </c>
      <c r="R123" s="781"/>
      <c r="S123" s="781"/>
      <c r="T123" s="781"/>
      <c r="U123" s="781"/>
      <c r="V123" s="781"/>
      <c r="W123" s="781"/>
      <c r="X123" s="781"/>
      <c r="Y123" s="877"/>
      <c r="AP123" s="758"/>
      <c r="AQ123" s="137"/>
      <c r="AR123" s="137"/>
      <c r="AS123" s="137"/>
      <c r="AT123" s="137"/>
      <c r="AU123" s="137"/>
      <c r="AV123" s="137"/>
      <c r="AW123" s="137"/>
      <c r="AX123" s="137"/>
      <c r="AY123" s="137"/>
    </row>
    <row r="124" spans="16:51" ht="15" customHeight="1">
      <c r="P124" s="933" t="s">
        <v>1371</v>
      </c>
      <c r="Q124" s="934" t="s">
        <v>1372</v>
      </c>
      <c r="R124" s="652"/>
      <c r="S124" s="652"/>
      <c r="T124" s="652"/>
      <c r="U124" s="652"/>
      <c r="V124" s="652"/>
      <c r="W124" s="652"/>
      <c r="X124" s="652"/>
      <c r="Y124" s="935" t="s">
        <v>1373</v>
      </c>
      <c r="AD124" s="90" t="s">
        <v>741</v>
      </c>
      <c r="AE124" s="152"/>
      <c r="AF124" s="29"/>
      <c r="AG124" s="29"/>
      <c r="AH124" s="29"/>
      <c r="AI124" s="29"/>
      <c r="AJ124" s="29"/>
      <c r="AK124" s="29"/>
      <c r="AL124" s="29"/>
      <c r="AM124" s="29"/>
      <c r="AN124" s="29"/>
      <c r="AO124" s="760"/>
      <c r="AP124" s="760"/>
      <c r="AQ124" s="137"/>
      <c r="AR124" s="137"/>
      <c r="AS124" s="137"/>
      <c r="AT124" s="137"/>
      <c r="AU124" s="137"/>
      <c r="AV124" s="137"/>
      <c r="AW124" s="137"/>
      <c r="AX124" s="137"/>
      <c r="AY124" s="137"/>
    </row>
    <row r="125" spans="16:51" ht="15" customHeight="1">
      <c r="P125" s="653"/>
      <c r="Q125" s="936" t="s">
        <v>797</v>
      </c>
      <c r="R125" s="654"/>
      <c r="S125" s="654"/>
      <c r="T125" s="654"/>
      <c r="U125" s="654"/>
      <c r="V125" s="654"/>
      <c r="W125" s="654"/>
      <c r="X125" s="654"/>
      <c r="Y125" s="878"/>
      <c r="AD125" s="761" t="s">
        <v>408</v>
      </c>
      <c r="AE125" s="1012" t="s">
        <v>1304</v>
      </c>
      <c r="AF125" s="1012"/>
      <c r="AG125" s="1012"/>
      <c r="AH125" s="1012"/>
      <c r="AI125" s="1012"/>
      <c r="AJ125" s="1012"/>
      <c r="AK125" s="1012"/>
      <c r="AL125" s="1012"/>
      <c r="AM125" s="1012"/>
      <c r="AN125" s="1013"/>
      <c r="AO125" s="760"/>
      <c r="AP125" s="760"/>
      <c r="AQ125" s="137"/>
      <c r="AR125" s="137"/>
      <c r="AS125" s="137"/>
      <c r="AT125" s="137"/>
      <c r="AU125" s="137"/>
      <c r="AV125" s="137"/>
      <c r="AW125" s="137"/>
      <c r="AX125" s="137"/>
      <c r="AY125" s="137"/>
    </row>
    <row r="126" spans="16:51" ht="15" customHeight="1">
      <c r="P126" s="653"/>
      <c r="Q126" s="936" t="s">
        <v>1376</v>
      </c>
      <c r="R126" s="654"/>
      <c r="S126" s="654"/>
      <c r="T126" s="654"/>
      <c r="U126" s="654"/>
      <c r="V126" s="654"/>
      <c r="W126" s="654"/>
      <c r="X126" s="654"/>
      <c r="Y126" s="878"/>
      <c r="AD126" s="762"/>
      <c r="AE126" s="1014"/>
      <c r="AF126" s="1014"/>
      <c r="AG126" s="1014"/>
      <c r="AH126" s="1014"/>
      <c r="AI126" s="1014"/>
      <c r="AJ126" s="1014"/>
      <c r="AK126" s="1014"/>
      <c r="AL126" s="1014"/>
      <c r="AM126" s="1014"/>
      <c r="AN126" s="1015"/>
      <c r="AP126" s="137"/>
      <c r="AQ126" s="137"/>
      <c r="AR126" s="137"/>
      <c r="AS126" s="137"/>
      <c r="AT126" s="137"/>
      <c r="AU126" s="137"/>
      <c r="AV126" s="137"/>
      <c r="AW126" s="137"/>
      <c r="AX126" s="137"/>
      <c r="AY126" s="137"/>
    </row>
    <row r="127" spans="16:51" ht="15" customHeight="1">
      <c r="P127" s="653"/>
      <c r="Q127" s="936" t="s">
        <v>1374</v>
      </c>
      <c r="R127" s="654"/>
      <c r="S127" s="654"/>
      <c r="T127" s="654"/>
      <c r="U127" s="654"/>
      <c r="V127" s="654"/>
      <c r="W127" s="654"/>
      <c r="X127" s="654"/>
      <c r="Y127" s="878"/>
      <c r="AD127" s="407"/>
      <c r="AE127" s="1014"/>
      <c r="AF127" s="1014"/>
      <c r="AG127" s="1014"/>
      <c r="AH127" s="1014"/>
      <c r="AI127" s="1014"/>
      <c r="AJ127" s="1014"/>
      <c r="AK127" s="1014"/>
      <c r="AL127" s="1014"/>
      <c r="AM127" s="1014"/>
      <c r="AN127" s="1015"/>
      <c r="AP127" s="759"/>
      <c r="AQ127" s="137"/>
      <c r="AR127" s="137"/>
      <c r="AS127" s="137"/>
      <c r="AT127" s="137"/>
      <c r="AU127" s="137"/>
      <c r="AV127" s="137"/>
      <c r="AW127" s="137"/>
      <c r="AX127" s="137"/>
      <c r="AY127" s="137"/>
    </row>
    <row r="128" spans="16:51" ht="15" customHeight="1">
      <c r="P128" s="653"/>
      <c r="Q128" s="936" t="s">
        <v>1375</v>
      </c>
      <c r="R128" s="654"/>
      <c r="S128" s="654"/>
      <c r="T128" s="654"/>
      <c r="U128" s="654"/>
      <c r="V128" s="654"/>
      <c r="W128" s="654"/>
      <c r="X128" s="654"/>
      <c r="Y128" s="878"/>
      <c r="AD128" s="763"/>
      <c r="AE128" s="1016"/>
      <c r="AF128" s="1016"/>
      <c r="AG128" s="1016"/>
      <c r="AH128" s="1016"/>
      <c r="AI128" s="1016"/>
      <c r="AJ128" s="1016"/>
      <c r="AK128" s="1016"/>
      <c r="AL128" s="1016"/>
      <c r="AM128" s="1016"/>
      <c r="AN128" s="1017"/>
      <c r="AP128" s="759"/>
      <c r="AQ128" s="137"/>
      <c r="AR128" s="137"/>
      <c r="AS128" s="137"/>
      <c r="AT128" s="137"/>
      <c r="AU128" s="137"/>
      <c r="AV128" s="137"/>
      <c r="AW128" s="137"/>
      <c r="AX128" s="137"/>
      <c r="AY128" s="137"/>
    </row>
    <row r="129" spans="16:40" ht="15" customHeight="1">
      <c r="P129" s="653"/>
      <c r="Q129" s="654" t="s">
        <v>398</v>
      </c>
      <c r="R129" s="654"/>
      <c r="S129" s="654"/>
      <c r="T129" s="654"/>
      <c r="U129" s="654"/>
      <c r="V129" s="654"/>
      <c r="W129" s="654"/>
      <c r="X129" s="654"/>
      <c r="Y129" s="878"/>
      <c r="AD129" s="761" t="s">
        <v>409</v>
      </c>
      <c r="AE129" s="1012" t="s">
        <v>1305</v>
      </c>
      <c r="AF129" s="1012"/>
      <c r="AG129" s="1012"/>
      <c r="AH129" s="1012"/>
      <c r="AI129" s="1012"/>
      <c r="AJ129" s="1012"/>
      <c r="AK129" s="1012"/>
      <c r="AL129" s="1012"/>
      <c r="AM129" s="1012"/>
      <c r="AN129" s="1013"/>
    </row>
    <row r="130" spans="16:40" ht="15" customHeight="1">
      <c r="P130" s="655"/>
      <c r="Q130" s="656" t="s">
        <v>1225</v>
      </c>
      <c r="R130" s="656"/>
      <c r="S130" s="656"/>
      <c r="T130" s="656"/>
      <c r="U130" s="656"/>
      <c r="V130" s="656"/>
      <c r="W130" s="656"/>
      <c r="X130" s="656"/>
      <c r="Y130" s="879"/>
      <c r="AD130" s="762"/>
      <c r="AE130" s="1014"/>
      <c r="AF130" s="1014"/>
      <c r="AG130" s="1014"/>
      <c r="AH130" s="1014"/>
      <c r="AI130" s="1014"/>
      <c r="AJ130" s="1014"/>
      <c r="AK130" s="1014"/>
      <c r="AL130" s="1014"/>
      <c r="AM130" s="1014"/>
      <c r="AN130" s="1015"/>
    </row>
    <row r="131" spans="16:40" ht="15" customHeight="1">
      <c r="P131" s="398" t="s">
        <v>395</v>
      </c>
      <c r="Q131" s="399"/>
      <c r="R131" s="399"/>
      <c r="S131" s="399"/>
      <c r="T131" s="399"/>
      <c r="U131" s="399"/>
      <c r="V131" s="399"/>
      <c r="W131" s="399"/>
      <c r="X131" s="399"/>
      <c r="Y131" s="880"/>
      <c r="AD131" s="762"/>
      <c r="AE131" s="1014"/>
      <c r="AF131" s="1014"/>
      <c r="AG131" s="1014"/>
      <c r="AH131" s="1014"/>
      <c r="AI131" s="1014"/>
      <c r="AJ131" s="1014"/>
      <c r="AK131" s="1014"/>
      <c r="AL131" s="1014"/>
      <c r="AM131" s="1014"/>
      <c r="AN131" s="1015"/>
    </row>
    <row r="132" spans="16:40">
      <c r="P132" s="400"/>
      <c r="Q132" s="401"/>
      <c r="R132" s="401"/>
      <c r="S132" s="401"/>
      <c r="T132" s="401"/>
      <c r="U132" s="401"/>
      <c r="V132" s="401"/>
      <c r="W132" s="401"/>
      <c r="X132" s="401"/>
      <c r="Y132" s="881"/>
      <c r="AD132" s="407"/>
      <c r="AE132" s="1014"/>
      <c r="AF132" s="1014"/>
      <c r="AG132" s="1014"/>
      <c r="AH132" s="1014"/>
      <c r="AI132" s="1014"/>
      <c r="AJ132" s="1014"/>
      <c r="AK132" s="1014"/>
      <c r="AL132" s="1014"/>
      <c r="AM132" s="1014"/>
      <c r="AN132" s="1015"/>
    </row>
    <row r="133" spans="16:40">
      <c r="P133" s="400"/>
      <c r="Q133" s="401"/>
      <c r="R133" s="401"/>
      <c r="S133" s="401"/>
      <c r="T133" s="401"/>
      <c r="U133" s="401"/>
      <c r="V133" s="401"/>
      <c r="W133" s="401"/>
      <c r="X133" s="401"/>
      <c r="Y133" s="881"/>
      <c r="AD133" s="409"/>
      <c r="AE133" s="1016"/>
      <c r="AF133" s="1016"/>
      <c r="AG133" s="1016"/>
      <c r="AH133" s="1016"/>
      <c r="AI133" s="1016"/>
      <c r="AJ133" s="1016"/>
      <c r="AK133" s="1016"/>
      <c r="AL133" s="1016"/>
      <c r="AM133" s="1016"/>
      <c r="AN133" s="1017"/>
    </row>
    <row r="134" spans="16:40" ht="15" customHeight="1">
      <c r="P134" s="400"/>
      <c r="Q134" s="401"/>
      <c r="R134" s="401"/>
      <c r="S134" s="401"/>
      <c r="T134" s="401"/>
      <c r="U134" s="401"/>
      <c r="V134" s="401"/>
      <c r="W134" s="401"/>
      <c r="X134" s="401"/>
      <c r="Y134" s="881"/>
      <c r="AD134" s="764"/>
      <c r="AE134" s="765"/>
      <c r="AF134" s="765"/>
      <c r="AG134" s="765"/>
      <c r="AH134" s="765"/>
      <c r="AI134" s="765"/>
      <c r="AJ134" s="765"/>
      <c r="AK134" s="765"/>
      <c r="AL134" s="765"/>
      <c r="AM134" s="765"/>
      <c r="AN134" s="765"/>
    </row>
    <row r="135" spans="16:40" ht="15" customHeight="1">
      <c r="P135" s="400"/>
      <c r="Q135" s="401"/>
      <c r="R135" s="401"/>
      <c r="S135" s="401"/>
      <c r="T135" s="401"/>
      <c r="U135" s="401"/>
      <c r="V135" s="401"/>
      <c r="W135" s="401"/>
      <c r="X135" s="401"/>
      <c r="Y135" s="881"/>
      <c r="AD135" s="766" t="s">
        <v>742</v>
      </c>
      <c r="AE135" s="765"/>
      <c r="AF135" s="765"/>
      <c r="AG135" s="765"/>
      <c r="AH135" s="765"/>
      <c r="AI135" s="765"/>
      <c r="AJ135" s="765"/>
      <c r="AK135" s="765"/>
      <c r="AL135" s="765"/>
      <c r="AM135" s="765"/>
      <c r="AN135" s="765"/>
    </row>
    <row r="136" spans="16:40" ht="15" customHeight="1">
      <c r="P136" s="400"/>
      <c r="Q136" s="401"/>
      <c r="R136" s="401"/>
      <c r="S136" s="401"/>
      <c r="T136" s="401"/>
      <c r="U136" s="401"/>
      <c r="V136" s="401"/>
      <c r="W136" s="401"/>
      <c r="X136" s="401"/>
      <c r="Y136" s="881"/>
      <c r="AD136" s="761" t="s">
        <v>408</v>
      </c>
      <c r="AE136" s="1012" t="s">
        <v>1306</v>
      </c>
      <c r="AF136" s="1012"/>
      <c r="AG136" s="1012"/>
      <c r="AH136" s="1012"/>
      <c r="AI136" s="1012"/>
      <c r="AJ136" s="1012"/>
      <c r="AK136" s="1012"/>
      <c r="AL136" s="1012"/>
      <c r="AM136" s="1012"/>
      <c r="AN136" s="1013"/>
    </row>
    <row r="137" spans="16:40" ht="15" customHeight="1">
      <c r="P137" s="402"/>
      <c r="Q137" s="403"/>
      <c r="R137" s="403"/>
      <c r="S137" s="403"/>
      <c r="T137" s="403"/>
      <c r="U137" s="403"/>
      <c r="V137" s="403"/>
      <c r="W137" s="403"/>
      <c r="X137" s="403"/>
      <c r="Y137" s="882"/>
      <c r="AD137" s="762"/>
      <c r="AE137" s="1014"/>
      <c r="AF137" s="1014"/>
      <c r="AG137" s="1014"/>
      <c r="AH137" s="1014"/>
      <c r="AI137" s="1014"/>
      <c r="AJ137" s="1014"/>
      <c r="AK137" s="1014"/>
      <c r="AL137" s="1014"/>
      <c r="AM137" s="1014"/>
      <c r="AN137" s="1015"/>
    </row>
    <row r="138" spans="16:40">
      <c r="AD138" s="407"/>
      <c r="AE138" s="1014"/>
      <c r="AF138" s="1014"/>
      <c r="AG138" s="1014"/>
      <c r="AH138" s="1014"/>
      <c r="AI138" s="1014"/>
      <c r="AJ138" s="1014"/>
      <c r="AK138" s="1014"/>
      <c r="AL138" s="1014"/>
      <c r="AM138" s="1014"/>
      <c r="AN138" s="1015"/>
    </row>
    <row r="139" spans="16:40">
      <c r="AD139" s="407"/>
      <c r="AE139" s="1014"/>
      <c r="AF139" s="1014"/>
      <c r="AG139" s="1014"/>
      <c r="AH139" s="1014"/>
      <c r="AI139" s="1014"/>
      <c r="AJ139" s="1014"/>
      <c r="AK139" s="1014"/>
      <c r="AL139" s="1014"/>
      <c r="AM139" s="1014"/>
      <c r="AN139" s="1015"/>
    </row>
    <row r="140" spans="16:40">
      <c r="P140" s="143"/>
      <c r="AD140" s="409"/>
      <c r="AE140" s="1016"/>
      <c r="AF140" s="1016"/>
      <c r="AG140" s="1016"/>
      <c r="AH140" s="1016"/>
      <c r="AI140" s="1016"/>
      <c r="AJ140" s="1016"/>
      <c r="AK140" s="1016"/>
      <c r="AL140" s="1016"/>
      <c r="AM140" s="1016"/>
      <c r="AN140" s="1017"/>
    </row>
    <row r="141" spans="16:40">
      <c r="Q141" s="143"/>
      <c r="AD141" s="761" t="s">
        <v>409</v>
      </c>
      <c r="AE141" s="1012" t="s">
        <v>1307</v>
      </c>
      <c r="AF141" s="1012"/>
      <c r="AG141" s="1012"/>
      <c r="AH141" s="1012"/>
      <c r="AI141" s="1012"/>
      <c r="AJ141" s="1012"/>
      <c r="AK141" s="1012"/>
      <c r="AL141" s="1012"/>
      <c r="AM141" s="1012"/>
      <c r="AN141" s="1013"/>
    </row>
    <row r="142" spans="16:40">
      <c r="AD142" s="407"/>
      <c r="AE142" s="1014"/>
      <c r="AF142" s="1014"/>
      <c r="AG142" s="1014"/>
      <c r="AH142" s="1014"/>
      <c r="AI142" s="1014"/>
      <c r="AJ142" s="1014"/>
      <c r="AK142" s="1014"/>
      <c r="AL142" s="1014"/>
      <c r="AM142" s="1014"/>
      <c r="AN142" s="1015"/>
    </row>
    <row r="143" spans="16:40">
      <c r="AD143" s="407"/>
      <c r="AE143" s="1014"/>
      <c r="AF143" s="1014"/>
      <c r="AG143" s="1014"/>
      <c r="AH143" s="1014"/>
      <c r="AI143" s="1014"/>
      <c r="AJ143" s="1014"/>
      <c r="AK143" s="1014"/>
      <c r="AL143" s="1014"/>
      <c r="AM143" s="1014"/>
      <c r="AN143" s="1015"/>
    </row>
    <row r="144" spans="16:40">
      <c r="AD144" s="407"/>
      <c r="AE144" s="1014"/>
      <c r="AF144" s="1014"/>
      <c r="AG144" s="1014"/>
      <c r="AH144" s="1014"/>
      <c r="AI144" s="1014"/>
      <c r="AJ144" s="1014"/>
      <c r="AK144" s="1014"/>
      <c r="AL144" s="1014"/>
      <c r="AM144" s="1014"/>
      <c r="AN144" s="1015"/>
    </row>
    <row r="145" spans="30:40">
      <c r="AD145" s="409"/>
      <c r="AE145" s="1016"/>
      <c r="AF145" s="1016"/>
      <c r="AG145" s="1016"/>
      <c r="AH145" s="1016"/>
      <c r="AI145" s="1016"/>
      <c r="AJ145" s="1016"/>
      <c r="AK145" s="1016"/>
      <c r="AL145" s="1016"/>
      <c r="AM145" s="1016"/>
      <c r="AN145" s="1017"/>
    </row>
  </sheetData>
  <sheetProtection sheet="1" objects="1" scenarios="1"/>
  <mergeCells count="42">
    <mergeCell ref="AF109:AN112"/>
    <mergeCell ref="AF113:AN113"/>
    <mergeCell ref="AF115:AN118"/>
    <mergeCell ref="AF119:AN119"/>
    <mergeCell ref="AF103:AN106"/>
    <mergeCell ref="AF107:AN107"/>
    <mergeCell ref="AF97:AN100"/>
    <mergeCell ref="AF101:AN101"/>
    <mergeCell ref="AF85:AN88"/>
    <mergeCell ref="AF89:AN89"/>
    <mergeCell ref="AF55:AN58"/>
    <mergeCell ref="AF59:AN59"/>
    <mergeCell ref="AF61:AN64"/>
    <mergeCell ref="AF65:AN65"/>
    <mergeCell ref="AF67:AN70"/>
    <mergeCell ref="AF71:AN71"/>
    <mergeCell ref="AF95:AN95"/>
    <mergeCell ref="AF73:AN76"/>
    <mergeCell ref="AF77:AN77"/>
    <mergeCell ref="AF79:AN82"/>
    <mergeCell ref="AF83:AN83"/>
    <mergeCell ref="AF49:AN52"/>
    <mergeCell ref="AF53:AN53"/>
    <mergeCell ref="AF3:AN6"/>
    <mergeCell ref="AF7:AN7"/>
    <mergeCell ref="AF91:AN94"/>
    <mergeCell ref="AF47:AN47"/>
    <mergeCell ref="AF25:AN28"/>
    <mergeCell ref="AF29:AN29"/>
    <mergeCell ref="AF31:AN34"/>
    <mergeCell ref="AF35:AN35"/>
    <mergeCell ref="AF19:AN22"/>
    <mergeCell ref="AF23:AN23"/>
    <mergeCell ref="AF37:AN40"/>
    <mergeCell ref="AF41:AN41"/>
    <mergeCell ref="AF43:AN46"/>
    <mergeCell ref="AE129:AN133"/>
    <mergeCell ref="AE136:AN140"/>
    <mergeCell ref="AE141:AN145"/>
    <mergeCell ref="AP119:AY119"/>
    <mergeCell ref="AP120:AY120"/>
    <mergeCell ref="AE125:AN128"/>
  </mergeCells>
  <dataValidations count="9">
    <dataValidation type="list" allowBlank="1" showInputMessage="1" showErrorMessage="1" sqref="B21" xr:uid="{00000000-0002-0000-0100-000000000000}">
      <formula1>$N$38:$N$45</formula1>
    </dataValidation>
    <dataValidation type="list" allowBlank="1" showInputMessage="1" showErrorMessage="1" sqref="B18" xr:uid="{00000000-0002-0000-0100-000001000000}">
      <formula1>$N$50:$N$53</formula1>
    </dataValidation>
    <dataValidation type="list" allowBlank="1" showInputMessage="1" showErrorMessage="1" sqref="B59" xr:uid="{00000000-0002-0000-0100-000002000000}">
      <formula1>$N$57:$N$59</formula1>
    </dataValidation>
    <dataValidation type="list" allowBlank="1" showInputMessage="1" showErrorMessage="1" sqref="B57 B80" xr:uid="{00000000-0002-0000-0100-000003000000}">
      <formula1>$N$5:$N$22</formula1>
    </dataValidation>
    <dataValidation type="list" allowBlank="1" showInputMessage="1" showErrorMessage="1" sqref="B16" xr:uid="{00000000-0002-0000-0100-000004000000}">
      <formula1>$AB$5:$AB$19</formula1>
    </dataValidation>
    <dataValidation type="list" allowBlank="1" showInputMessage="1" showErrorMessage="1" sqref="B106" xr:uid="{00000000-0002-0000-0100-000005000000}">
      <formula1>$N$5:$N$21</formula1>
    </dataValidation>
    <dataValidation type="list" allowBlank="1" showInputMessage="1" showErrorMessage="1" sqref="B29" xr:uid="{00000000-0002-0000-0100-000006000000}">
      <formula1>$N$5:$N$25</formula1>
    </dataValidation>
    <dataValidation type="list" allowBlank="1" showInputMessage="1" showErrorMessage="1" sqref="B25 B44 B53 B73 B95 B105" xr:uid="{00000000-0002-0000-0100-000007000000}">
      <formula1>$A$110:$A$112</formula1>
    </dataValidation>
    <dataValidation type="list" allowBlank="1" showInputMessage="1" showErrorMessage="1" sqref="B33 B62 B84" xr:uid="{00000000-0002-0000-0100-000008000000}">
      <formula1>$N$29:$N$30</formula1>
    </dataValidation>
  </dataValidations>
  <pageMargins left="0.70866141732283472" right="0.70866141732283472" top="0.74803149606299213" bottom="0.74803149606299213" header="0.31496062992125984" footer="0.31496062992125984"/>
  <pageSetup paperSize="9" scale="36" fitToHeight="0" orientation="landscape"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pageSetUpPr fitToPage="1"/>
  </sheetPr>
  <dimension ref="A1:IV46"/>
  <sheetViews>
    <sheetView workbookViewId="0">
      <selection activeCell="A13" sqref="A13"/>
    </sheetView>
  </sheetViews>
  <sheetFormatPr defaultColWidth="9.140625" defaultRowHeight="12.75"/>
  <cols>
    <col min="1" max="1" width="23.7109375" style="56" customWidth="1"/>
    <col min="2" max="5" width="12.28515625" style="56" customWidth="1"/>
    <col min="6" max="10" width="9.140625" style="56"/>
    <col min="11" max="11" width="14.5703125" style="56" customWidth="1"/>
    <col min="12" max="16384" width="9.140625" style="56"/>
  </cols>
  <sheetData>
    <row r="1" spans="1:18" ht="15.75">
      <c r="A1" s="610" t="s">
        <v>123</v>
      </c>
      <c r="B1" s="611"/>
      <c r="C1" s="611"/>
      <c r="D1" s="57" t="str">
        <f>Intro!D4</f>
        <v>IRC-FORM-2100J (ARPANSA-FORM-1856)</v>
      </c>
    </row>
    <row r="2" spans="1:18">
      <c r="A2" s="58" t="s">
        <v>592</v>
      </c>
      <c r="D2" s="59" t="str">
        <f>Intro!D5</f>
        <v>23-Production</v>
      </c>
      <c r="K2" s="69" t="s">
        <v>1107</v>
      </c>
    </row>
    <row r="3" spans="1:18">
      <c r="D3" s="59" t="str">
        <f>Intro!B10</f>
        <v>Validated: Note yet</v>
      </c>
      <c r="K3" s="69" t="s">
        <v>1108</v>
      </c>
    </row>
    <row r="4" spans="1:18">
      <c r="K4" s="69" t="s">
        <v>1109</v>
      </c>
    </row>
    <row r="5" spans="1:18">
      <c r="A5" s="437" t="str">
        <f>Client!B16&amp;" serial number "&amp;Client!B17</f>
        <v xml:space="preserve"> serial number </v>
      </c>
      <c r="B5" s="438"/>
      <c r="C5" s="438"/>
      <c r="D5" s="438"/>
      <c r="E5" s="438"/>
      <c r="F5" s="438"/>
      <c r="G5" s="438"/>
      <c r="H5" s="439"/>
      <c r="K5" s="69" t="s">
        <v>1110</v>
      </c>
    </row>
    <row r="6" spans="1:18">
      <c r="A6" s="69" t="s">
        <v>611</v>
      </c>
      <c r="K6" s="69" t="s">
        <v>1111</v>
      </c>
    </row>
    <row r="7" spans="1:18">
      <c r="A7" s="69"/>
    </row>
    <row r="8" spans="1:18">
      <c r="A8" s="58" t="s">
        <v>1452</v>
      </c>
      <c r="B8" s="979"/>
      <c r="C8" s="979"/>
      <c r="D8" s="979"/>
      <c r="E8" s="979"/>
      <c r="H8" s="929" t="s">
        <v>1370</v>
      </c>
      <c r="I8" s="634" t="str">
        <f>IF(OR(B8="",A13="",B13="",D13="",B20="",B21="",B29="",I40="",I41="",J40="",J41="",B31=""),"No","Yes")</f>
        <v>No</v>
      </c>
      <c r="N8" s="907" t="s">
        <v>1502</v>
      </c>
      <c r="Q8" s="634" t="s">
        <v>826</v>
      </c>
    </row>
    <row r="9" spans="1:18">
      <c r="G9" s="907"/>
      <c r="H9" s="929" t="s">
        <v>1387</v>
      </c>
      <c r="I9" s="634" t="s">
        <v>826</v>
      </c>
      <c r="N9" s="940" t="s">
        <v>1503</v>
      </c>
      <c r="Q9" s="634" t="str">
        <f>IF(OR(K13="",L13="",N13="",I45="",J45="",I46="",J46="",B30=""),"No","Yes")</f>
        <v>No</v>
      </c>
    </row>
    <row r="10" spans="1:18">
      <c r="A10" s="790" t="s">
        <v>1121</v>
      </c>
      <c r="K10" s="790" t="s">
        <v>1122</v>
      </c>
    </row>
    <row r="11" spans="1:18">
      <c r="A11" s="58" t="s">
        <v>891</v>
      </c>
      <c r="B11" s="624" t="s">
        <v>484</v>
      </c>
      <c r="C11" s="624" t="s">
        <v>144</v>
      </c>
      <c r="D11" s="624" t="s">
        <v>494</v>
      </c>
      <c r="E11" s="58"/>
      <c r="F11" s="624" t="s">
        <v>496</v>
      </c>
      <c r="G11" s="58"/>
      <c r="H11" s="58" t="s">
        <v>848</v>
      </c>
      <c r="K11" s="58" t="s">
        <v>891</v>
      </c>
      <c r="L11" s="624" t="s">
        <v>484</v>
      </c>
      <c r="M11" s="624" t="s">
        <v>144</v>
      </c>
      <c r="N11" s="624" t="s">
        <v>494</v>
      </c>
      <c r="O11" s="58"/>
      <c r="P11" s="624" t="s">
        <v>496</v>
      </c>
      <c r="Q11" s="58"/>
      <c r="R11" s="58" t="s">
        <v>848</v>
      </c>
    </row>
    <row r="12" spans="1:18">
      <c r="A12" s="58"/>
      <c r="B12" s="60"/>
      <c r="C12" s="60"/>
      <c r="D12" s="60"/>
      <c r="F12" s="636"/>
      <c r="K12" s="58"/>
      <c r="L12" s="60"/>
      <c r="M12" s="60"/>
      <c r="N12" s="60"/>
      <c r="P12" s="636"/>
    </row>
    <row r="13" spans="1:18">
      <c r="A13" s="633"/>
      <c r="B13" s="634"/>
      <c r="C13" s="634"/>
      <c r="D13" s="634"/>
      <c r="E13" s="905" t="s">
        <v>1235</v>
      </c>
      <c r="F13" s="56" t="str">
        <f t="shared" ref="F13:F18" si="0">TEXT(D13,"0.000")</f>
        <v>0.000</v>
      </c>
      <c r="H13" s="637">
        <f t="shared" ref="H13:H18" si="1">ROUND(D13,3)</f>
        <v>0</v>
      </c>
      <c r="K13" s="633"/>
      <c r="L13" s="634"/>
      <c r="M13" s="634"/>
      <c r="N13" s="634"/>
      <c r="P13" s="56" t="str">
        <f t="shared" ref="P13:P18" si="2">TEXT(N13,"0.000")</f>
        <v>0.000</v>
      </c>
      <c r="R13" s="637">
        <f t="shared" ref="R13:R18" si="3">ROUND(N13,3)</f>
        <v>0</v>
      </c>
    </row>
    <row r="14" spans="1:18">
      <c r="A14" s="633"/>
      <c r="B14" s="634"/>
      <c r="C14" s="634"/>
      <c r="D14" s="634"/>
      <c r="E14" s="905" t="s">
        <v>1235</v>
      </c>
      <c r="F14" s="56" t="str">
        <f t="shared" si="0"/>
        <v>0.000</v>
      </c>
      <c r="H14" s="637">
        <f t="shared" si="1"/>
        <v>0</v>
      </c>
      <c r="K14" s="633"/>
      <c r="L14" s="634"/>
      <c r="M14" s="634"/>
      <c r="N14" s="634"/>
      <c r="P14" s="56" t="str">
        <f t="shared" si="2"/>
        <v>0.000</v>
      </c>
      <c r="R14" s="637">
        <f t="shared" si="3"/>
        <v>0</v>
      </c>
    </row>
    <row r="15" spans="1:18">
      <c r="A15" s="633"/>
      <c r="B15" s="634"/>
      <c r="C15" s="634"/>
      <c r="D15" s="634"/>
      <c r="E15" s="905" t="s">
        <v>1235</v>
      </c>
      <c r="F15" s="56" t="str">
        <f t="shared" si="0"/>
        <v>0.000</v>
      </c>
      <c r="H15" s="637">
        <f t="shared" si="1"/>
        <v>0</v>
      </c>
      <c r="K15" s="633"/>
      <c r="L15" s="634"/>
      <c r="M15" s="634"/>
      <c r="N15" s="634"/>
      <c r="P15" s="56" t="str">
        <f t="shared" si="2"/>
        <v>0.000</v>
      </c>
      <c r="R15" s="637">
        <f t="shared" si="3"/>
        <v>0</v>
      </c>
    </row>
    <row r="16" spans="1:18">
      <c r="A16" s="633"/>
      <c r="B16" s="634"/>
      <c r="C16" s="634"/>
      <c r="D16" s="634"/>
      <c r="E16" s="905" t="s">
        <v>1235</v>
      </c>
      <c r="F16" s="56" t="str">
        <f t="shared" si="0"/>
        <v>0.000</v>
      </c>
      <c r="H16" s="637">
        <f t="shared" si="1"/>
        <v>0</v>
      </c>
      <c r="K16" s="633"/>
      <c r="L16" s="634"/>
      <c r="M16" s="634"/>
      <c r="N16" s="634"/>
      <c r="P16" s="56" t="str">
        <f t="shared" si="2"/>
        <v>0.000</v>
      </c>
      <c r="R16" s="637">
        <f t="shared" si="3"/>
        <v>0</v>
      </c>
    </row>
    <row r="17" spans="1:256">
      <c r="A17" s="633"/>
      <c r="B17" s="634"/>
      <c r="C17" s="634"/>
      <c r="D17" s="634"/>
      <c r="E17" s="905" t="s">
        <v>1235</v>
      </c>
      <c r="F17" s="56" t="str">
        <f t="shared" si="0"/>
        <v>0.000</v>
      </c>
      <c r="H17" s="637">
        <f t="shared" si="1"/>
        <v>0</v>
      </c>
      <c r="K17" s="633"/>
      <c r="L17" s="634"/>
      <c r="M17" s="634"/>
      <c r="N17" s="634"/>
      <c r="P17" s="56" t="str">
        <f t="shared" si="2"/>
        <v>0.000</v>
      </c>
      <c r="R17" s="637">
        <f t="shared" si="3"/>
        <v>0</v>
      </c>
    </row>
    <row r="18" spans="1:256">
      <c r="A18" s="633"/>
      <c r="B18" s="634"/>
      <c r="C18" s="634"/>
      <c r="D18" s="634"/>
      <c r="E18" s="905" t="s">
        <v>1235</v>
      </c>
      <c r="F18" s="56" t="str">
        <f t="shared" si="0"/>
        <v>0.000</v>
      </c>
      <c r="H18" s="637">
        <f t="shared" si="1"/>
        <v>0</v>
      </c>
      <c r="K18" s="633"/>
      <c r="L18" s="634"/>
      <c r="M18" s="634"/>
      <c r="N18" s="634"/>
      <c r="P18" s="56" t="str">
        <f t="shared" si="2"/>
        <v>0.000</v>
      </c>
      <c r="R18" s="637">
        <f t="shared" si="3"/>
        <v>0</v>
      </c>
    </row>
    <row r="19" spans="1:256">
      <c r="B19" s="70"/>
      <c r="C19" s="70"/>
      <c r="D19" s="70"/>
      <c r="E19" s="70"/>
    </row>
    <row r="20" spans="1:256">
      <c r="A20" s="638" t="s">
        <v>834</v>
      </c>
      <c r="B20" s="1070"/>
      <c r="C20" s="1071"/>
      <c r="D20" s="1071"/>
      <c r="E20" s="1072"/>
      <c r="F20" s="69" t="s">
        <v>892</v>
      </c>
    </row>
    <row r="21" spans="1:256">
      <c r="A21" s="638" t="s">
        <v>596</v>
      </c>
      <c r="B21" s="1073"/>
      <c r="C21" s="1074"/>
      <c r="D21" s="1074"/>
      <c r="E21" s="1074"/>
      <c r="F21" s="69" t="s">
        <v>835</v>
      </c>
      <c r="J21" s="69" t="s">
        <v>1137</v>
      </c>
    </row>
    <row r="22" spans="1:256">
      <c r="B22" s="70"/>
      <c r="C22" s="70"/>
      <c r="D22" s="70"/>
      <c r="E22" s="70"/>
      <c r="F22" s="69" t="s">
        <v>814</v>
      </c>
    </row>
    <row r="23" spans="1:256">
      <c r="B23" s="70"/>
      <c r="C23" s="70"/>
      <c r="D23" s="70"/>
      <c r="E23" s="70"/>
    </row>
    <row r="24" spans="1:256">
      <c r="A24" s="69" t="s">
        <v>824</v>
      </c>
      <c r="B24" s="70"/>
      <c r="C24" s="70"/>
      <c r="D24" s="70"/>
      <c r="E24" s="634"/>
      <c r="J24" s="434" t="s">
        <v>825</v>
      </c>
    </row>
    <row r="25" spans="1:256">
      <c r="B25" s="70"/>
      <c r="C25" s="70"/>
      <c r="D25" s="70"/>
      <c r="E25" s="70"/>
      <c r="J25" s="434" t="s">
        <v>826</v>
      </c>
    </row>
    <row r="26" spans="1:256">
      <c r="B26" s="70"/>
      <c r="C26" s="70"/>
      <c r="D26" s="70"/>
      <c r="E26" s="70"/>
    </row>
    <row r="27" spans="1:256">
      <c r="A27" s="58" t="s">
        <v>607</v>
      </c>
      <c r="B27" s="624"/>
      <c r="C27" s="624"/>
      <c r="D27" s="624"/>
      <c r="E27" s="58"/>
      <c r="F27" s="624"/>
      <c r="G27" s="58"/>
      <c r="H27" s="58"/>
      <c r="I27" s="624"/>
      <c r="J27" s="624"/>
      <c r="K27" s="624"/>
      <c r="L27" s="58"/>
      <c r="M27" s="624"/>
      <c r="N27" s="58"/>
      <c r="O27" s="58"/>
      <c r="P27" s="624"/>
      <c r="Q27" s="624"/>
      <c r="R27" s="624"/>
      <c r="S27" s="58"/>
      <c r="T27" s="624"/>
      <c r="U27" s="58"/>
      <c r="V27" s="58"/>
      <c r="W27" s="624"/>
      <c r="X27" s="624"/>
      <c r="Y27" s="624"/>
      <c r="Z27" s="58"/>
      <c r="AA27" s="624"/>
      <c r="AB27" s="58"/>
      <c r="AC27" s="58"/>
      <c r="AD27" s="624"/>
      <c r="AE27" s="624"/>
      <c r="AF27" s="624"/>
      <c r="AG27" s="58"/>
      <c r="AH27" s="624"/>
      <c r="AI27" s="58"/>
      <c r="AJ27" s="58"/>
      <c r="AK27" s="624"/>
      <c r="AL27" s="624"/>
      <c r="AM27" s="624"/>
      <c r="AN27" s="58"/>
      <c r="AO27" s="624"/>
      <c r="AP27" s="58"/>
      <c r="AQ27" s="58"/>
      <c r="AR27" s="624"/>
      <c r="AS27" s="624"/>
      <c r="AT27" s="624"/>
      <c r="AU27" s="58"/>
      <c r="AV27" s="624"/>
      <c r="AW27" s="58"/>
      <c r="AX27" s="58"/>
      <c r="AY27" s="624"/>
      <c r="AZ27" s="624"/>
      <c r="BA27" s="624"/>
      <c r="BB27" s="58"/>
      <c r="BC27" s="624"/>
      <c r="BD27" s="58"/>
      <c r="BE27" s="58"/>
      <c r="BF27" s="624"/>
      <c r="BG27" s="624"/>
      <c r="BH27" s="624"/>
      <c r="BI27" s="58"/>
      <c r="BJ27" s="624"/>
      <c r="BK27" s="58"/>
      <c r="BL27" s="58"/>
      <c r="BM27" s="624"/>
      <c r="BN27" s="624"/>
      <c r="BO27" s="624"/>
      <c r="BP27" s="58"/>
      <c r="BQ27" s="624"/>
      <c r="BR27" s="58"/>
      <c r="BS27" s="58"/>
      <c r="BT27" s="624"/>
      <c r="BU27" s="624"/>
      <c r="BV27" s="624"/>
      <c r="BW27" s="58"/>
      <c r="BX27" s="624"/>
      <c r="BY27" s="58"/>
      <c r="BZ27" s="58"/>
      <c r="CA27" s="624"/>
      <c r="CB27" s="624"/>
      <c r="CC27" s="624"/>
      <c r="CD27" s="58"/>
      <c r="CE27" s="624"/>
      <c r="CF27" s="58"/>
      <c r="CG27" s="58"/>
      <c r="CH27" s="624"/>
      <c r="CI27" s="624"/>
      <c r="CJ27" s="624"/>
      <c r="CK27" s="58"/>
      <c r="CL27" s="624"/>
      <c r="CM27" s="58"/>
      <c r="CN27" s="58"/>
      <c r="CO27" s="624"/>
      <c r="CP27" s="624"/>
      <c r="CQ27" s="624"/>
      <c r="CR27" s="58"/>
      <c r="CS27" s="624"/>
      <c r="CT27" s="58"/>
      <c r="CU27" s="58"/>
      <c r="CV27" s="624"/>
      <c r="CW27" s="624"/>
      <c r="CX27" s="624"/>
      <c r="CY27" s="58"/>
      <c r="CZ27" s="624"/>
      <c r="DA27" s="58"/>
      <c r="DB27" s="58"/>
      <c r="DC27" s="624"/>
      <c r="DD27" s="624"/>
      <c r="DE27" s="624"/>
      <c r="DF27" s="58"/>
      <c r="DG27" s="624"/>
      <c r="DH27" s="58"/>
      <c r="DI27" s="58"/>
      <c r="DJ27" s="624"/>
      <c r="DK27" s="624"/>
      <c r="DL27" s="624"/>
      <c r="DM27" s="58"/>
      <c r="DN27" s="624"/>
      <c r="DO27" s="58"/>
      <c r="DP27" s="58"/>
      <c r="DQ27" s="624"/>
      <c r="DR27" s="624"/>
      <c r="DS27" s="624"/>
      <c r="DT27" s="58"/>
      <c r="DU27" s="624"/>
      <c r="DV27" s="58"/>
      <c r="DW27" s="58"/>
      <c r="DX27" s="624"/>
      <c r="DY27" s="624"/>
      <c r="DZ27" s="624"/>
      <c r="EA27" s="58"/>
      <c r="EB27" s="624"/>
      <c r="EC27" s="58"/>
      <c r="ED27" s="58"/>
      <c r="EE27" s="624"/>
      <c r="EF27" s="624"/>
      <c r="EG27" s="624"/>
      <c r="EH27" s="58"/>
      <c r="EI27" s="624"/>
      <c r="EJ27" s="58"/>
      <c r="EK27" s="58"/>
      <c r="EL27" s="624"/>
      <c r="EM27" s="624"/>
      <c r="EN27" s="624"/>
      <c r="EO27" s="58"/>
      <c r="EP27" s="624"/>
      <c r="EQ27" s="58"/>
      <c r="ER27" s="58"/>
      <c r="ES27" s="624"/>
      <c r="ET27" s="624"/>
      <c r="EU27" s="624"/>
      <c r="EV27" s="58"/>
      <c r="EW27" s="624"/>
      <c r="EX27" s="58"/>
      <c r="EY27" s="58"/>
      <c r="EZ27" s="624"/>
      <c r="FA27" s="624"/>
      <c r="FB27" s="624"/>
      <c r="FC27" s="58"/>
      <c r="FD27" s="624"/>
      <c r="FE27" s="58"/>
      <c r="FF27" s="58"/>
      <c r="FG27" s="624"/>
      <c r="FH27" s="624"/>
      <c r="FI27" s="624"/>
      <c r="FJ27" s="58"/>
      <c r="FK27" s="624"/>
      <c r="FL27" s="58"/>
      <c r="FM27" s="58"/>
      <c r="FN27" s="624"/>
      <c r="FO27" s="624"/>
      <c r="FP27" s="624"/>
      <c r="FQ27" s="58"/>
      <c r="FR27" s="624"/>
      <c r="FS27" s="58"/>
      <c r="FT27" s="58"/>
      <c r="FU27" s="624"/>
      <c r="FV27" s="624"/>
      <c r="FW27" s="624"/>
      <c r="FX27" s="58"/>
      <c r="FY27" s="624"/>
      <c r="FZ27" s="58"/>
      <c r="GA27" s="58"/>
      <c r="GB27" s="624"/>
      <c r="GC27" s="624"/>
      <c r="GD27" s="624"/>
      <c r="GE27" s="58"/>
      <c r="GF27" s="624"/>
      <c r="GG27" s="58"/>
      <c r="GH27" s="58"/>
      <c r="GI27" s="624"/>
      <c r="GJ27" s="624"/>
      <c r="GK27" s="624"/>
      <c r="GL27" s="58"/>
      <c r="GM27" s="624"/>
      <c r="GN27" s="58"/>
      <c r="GO27" s="58"/>
      <c r="GP27" s="624"/>
      <c r="GQ27" s="624"/>
      <c r="GR27" s="624"/>
      <c r="GS27" s="58"/>
      <c r="GT27" s="624"/>
      <c r="GU27" s="58"/>
      <c r="GV27" s="58"/>
      <c r="GW27" s="624"/>
      <c r="GX27" s="624"/>
      <c r="GY27" s="624"/>
      <c r="GZ27" s="58"/>
      <c r="HA27" s="624"/>
      <c r="HB27" s="58"/>
      <c r="HC27" s="58"/>
      <c r="HD27" s="624"/>
      <c r="HE27" s="624"/>
      <c r="HF27" s="624"/>
      <c r="HG27" s="58"/>
      <c r="HH27" s="624"/>
      <c r="HI27" s="58"/>
      <c r="HJ27" s="58"/>
      <c r="HK27" s="624"/>
      <c r="HL27" s="624"/>
      <c r="HM27" s="624"/>
      <c r="HN27" s="58"/>
      <c r="HO27" s="624"/>
      <c r="HP27" s="58"/>
      <c r="HQ27" s="58"/>
      <c r="HR27" s="624"/>
      <c r="HS27" s="624"/>
      <c r="HT27" s="624"/>
      <c r="HU27" s="58"/>
      <c r="HV27" s="624"/>
      <c r="HW27" s="58"/>
      <c r="HX27" s="58"/>
      <c r="HY27" s="624"/>
      <c r="HZ27" s="624"/>
      <c r="IA27" s="624"/>
      <c r="IB27" s="58"/>
      <c r="IC27" s="624"/>
      <c r="ID27" s="58"/>
      <c r="IE27" s="58"/>
      <c r="IF27" s="624"/>
      <c r="IG27" s="624"/>
      <c r="IH27" s="624"/>
      <c r="II27" s="58"/>
      <c r="IJ27" s="624"/>
      <c r="IK27" s="58"/>
      <c r="IL27" s="58"/>
      <c r="IM27" s="624"/>
      <c r="IN27" s="624"/>
      <c r="IO27" s="624"/>
      <c r="IP27" s="58"/>
      <c r="IQ27" s="624"/>
      <c r="IR27" s="58"/>
      <c r="IS27" s="58"/>
      <c r="IT27" s="624"/>
      <c r="IU27" s="624"/>
      <c r="IV27" s="624"/>
    </row>
    <row r="28" spans="1:256">
      <c r="A28" s="69" t="s">
        <v>449</v>
      </c>
      <c r="B28" s="551" t="str">
        <f>Client!B33</f>
        <v>CEN</v>
      </c>
      <c r="C28" s="552" t="s">
        <v>1105</v>
      </c>
      <c r="D28" s="70"/>
      <c r="E28" s="70"/>
      <c r="M28" s="69" t="s">
        <v>894</v>
      </c>
    </row>
    <row r="29" spans="1:256">
      <c r="A29" s="69" t="s">
        <v>608</v>
      </c>
      <c r="B29" s="789"/>
      <c r="C29" s="552" t="s">
        <v>1106</v>
      </c>
      <c r="D29" s="70"/>
      <c r="E29" s="70"/>
      <c r="I29" s="907" t="s">
        <v>1447</v>
      </c>
      <c r="M29" s="56" t="s">
        <v>893</v>
      </c>
    </row>
    <row r="30" spans="1:256">
      <c r="A30" s="71" t="s">
        <v>1130</v>
      </c>
      <c r="B30" s="789">
        <v>302</v>
      </c>
      <c r="C30" s="940" t="s">
        <v>1507</v>
      </c>
      <c r="D30" s="70"/>
      <c r="E30" s="70"/>
      <c r="I30" s="978" t="str">
        <f>IF(MIN(B8:E8)&lt;30000,"",MIN(B8:E8))</f>
        <v/>
      </c>
    </row>
    <row r="31" spans="1:256">
      <c r="A31" s="71" t="s">
        <v>820</v>
      </c>
      <c r="B31" s="945"/>
      <c r="C31" s="552" t="s">
        <v>821</v>
      </c>
      <c r="D31" s="70"/>
      <c r="E31" s="70"/>
      <c r="I31" s="978" t="str">
        <f>IF(MAX(B8:E8)&lt;30000,"",MAX(B8:E8))</f>
        <v/>
      </c>
      <c r="M31" s="639" t="str">
        <f>"'300 V' on the front panel, the rear panel HV-Polarity switch is set to '+' "</f>
        <v xml:space="preserve">'300 V' on the front panel, the rear panel HV-Polarity switch is set to '+' </v>
      </c>
    </row>
    <row r="32" spans="1:256">
      <c r="A32" s="71" t="s">
        <v>609</v>
      </c>
      <c r="B32" s="551" t="str">
        <f>IF(B29&lt;0,"CEN",IF(B29=0,"0","CEP"))</f>
        <v>0</v>
      </c>
      <c r="C32" s="552" t="s">
        <v>610</v>
      </c>
      <c r="D32" s="70"/>
      <c r="E32" s="70"/>
      <c r="M32" s="69" t="s">
        <v>895</v>
      </c>
    </row>
    <row r="33" spans="1:19">
      <c r="A33" s="71" t="s">
        <v>1135</v>
      </c>
      <c r="B33" s="831" t="str">
        <f>IF(B32=B28,"ok","Error: Electrometer PV measured at wrong polarity")</f>
        <v>Error: Electrometer PV measured at wrong polarity</v>
      </c>
    </row>
    <row r="34" spans="1:19">
      <c r="A34" s="71" t="s">
        <v>1134</v>
      </c>
      <c r="B34" s="831" t="str">
        <f>IF(B29*B30&lt;0,"ch1 and ch2 voltages are opposite!","ok")</f>
        <v>ok</v>
      </c>
    </row>
    <row r="38" spans="1:19">
      <c r="A38" s="58" t="s">
        <v>1120</v>
      </c>
      <c r="B38" s="624"/>
      <c r="C38" s="624"/>
      <c r="D38" s="624"/>
      <c r="E38" s="58"/>
      <c r="F38" s="624"/>
      <c r="G38" s="58"/>
      <c r="H38" s="58"/>
      <c r="I38" s="624"/>
      <c r="J38" s="624"/>
      <c r="K38" s="624"/>
      <c r="L38" s="58"/>
      <c r="M38" s="624"/>
      <c r="N38" s="58"/>
      <c r="O38" s="58"/>
      <c r="P38" s="624"/>
      <c r="Q38" s="624"/>
      <c r="R38" s="624"/>
      <c r="S38" s="58"/>
    </row>
    <row r="39" spans="1:19" ht="15">
      <c r="A39" s="1058" t="s">
        <v>487</v>
      </c>
      <c r="B39" s="1059"/>
      <c r="C39" s="1059"/>
      <c r="D39" s="1060"/>
      <c r="E39" s="1061" t="s">
        <v>490</v>
      </c>
      <c r="F39" s="1062"/>
      <c r="G39" s="1062"/>
      <c r="H39" s="1063"/>
      <c r="I39" s="640" t="s">
        <v>145</v>
      </c>
      <c r="J39" s="640" t="s">
        <v>530</v>
      </c>
      <c r="K39" s="640" t="s">
        <v>531</v>
      </c>
    </row>
    <row r="40" spans="1:19" ht="15">
      <c r="A40" s="1064" t="s">
        <v>488</v>
      </c>
      <c r="B40" s="1065"/>
      <c r="C40" s="1065"/>
      <c r="D40" s="1066"/>
      <c r="E40" s="1067">
        <f>A13</f>
        <v>0</v>
      </c>
      <c r="F40" s="1068"/>
      <c r="G40" s="1068"/>
      <c r="H40" s="1069"/>
      <c r="I40" s="635"/>
      <c r="J40" s="635"/>
      <c r="K40" s="474" t="e">
        <f>J40/I40*1000</f>
        <v>#DIV/0!</v>
      </c>
    </row>
    <row r="41" spans="1:19" ht="15">
      <c r="A41" s="1064" t="s">
        <v>489</v>
      </c>
      <c r="B41" s="1065"/>
      <c r="C41" s="1065"/>
      <c r="D41" s="1066"/>
      <c r="E41" s="1067">
        <f>E40</f>
        <v>0</v>
      </c>
      <c r="F41" s="1068"/>
      <c r="G41" s="1068"/>
      <c r="H41" s="1069"/>
      <c r="I41" s="635"/>
      <c r="J41" s="635"/>
      <c r="K41" s="474" t="e">
        <f>J41/I41*1000</f>
        <v>#DIV/0!</v>
      </c>
    </row>
    <row r="43" spans="1:19">
      <c r="A43" s="58" t="s">
        <v>1129</v>
      </c>
      <c r="B43" s="624"/>
      <c r="C43" s="624"/>
      <c r="D43" s="624"/>
      <c r="E43" s="58"/>
      <c r="F43" s="624"/>
      <c r="G43" s="58"/>
      <c r="H43" s="58"/>
      <c r="I43" s="624"/>
      <c r="J43" s="624"/>
      <c r="K43" s="624"/>
    </row>
    <row r="44" spans="1:19" ht="15">
      <c r="A44" s="1058" t="s">
        <v>487</v>
      </c>
      <c r="B44" s="1059"/>
      <c r="C44" s="1059"/>
      <c r="D44" s="1060"/>
      <c r="E44" s="1061" t="s">
        <v>490</v>
      </c>
      <c r="F44" s="1062"/>
      <c r="G44" s="1062"/>
      <c r="H44" s="1063"/>
      <c r="I44" s="640" t="s">
        <v>145</v>
      </c>
      <c r="J44" s="640" t="s">
        <v>530</v>
      </c>
      <c r="K44" s="640" t="s">
        <v>531</v>
      </c>
    </row>
    <row r="45" spans="1:19" ht="15">
      <c r="A45" s="1064" t="s">
        <v>488</v>
      </c>
      <c r="B45" s="1065"/>
      <c r="C45" s="1065"/>
      <c r="D45" s="1066"/>
      <c r="E45" s="1067">
        <f>K13</f>
        <v>0</v>
      </c>
      <c r="F45" s="1068"/>
      <c r="G45" s="1068"/>
      <c r="H45" s="1069"/>
      <c r="I45" s="635"/>
      <c r="J45" s="635"/>
      <c r="K45" s="474" t="e">
        <f>J45/I45*1000</f>
        <v>#DIV/0!</v>
      </c>
    </row>
    <row r="46" spans="1:19" ht="15">
      <c r="A46" s="1064" t="s">
        <v>489</v>
      </c>
      <c r="B46" s="1065"/>
      <c r="C46" s="1065"/>
      <c r="D46" s="1066"/>
      <c r="E46" s="1067">
        <f>E45</f>
        <v>0</v>
      </c>
      <c r="F46" s="1068"/>
      <c r="G46" s="1068"/>
      <c r="H46" s="1069"/>
      <c r="I46" s="635"/>
      <c r="J46" s="635"/>
      <c r="K46" s="474" t="e">
        <f>J46/I46*1000</f>
        <v>#DIV/0!</v>
      </c>
    </row>
  </sheetData>
  <sheetProtection sheet="1" objects="1" scenarios="1"/>
  <mergeCells count="14">
    <mergeCell ref="B20:E20"/>
    <mergeCell ref="B21:E21"/>
    <mergeCell ref="A39:D39"/>
    <mergeCell ref="A40:D40"/>
    <mergeCell ref="A41:D41"/>
    <mergeCell ref="E39:H39"/>
    <mergeCell ref="E40:H40"/>
    <mergeCell ref="E41:H41"/>
    <mergeCell ref="A44:D44"/>
    <mergeCell ref="E44:H44"/>
    <mergeCell ref="A45:D45"/>
    <mergeCell ref="E45:H45"/>
    <mergeCell ref="A46:D46"/>
    <mergeCell ref="E46:H46"/>
  </mergeCells>
  <conditionalFormatting sqref="E13">
    <cfRule type="expression" dxfId="129" priority="17">
      <formula>OR($C$13="",$C$13="nC")</formula>
    </cfRule>
  </conditionalFormatting>
  <conditionalFormatting sqref="E14">
    <cfRule type="expression" dxfId="128" priority="16">
      <formula>OR($C$14="",$C$14="nC")</formula>
    </cfRule>
  </conditionalFormatting>
  <conditionalFormatting sqref="E15">
    <cfRule type="expression" dxfId="127" priority="15">
      <formula>OR($C$15="",$C$15="nC")</formula>
    </cfRule>
  </conditionalFormatting>
  <conditionalFormatting sqref="E16">
    <cfRule type="expression" dxfId="126" priority="14">
      <formula>OR($C$16="",$C$16="nC")</formula>
    </cfRule>
  </conditionalFormatting>
  <conditionalFormatting sqref="E17">
    <cfRule type="expression" dxfId="125" priority="12">
      <formula>OR($C$17="",$C$17="nC")</formula>
    </cfRule>
  </conditionalFormatting>
  <conditionalFormatting sqref="E18">
    <cfRule type="expression" dxfId="124" priority="11">
      <formula>OR($C$18="",$C$18="nC")</formula>
    </cfRule>
  </conditionalFormatting>
  <conditionalFormatting sqref="I9">
    <cfRule type="cellIs" dxfId="123" priority="9" operator="equal">
      <formula>"Yes"</formula>
    </cfRule>
    <cfRule type="cellIs" dxfId="122" priority="10" operator="notEqual">
      <formula>"Yes"</formula>
    </cfRule>
  </conditionalFormatting>
  <conditionalFormatting sqref="I8">
    <cfRule type="cellIs" dxfId="121" priority="7" operator="equal">
      <formula>"Yes"</formula>
    </cfRule>
    <cfRule type="cellIs" dxfId="120" priority="8" operator="notEqual">
      <formula>"Yes"</formula>
    </cfRule>
  </conditionalFormatting>
  <conditionalFormatting sqref="Q9">
    <cfRule type="expression" dxfId="119" priority="1">
      <formula>$Q$8&lt;&gt;"Yes"</formula>
    </cfRule>
    <cfRule type="cellIs" dxfId="118" priority="3" operator="equal">
      <formula>"Yes"</formula>
    </cfRule>
    <cfRule type="cellIs" dxfId="117" priority="4" operator="notEqual">
      <formula>"Yes"</formula>
    </cfRule>
  </conditionalFormatting>
  <conditionalFormatting sqref="B30">
    <cfRule type="expression" dxfId="116" priority="2">
      <formula>$Q$8&lt;&gt;"Yes"</formula>
    </cfRule>
  </conditionalFormatting>
  <dataValidations count="1">
    <dataValidation type="list" allowBlank="1" showInputMessage="1" showErrorMessage="1" sqref="E24 I9 Q8" xr:uid="{00000000-0002-0000-0300-000000000000}">
      <formula1>$J$24:$J$25</formula1>
    </dataValidation>
  </dataValidations>
  <pageMargins left="0.7" right="0.7" top="0.75" bottom="0.75" header="0.3" footer="0.3"/>
  <pageSetup paperSize="9" scale="69" orientation="landscape" r:id="rId1"/>
  <ignoredErrors>
    <ignoredError sqref="Q9 I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3419528" r:id="rId4" name="Button 8">
              <controlPr defaultSize="0" print="0" autoFill="0" autoPict="0" macro="[0]!Button8_Click">
                <anchor moveWithCells="1" sizeWithCells="1">
                  <from>
                    <xdr:col>9</xdr:col>
                    <xdr:colOff>76200</xdr:colOff>
                    <xdr:row>6</xdr:row>
                    <xdr:rowOff>152400</xdr:rowOff>
                  </from>
                  <to>
                    <xdr:col>12</xdr:col>
                    <xdr:colOff>476250</xdr:colOff>
                    <xdr:row>9</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pageSetUpPr fitToPage="1"/>
  </sheetPr>
  <dimension ref="A1:N35"/>
  <sheetViews>
    <sheetView showGridLines="0" zoomScale="90" zoomScaleNormal="90" workbookViewId="0">
      <selection activeCell="C30" sqref="C30"/>
    </sheetView>
  </sheetViews>
  <sheetFormatPr defaultColWidth="9.140625" defaultRowHeight="12.75"/>
  <cols>
    <col min="1" max="1" width="18.85546875" style="56" customWidth="1"/>
    <col min="2" max="2" width="13.42578125" style="56" customWidth="1"/>
    <col min="3" max="3" width="15.42578125" style="56" customWidth="1"/>
    <col min="4" max="6" width="13.42578125" style="56" customWidth="1"/>
    <col min="7" max="16384" width="9.140625" style="56"/>
  </cols>
  <sheetData>
    <row r="1" spans="1:14" ht="18.75">
      <c r="A1" s="510" t="s">
        <v>146</v>
      </c>
      <c r="B1" s="511"/>
      <c r="C1" s="511"/>
      <c r="D1" s="511"/>
      <c r="F1" s="511"/>
    </row>
    <row r="2" spans="1:14" ht="15.75" customHeight="1">
      <c r="A2" s="597"/>
      <c r="B2" s="69"/>
      <c r="C2" s="69"/>
    </row>
    <row r="3" spans="1:14" ht="15.75" customHeight="1">
      <c r="A3" s="514" t="str">
        <f>Client!B5</f>
        <v>CAL11957</v>
      </c>
      <c r="B3" s="614" t="str">
        <f>Client!B6</f>
        <v>De-identified for distribution</v>
      </c>
      <c r="C3" s="542"/>
      <c r="D3" s="542"/>
      <c r="E3" s="542"/>
      <c r="F3" s="615"/>
    </row>
    <row r="4" spans="1:14" ht="15.75" customHeight="1">
      <c r="A4" s="188"/>
      <c r="B4" s="56" t="s">
        <v>108</v>
      </c>
      <c r="D4" s="56" t="s">
        <v>99</v>
      </c>
      <c r="E4" s="70"/>
    </row>
    <row r="5" spans="1:14" ht="15.75" customHeight="1">
      <c r="A5" s="56" t="s">
        <v>107</v>
      </c>
      <c r="B5" s="1077">
        <f>Client!B16</f>
        <v>0</v>
      </c>
      <c r="C5" s="1078"/>
      <c r="D5" s="616">
        <f>Client!B17</f>
        <v>0</v>
      </c>
      <c r="G5" s="57" t="str">
        <f>Intro!D4</f>
        <v>IRC-FORM-2100J (ARPANSA-FORM-1856)</v>
      </c>
      <c r="I5" s="511"/>
      <c r="K5" s="58"/>
      <c r="L5" s="58"/>
    </row>
    <row r="6" spans="1:14" ht="15.75" customHeight="1">
      <c r="A6" s="323"/>
      <c r="G6" s="59" t="str">
        <f>Intro!D5</f>
        <v>23-Production</v>
      </c>
      <c r="I6" s="69"/>
    </row>
    <row r="7" spans="1:14" ht="15.75" customHeight="1">
      <c r="A7" s="307" t="s">
        <v>59</v>
      </c>
      <c r="G7" s="59" t="str">
        <f>Intro!B10</f>
        <v>Validated: Note yet</v>
      </c>
      <c r="H7" s="60"/>
      <c r="I7" s="69"/>
    </row>
    <row r="8" spans="1:14" ht="15.75" customHeight="1">
      <c r="A8" s="56" t="s">
        <v>53</v>
      </c>
      <c r="B8" s="1082">
        <f>Elec!A13</f>
        <v>0</v>
      </c>
      <c r="C8" s="1082"/>
      <c r="D8" s="1082"/>
      <c r="E8" s="1082"/>
      <c r="F8" s="1082"/>
      <c r="G8" s="1082"/>
      <c r="H8" s="1082"/>
      <c r="I8" s="1082"/>
    </row>
    <row r="9" spans="1:14" ht="15.75" customHeight="1">
      <c r="A9" s="56" t="s">
        <v>54</v>
      </c>
      <c r="B9" s="617">
        <f>Elec!C13</f>
        <v>0</v>
      </c>
      <c r="C9" s="552" t="str">
        <f>"Note: the cal factor must be entered in units of "&amp;B9&amp;" per nominal nC!"</f>
        <v>Note: the cal factor must be entered in units of 0 per nominal nC!</v>
      </c>
      <c r="D9" s="188"/>
    </row>
    <row r="10" spans="1:14" ht="15.75" customHeight="1">
      <c r="A10" s="56" t="s">
        <v>55</v>
      </c>
      <c r="B10" s="618">
        <f>Elec!D13</f>
        <v>0</v>
      </c>
      <c r="C10" s="1083" t="str">
        <f>"nC per nominal "&amp;B9</f>
        <v>nC per nominal 0</v>
      </c>
      <c r="D10" s="1083"/>
      <c r="E10" s="56" t="str">
        <f>"(from charge sensitivity spreadsheet for "&amp;A3&amp;")"</f>
        <v>(from charge sensitivity spreadsheet for CAL11957)</v>
      </c>
    </row>
    <row r="11" spans="1:14" ht="15.75" customHeight="1">
      <c r="B11" s="619" t="str">
        <f>IF(OR(AND(B9="C",B10&lt;2),(AND(B9="nC",B10&gt;2))),"Are you sure you have the right units?","")</f>
        <v/>
      </c>
      <c r="K11" s="58"/>
    </row>
    <row r="12" spans="1:14" ht="15.75" customHeight="1">
      <c r="A12" s="56" t="s">
        <v>56</v>
      </c>
      <c r="B12" s="1079" t="str">
        <f>Client!B29&amp; " serial number " &amp;Client!B30</f>
        <v>IBA FC65-G serial number 457</v>
      </c>
      <c r="C12" s="1080"/>
      <c r="D12" s="1080"/>
      <c r="E12" s="1081"/>
      <c r="F12" s="56" t="s">
        <v>106</v>
      </c>
      <c r="N12" s="620"/>
    </row>
    <row r="13" spans="1:14" ht="15.75" customHeight="1">
      <c r="A13" s="59" t="s">
        <v>394</v>
      </c>
      <c r="B13" s="616">
        <f>Co!D27</f>
        <v>0</v>
      </c>
      <c r="C13" s="56" t="s">
        <v>7</v>
      </c>
      <c r="F13" s="56" t="s">
        <v>106</v>
      </c>
    </row>
    <row r="14" spans="1:14" ht="15.75" customHeight="1"/>
    <row r="15" spans="1:14" ht="15.75" customHeight="1">
      <c r="A15" s="69" t="s">
        <v>213</v>
      </c>
      <c r="E15" s="621">
        <f>IF(B10="","",B13*B10)</f>
        <v>0</v>
      </c>
      <c r="F15" s="622" t="str">
        <f>"mGy per nominal "&amp;B9</f>
        <v>mGy per nominal 0</v>
      </c>
      <c r="G15" s="623"/>
      <c r="H15" s="615"/>
    </row>
    <row r="16" spans="1:14" ht="15.75" customHeight="1">
      <c r="E16" s="624" t="s">
        <v>64</v>
      </c>
    </row>
    <row r="17" spans="1:14" ht="15.75" customHeight="1">
      <c r="A17" s="58" t="s">
        <v>60</v>
      </c>
    </row>
    <row r="18" spans="1:14" ht="15.75" customHeight="1">
      <c r="A18" s="56" t="s">
        <v>61</v>
      </c>
      <c r="C18" s="435"/>
      <c r="D18" s="622" t="str">
        <f>"nominal "&amp;B9&amp;"/s"</f>
        <v>nominal 0/s</v>
      </c>
      <c r="E18" s="615"/>
      <c r="F18" s="56" t="s">
        <v>62</v>
      </c>
      <c r="K18" s="58"/>
    </row>
    <row r="19" spans="1:14" ht="15.75" customHeight="1">
      <c r="A19" s="56" t="s">
        <v>57</v>
      </c>
      <c r="C19" s="625">
        <f>Co!N37</f>
        <v>0</v>
      </c>
      <c r="D19" s="69" t="s">
        <v>63</v>
      </c>
      <c r="F19" s="69" t="s">
        <v>556</v>
      </c>
    </row>
    <row r="20" spans="1:14" ht="15.75" customHeight="1">
      <c r="A20" s="56" t="s">
        <v>58</v>
      </c>
      <c r="C20" s="626" t="str">
        <f>IF(C18="","",C19/C18)</f>
        <v/>
      </c>
      <c r="D20" s="622" t="str">
        <f>"mGy per nominal "&amp;B9</f>
        <v>mGy per nominal 0</v>
      </c>
      <c r="E20" s="615"/>
    </row>
    <row r="21" spans="1:14" ht="15.75" customHeight="1">
      <c r="C21" s="624" t="s">
        <v>65</v>
      </c>
    </row>
    <row r="22" spans="1:14" ht="15.75" customHeight="1">
      <c r="C22" s="70"/>
    </row>
    <row r="23" spans="1:14" ht="15.75" customHeight="1">
      <c r="A23" s="57" t="s">
        <v>78</v>
      </c>
      <c r="B23" s="627" t="e">
        <f>IF(E15="","",C20-E15)</f>
        <v>#VALUE!</v>
      </c>
      <c r="C23" s="622" t="str">
        <f>D20</f>
        <v>mGy per nominal 0</v>
      </c>
      <c r="D23" s="623"/>
      <c r="E23" s="615"/>
    </row>
    <row r="24" spans="1:14" ht="15.75" customHeight="1">
      <c r="A24" s="57" t="s">
        <v>78</v>
      </c>
      <c r="B24" s="628" t="e">
        <f>IF(E15="","",(C20-E15)/E15*100)</f>
        <v>#VALUE!</v>
      </c>
      <c r="C24" s="69" t="s">
        <v>79</v>
      </c>
      <c r="D24" s="629"/>
      <c r="E24" s="530">
        <v>0.3</v>
      </c>
    </row>
    <row r="25" spans="1:14" ht="15.75" customHeight="1"/>
    <row r="26" spans="1:14" ht="15.75" customHeight="1"/>
    <row r="27" spans="1:14" ht="15.75" customHeight="1">
      <c r="A27" s="510" t="s">
        <v>105</v>
      </c>
      <c r="N27" s="630"/>
    </row>
    <row r="28" spans="1:14" ht="15.75" customHeight="1">
      <c r="A28" s="510"/>
      <c r="N28" s="630"/>
    </row>
    <row r="29" spans="1:14" ht="15.75" customHeight="1">
      <c r="A29" s="56" t="s">
        <v>102</v>
      </c>
      <c r="C29" s="1075"/>
      <c r="D29" s="1076"/>
      <c r="F29" s="56" t="s">
        <v>100</v>
      </c>
      <c r="N29" s="630"/>
    </row>
    <row r="30" spans="1:14" ht="15.75" customHeight="1">
      <c r="A30" s="56" t="s">
        <v>101</v>
      </c>
      <c r="C30" s="436"/>
      <c r="D30" s="56" t="str">
        <f>C10</f>
        <v>nC per nominal 0</v>
      </c>
      <c r="F30" s="56" t="s">
        <v>100</v>
      </c>
    </row>
    <row r="31" spans="1:14" ht="15.75" customHeight="1">
      <c r="A31" s="69" t="s">
        <v>178</v>
      </c>
      <c r="C31" s="631">
        <f>Co!C27</f>
        <v>0</v>
      </c>
      <c r="D31" s="56" t="str">
        <f>C13</f>
        <v>mGy/nC</v>
      </c>
      <c r="F31" s="56" t="s">
        <v>100</v>
      </c>
    </row>
    <row r="32" spans="1:14" ht="15.75" customHeight="1">
      <c r="A32" s="56" t="s">
        <v>58</v>
      </c>
      <c r="C32" s="621">
        <f>IF(C31="","",C30*C31)</f>
        <v>0</v>
      </c>
      <c r="D32" s="622" t="str">
        <f>"mGy per nominal "&amp;B9</f>
        <v>mGy per nominal 0</v>
      </c>
      <c r="E32" s="615"/>
      <c r="F32" s="58" t="s">
        <v>103</v>
      </c>
    </row>
    <row r="33" spans="1:6" ht="15.75" customHeight="1">
      <c r="A33" s="57" t="s">
        <v>104</v>
      </c>
      <c r="C33" s="632">
        <f>IF(C31="","",C32-E15)</f>
        <v>0</v>
      </c>
      <c r="D33" s="622" t="str">
        <f>F15</f>
        <v>mGy per nominal 0</v>
      </c>
      <c r="E33" s="623"/>
      <c r="F33" s="615"/>
    </row>
    <row r="34" spans="1:6" ht="15.75" customHeight="1">
      <c r="A34" s="57" t="s">
        <v>104</v>
      </c>
      <c r="C34" s="628" t="e">
        <f>IF(C33="","",C33/C32*100)</f>
        <v>#DIV/0!</v>
      </c>
      <c r="D34" s="69" t="s">
        <v>79</v>
      </c>
      <c r="E34" s="629"/>
      <c r="F34" s="530">
        <v>0.3</v>
      </c>
    </row>
    <row r="35" spans="1:6" ht="15.75" customHeight="1"/>
  </sheetData>
  <sheetProtection sheet="1" objects="1" scenarios="1"/>
  <mergeCells count="5">
    <mergeCell ref="C29:D29"/>
    <mergeCell ref="B5:C5"/>
    <mergeCell ref="B12:E12"/>
    <mergeCell ref="B8:I8"/>
    <mergeCell ref="C10:D10"/>
  </mergeCells>
  <phoneticPr fontId="2" type="noConversion"/>
  <conditionalFormatting sqref="B24">
    <cfRule type="cellIs" dxfId="115" priority="1" stopIfTrue="1" operator="greaterThan">
      <formula>$E$24</formula>
    </cfRule>
    <cfRule type="cellIs" dxfId="114" priority="2" stopIfTrue="1" operator="lessThan">
      <formula>-$E$24</formula>
    </cfRule>
  </conditionalFormatting>
  <conditionalFormatting sqref="C34">
    <cfRule type="cellIs" dxfId="113" priority="3" stopIfTrue="1" operator="notBetween">
      <formula>-$F$34</formula>
      <formula>$F$34</formula>
    </cfRule>
  </conditionalFormatting>
  <pageMargins left="0.75" right="0.75" top="1" bottom="1" header="0.5" footer="0.5"/>
  <pageSetup paperSize="9" scale="70" orientation="portrait" verticalDpi="2" r:id="rId1"/>
  <headerFooter alignWithMargins="0">
    <oddFooter>&amp;L&amp;8&amp;D
&amp;A
&amp;Z&amp;F</oddFooter>
  </headerFooter>
  <ignoredErrors>
    <ignoredError sqref="B12:B13 B5 D5" unlockedFormula="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AB321"/>
  <sheetViews>
    <sheetView topLeftCell="A16" zoomScaleNormal="100" workbookViewId="0">
      <selection activeCell="A17" sqref="A17"/>
    </sheetView>
  </sheetViews>
  <sheetFormatPr defaultRowHeight="12.75"/>
  <cols>
    <col min="1" max="4" width="4.42578125" customWidth="1"/>
    <col min="5" max="5" width="6.42578125" customWidth="1"/>
    <col min="6" max="20" width="4.42578125" customWidth="1"/>
    <col min="21" max="24" width="5" customWidth="1"/>
  </cols>
  <sheetData>
    <row r="1" spans="1:20" ht="12" customHeight="1"/>
    <row r="6" spans="1:20" ht="12.75" customHeight="1">
      <c r="A6" s="1109" t="s">
        <v>1173</v>
      </c>
      <c r="B6" s="1109"/>
      <c r="C6" s="1109"/>
      <c r="D6" s="1109"/>
      <c r="E6" s="1109"/>
      <c r="F6" s="1109"/>
      <c r="G6" s="1109"/>
      <c r="H6" s="1109"/>
      <c r="I6" s="1109"/>
      <c r="J6" s="1109"/>
      <c r="K6" s="1109"/>
      <c r="L6" s="1109"/>
      <c r="M6" s="1109"/>
      <c r="N6" s="1109"/>
      <c r="O6" s="1109"/>
      <c r="P6" s="1109"/>
      <c r="Q6" s="1109"/>
      <c r="R6" s="1109"/>
      <c r="S6" s="1109"/>
      <c r="T6" s="1109"/>
    </row>
    <row r="7" spans="1:20">
      <c r="A7" s="1110" t="s">
        <v>340</v>
      </c>
      <c r="B7" s="1110"/>
      <c r="C7" s="1110"/>
      <c r="D7" s="1110"/>
      <c r="E7" s="1110"/>
      <c r="F7" s="1110"/>
      <c r="G7" s="1110"/>
      <c r="H7" s="1110"/>
      <c r="I7" s="1110"/>
      <c r="J7" s="1110"/>
      <c r="K7" s="1110"/>
      <c r="L7" s="1110"/>
      <c r="M7" s="1110"/>
      <c r="N7" s="1110"/>
      <c r="O7" s="1110"/>
      <c r="P7" s="1110"/>
      <c r="Q7" s="1110"/>
      <c r="R7" s="1110"/>
      <c r="S7" s="1110"/>
      <c r="T7" s="1110"/>
    </row>
    <row r="8" spans="1:20">
      <c r="A8" s="1111" t="s">
        <v>341</v>
      </c>
      <c r="B8" s="1111"/>
      <c r="C8" s="1111"/>
      <c r="D8" s="1111"/>
      <c r="E8" s="1111"/>
      <c r="F8" s="1111"/>
      <c r="G8" s="1111"/>
      <c r="H8" s="1111"/>
      <c r="I8" s="1111"/>
      <c r="J8" s="1111"/>
      <c r="K8" s="1111"/>
      <c r="L8" s="1111"/>
      <c r="M8" s="1111"/>
      <c r="N8" s="1111"/>
      <c r="O8" s="1111"/>
      <c r="P8" s="1111"/>
      <c r="Q8" s="1111"/>
      <c r="R8" s="1111"/>
      <c r="S8" s="1111"/>
      <c r="T8" s="1111"/>
    </row>
    <row r="9" spans="1:20" ht="21.75" customHeight="1">
      <c r="A9" s="1112" t="s">
        <v>1174</v>
      </c>
      <c r="B9" s="1113"/>
      <c r="C9" s="1113"/>
      <c r="D9" s="1113"/>
      <c r="E9" s="1113"/>
      <c r="F9" s="1113"/>
      <c r="G9" s="1113"/>
      <c r="H9" s="1113"/>
      <c r="I9" s="1113"/>
      <c r="J9" s="1113"/>
      <c r="K9" s="1113"/>
      <c r="L9" s="1113"/>
      <c r="M9" s="1113"/>
      <c r="N9" s="1113"/>
      <c r="O9" s="1113"/>
      <c r="P9" s="1113"/>
      <c r="Q9" s="1113"/>
      <c r="R9" s="1113"/>
      <c r="S9" s="1113"/>
      <c r="T9" s="1113"/>
    </row>
    <row r="10" spans="1:20" ht="22.5" customHeight="1">
      <c r="A10" s="91"/>
      <c r="B10" s="91"/>
      <c r="C10" s="91"/>
      <c r="D10" s="91"/>
      <c r="E10" s="91"/>
      <c r="F10" s="91"/>
      <c r="G10" s="91"/>
      <c r="H10" s="91"/>
      <c r="I10" s="91"/>
      <c r="J10" s="92"/>
      <c r="K10" s="93"/>
      <c r="L10" s="91"/>
      <c r="M10" s="91"/>
      <c r="N10" s="94"/>
      <c r="O10" s="91"/>
      <c r="P10" s="91"/>
      <c r="T10" s="220" t="s">
        <v>648</v>
      </c>
    </row>
    <row r="11" spans="1:20" ht="15.75">
      <c r="A11" s="91"/>
      <c r="B11" s="91"/>
      <c r="C11" s="91"/>
      <c r="D11" s="91"/>
      <c r="E11" s="91"/>
      <c r="F11" s="91"/>
      <c r="G11" s="91"/>
      <c r="H11" s="91"/>
      <c r="I11" s="91"/>
      <c r="J11" s="91"/>
      <c r="K11" s="91"/>
      <c r="L11" s="91"/>
      <c r="M11" s="91"/>
      <c r="N11" s="94"/>
      <c r="O11" s="91"/>
      <c r="P11" s="91"/>
      <c r="T11" s="220" t="str">
        <f xml:space="preserve"> Client!B4</f>
        <v>None</v>
      </c>
    </row>
    <row r="12" spans="1:20" ht="15.75">
      <c r="A12" s="91"/>
      <c r="B12" s="91"/>
      <c r="C12" s="91"/>
      <c r="D12" s="91"/>
      <c r="E12" s="91"/>
      <c r="F12" s="91"/>
      <c r="G12" s="91"/>
      <c r="H12" s="91"/>
      <c r="I12" s="91"/>
      <c r="J12" s="91"/>
      <c r="K12" s="91"/>
      <c r="L12" s="91"/>
      <c r="M12" s="91"/>
      <c r="N12" s="91"/>
      <c r="O12" s="91"/>
      <c r="P12" s="91"/>
      <c r="Q12" s="91"/>
      <c r="R12" s="96"/>
      <c r="S12" s="96"/>
      <c r="T12" s="95" t="str">
        <f>Client!B5&amp;"/"&amp;TEXT(Client!B13,"00")</f>
        <v>CAL11957/01</v>
      </c>
    </row>
    <row r="13" spans="1:20" ht="15">
      <c r="A13" s="91"/>
      <c r="B13" s="91"/>
      <c r="C13" s="91"/>
      <c r="D13" s="91"/>
      <c r="E13" s="91"/>
      <c r="F13" s="91"/>
      <c r="G13" s="91"/>
      <c r="H13" s="91"/>
      <c r="I13" s="91"/>
      <c r="J13" s="91"/>
      <c r="K13" s="91"/>
      <c r="L13" s="91"/>
      <c r="M13" s="91"/>
      <c r="N13" s="91"/>
      <c r="O13" s="91"/>
      <c r="P13" s="91"/>
      <c r="Q13" s="91"/>
      <c r="R13" s="96"/>
      <c r="S13" s="96"/>
    </row>
    <row r="14" spans="1:20" ht="18.75">
      <c r="A14" s="1114" t="s">
        <v>342</v>
      </c>
      <c r="B14" s="1114"/>
      <c r="C14" s="1114"/>
      <c r="D14" s="1114"/>
      <c r="E14" s="1114"/>
      <c r="F14" s="1114"/>
      <c r="G14" s="1114"/>
      <c r="H14" s="1114"/>
      <c r="I14" s="1114"/>
      <c r="J14" s="1114"/>
      <c r="K14" s="1114"/>
      <c r="L14" s="1114"/>
      <c r="M14" s="1114"/>
      <c r="N14" s="1114"/>
      <c r="O14" s="1114"/>
      <c r="P14" s="1114"/>
      <c r="Q14" s="1114"/>
      <c r="R14" s="1114"/>
      <c r="S14" s="1114"/>
      <c r="T14" s="1114"/>
    </row>
    <row r="15" spans="1:20" ht="15" customHeight="1">
      <c r="A15" s="1142" t="s">
        <v>453</v>
      </c>
      <c r="B15" s="1142"/>
      <c r="C15" s="1142"/>
      <c r="D15" s="1142"/>
      <c r="E15" s="1142"/>
      <c r="F15" s="1142"/>
      <c r="G15" s="1142"/>
      <c r="H15" s="1142"/>
      <c r="I15" s="1142"/>
      <c r="J15" s="1142"/>
      <c r="K15" s="1142"/>
      <c r="L15" s="1142"/>
      <c r="M15" s="1142"/>
      <c r="N15" s="1142"/>
      <c r="O15" s="1142"/>
      <c r="P15" s="1142"/>
      <c r="Q15" s="1142"/>
      <c r="R15" s="1142"/>
      <c r="S15" s="1142"/>
      <c r="T15" s="1142"/>
    </row>
    <row r="16" spans="1:20" ht="15" customHeight="1">
      <c r="A16" s="1143" t="str">
        <f>IF(Elec!Q8="Yes","NOT THIS REPORT - SEE 'ElecRep2Ch' for 2 CHANNEL REPORT","")</f>
        <v/>
      </c>
      <c r="B16" s="1143"/>
      <c r="C16" s="1143"/>
      <c r="D16" s="1143"/>
      <c r="E16" s="1143"/>
      <c r="F16" s="1143"/>
      <c r="G16" s="1143"/>
      <c r="H16" s="1143"/>
      <c r="I16" s="1143"/>
      <c r="J16" s="1143"/>
      <c r="K16" s="1143"/>
      <c r="L16" s="1143"/>
      <c r="M16" s="1143"/>
      <c r="N16" s="1143"/>
      <c r="O16" s="1143"/>
      <c r="P16" s="1143"/>
      <c r="Q16" s="1143"/>
      <c r="R16" s="1143"/>
      <c r="S16" s="1143"/>
      <c r="T16" s="1143"/>
    </row>
    <row r="17" spans="1:20" ht="15">
      <c r="A17" s="91"/>
      <c r="B17" s="91"/>
      <c r="C17" s="91"/>
      <c r="D17" s="91"/>
      <c r="E17" s="91"/>
      <c r="F17" s="91"/>
      <c r="G17" s="91"/>
      <c r="H17" s="91"/>
      <c r="I17" s="91"/>
      <c r="J17" s="91"/>
      <c r="K17" s="91"/>
      <c r="L17" s="91"/>
      <c r="M17" s="91"/>
      <c r="N17" s="91"/>
      <c r="O17" s="91"/>
      <c r="P17" s="91"/>
      <c r="Q17" s="91"/>
      <c r="R17" s="96"/>
      <c r="S17" s="96"/>
    </row>
    <row r="18" spans="1:20" ht="15.75">
      <c r="A18" s="98" t="s">
        <v>2</v>
      </c>
      <c r="B18" s="99"/>
      <c r="C18" s="99"/>
      <c r="D18" s="99"/>
      <c r="E18" s="99"/>
      <c r="F18" s="99"/>
      <c r="G18" s="100" t="str">
        <f>Client!B6</f>
        <v>De-identified for distribution</v>
      </c>
      <c r="H18" s="99"/>
      <c r="I18" s="99"/>
      <c r="J18" s="99"/>
      <c r="K18" s="99"/>
      <c r="L18" s="99"/>
      <c r="M18" s="99"/>
      <c r="N18" s="99"/>
      <c r="O18" s="99"/>
      <c r="P18" s="99"/>
      <c r="Q18" s="91"/>
      <c r="R18" s="96"/>
      <c r="S18" s="96"/>
    </row>
    <row r="19" spans="1:20" ht="15.75">
      <c r="A19" s="98"/>
      <c r="B19" s="99"/>
      <c r="C19" s="99"/>
      <c r="D19" s="99"/>
      <c r="E19" s="99"/>
      <c r="F19" s="99"/>
      <c r="G19" s="100" t="str">
        <f>Client!B7</f>
        <v>100 Street Name</v>
      </c>
      <c r="H19" s="99"/>
      <c r="I19" s="99"/>
      <c r="J19" s="99"/>
      <c r="K19" s="99"/>
      <c r="L19" s="99"/>
      <c r="M19" s="99"/>
      <c r="N19" s="99"/>
      <c r="O19" s="99"/>
      <c r="P19" s="99"/>
      <c r="Q19" s="91"/>
      <c r="R19" s="96"/>
      <c r="S19" s="96"/>
    </row>
    <row r="20" spans="1:20" ht="15.75">
      <c r="A20" s="98"/>
      <c r="B20" s="99"/>
      <c r="C20" s="99"/>
      <c r="D20" s="99"/>
      <c r="E20" s="99"/>
      <c r="F20" s="99"/>
      <c r="G20" s="100" t="str">
        <f>Client!B8</f>
        <v>Suburb 2000 NSW</v>
      </c>
      <c r="H20" s="99"/>
      <c r="I20" s="99"/>
      <c r="J20" s="99"/>
      <c r="K20" s="99"/>
      <c r="L20" s="99"/>
      <c r="M20" s="99"/>
      <c r="N20" s="99"/>
      <c r="O20" s="99"/>
      <c r="P20" s="99"/>
      <c r="Q20" s="91"/>
      <c r="R20" s="96"/>
      <c r="S20" s="96"/>
    </row>
    <row r="21" spans="1:20" ht="15.75">
      <c r="A21" s="98"/>
      <c r="B21" s="99"/>
      <c r="C21" s="99"/>
      <c r="D21" s="99"/>
      <c r="E21" s="99"/>
      <c r="F21" s="99"/>
      <c r="G21" s="99" t="str">
        <f xml:space="preserve"> IF(Client!B9="","",Client!B9)</f>
        <v/>
      </c>
      <c r="H21" s="99"/>
      <c r="I21" s="99"/>
      <c r="J21" s="99"/>
      <c r="K21" s="99"/>
      <c r="L21" s="99"/>
      <c r="M21" s="99"/>
      <c r="N21" s="99"/>
      <c r="O21" s="99"/>
      <c r="P21" s="99"/>
      <c r="Q21" s="91"/>
      <c r="R21" s="96"/>
      <c r="S21" s="96"/>
    </row>
    <row r="22" spans="1:20" ht="15.75">
      <c r="A22" s="98"/>
      <c r="B22" s="99"/>
      <c r="C22" s="99"/>
      <c r="D22" s="99"/>
      <c r="E22" s="99"/>
      <c r="F22" s="99"/>
      <c r="G22" s="99"/>
      <c r="H22" s="99"/>
      <c r="I22" s="99"/>
      <c r="J22" s="99"/>
      <c r="K22" s="99"/>
      <c r="L22" s="99"/>
      <c r="M22" s="99"/>
      <c r="N22" s="99"/>
      <c r="O22" s="99"/>
      <c r="P22" s="99"/>
      <c r="Q22" s="91"/>
      <c r="R22" s="96"/>
      <c r="S22" s="96"/>
    </row>
    <row r="23" spans="1:20" ht="15.75">
      <c r="A23" s="98" t="s">
        <v>107</v>
      </c>
      <c r="B23" s="99"/>
      <c r="C23" s="99"/>
      <c r="D23" s="99"/>
      <c r="E23" s="99"/>
      <c r="F23" s="99"/>
      <c r="G23" s="99" t="str">
        <f>Client!B16&amp;", serial number " &amp;Client!B17</f>
        <v xml:space="preserve">, serial number </v>
      </c>
      <c r="H23" s="99"/>
      <c r="I23" s="99"/>
      <c r="J23" s="99"/>
      <c r="K23" s="99"/>
      <c r="L23" s="99"/>
      <c r="M23" s="99"/>
      <c r="N23" s="99"/>
      <c r="O23" s="99"/>
      <c r="P23" s="99"/>
      <c r="Q23" s="91"/>
      <c r="R23" s="96"/>
      <c r="S23" s="96"/>
    </row>
    <row r="24" spans="1:20" ht="15.75">
      <c r="A24" s="98"/>
      <c r="B24" s="99"/>
      <c r="C24" s="99"/>
      <c r="D24" s="99"/>
      <c r="E24" s="99"/>
      <c r="F24" s="99"/>
      <c r="G24" s="99"/>
      <c r="H24" s="99"/>
      <c r="I24" s="99"/>
      <c r="J24" s="99"/>
      <c r="K24" s="99"/>
      <c r="L24" s="99"/>
      <c r="M24" s="99"/>
      <c r="N24" s="99"/>
      <c r="O24" s="99"/>
      <c r="P24" s="99"/>
      <c r="Q24" s="91"/>
      <c r="R24" s="96"/>
      <c r="S24" s="96"/>
    </row>
    <row r="25" spans="1:20" ht="15.75">
      <c r="A25" s="98" t="s">
        <v>334</v>
      </c>
      <c r="B25" s="99"/>
      <c r="C25" s="99"/>
      <c r="D25" s="99"/>
      <c r="E25" s="99"/>
      <c r="F25" s="99"/>
      <c r="G25" s="99" t="str" cm="1">
        <f t="array" ref="G25">make_Date_range(Client!B15,Client!C15)</f>
        <v>0</v>
      </c>
      <c r="H25" s="99"/>
      <c r="I25" s="99"/>
      <c r="J25" s="99"/>
      <c r="K25" s="99"/>
      <c r="L25" s="99"/>
      <c r="M25" s="99"/>
      <c r="N25" s="99"/>
      <c r="O25" s="99"/>
      <c r="P25" s="99"/>
      <c r="Q25" s="91"/>
      <c r="R25" s="96"/>
      <c r="S25" s="96"/>
    </row>
    <row r="26" spans="1:20" ht="15.75">
      <c r="A26" s="98"/>
      <c r="B26" s="99"/>
      <c r="C26" s="99"/>
      <c r="D26" s="99"/>
      <c r="E26" s="99"/>
      <c r="F26" s="99"/>
      <c r="G26" s="99"/>
      <c r="H26" s="99"/>
      <c r="I26" s="99"/>
      <c r="J26" s="99"/>
      <c r="K26" s="99"/>
      <c r="L26" s="99"/>
      <c r="M26" s="99"/>
      <c r="N26" s="99"/>
      <c r="O26" s="99"/>
      <c r="P26" s="99"/>
      <c r="Q26" s="91"/>
      <c r="R26" s="96"/>
      <c r="S26" s="96"/>
    </row>
    <row r="27" spans="1:20" ht="15.75" customHeight="1">
      <c r="A27" s="98" t="s">
        <v>71</v>
      </c>
      <c r="B27" s="99"/>
      <c r="C27" s="99"/>
      <c r="D27" s="99"/>
      <c r="E27" s="99"/>
      <c r="F27" s="99"/>
      <c r="G27" s="100">
        <f>Client!B22</f>
        <v>0</v>
      </c>
      <c r="H27" s="99"/>
      <c r="I27" s="99"/>
      <c r="J27" s="97"/>
      <c r="K27" s="99"/>
      <c r="L27" s="99"/>
      <c r="M27" s="99"/>
      <c r="N27" s="99"/>
      <c r="O27" s="99"/>
      <c r="P27" s="99"/>
      <c r="R27" s="96"/>
      <c r="S27" s="96"/>
    </row>
    <row r="28" spans="1:20" ht="15.75">
      <c r="A28" s="98"/>
      <c r="B28" s="99"/>
      <c r="C28" s="99"/>
      <c r="D28" s="99"/>
      <c r="E28" s="99"/>
      <c r="F28" s="99"/>
      <c r="G28" s="99"/>
      <c r="H28" s="99"/>
      <c r="I28" s="99"/>
      <c r="J28" s="99"/>
      <c r="K28" s="99"/>
      <c r="L28" s="99"/>
      <c r="M28" s="99"/>
      <c r="N28" s="99"/>
      <c r="O28" s="99"/>
      <c r="P28" s="99"/>
      <c r="R28" s="96"/>
      <c r="S28" s="96"/>
    </row>
    <row r="29" spans="1:20" ht="15.75">
      <c r="A29" s="98" t="str">
        <f>IF(Client!L24,"Test and report by","Test by")</f>
        <v>Test and report by</v>
      </c>
      <c r="B29" s="99"/>
      <c r="C29" s="99"/>
      <c r="D29" s="99"/>
      <c r="E29" s="99"/>
      <c r="F29" s="99"/>
      <c r="G29" s="100">
        <f>Client!B23</f>
        <v>0</v>
      </c>
      <c r="H29" s="99"/>
      <c r="I29" s="99"/>
      <c r="J29" s="99"/>
      <c r="K29" s="99"/>
      <c r="L29" s="99"/>
      <c r="M29" s="99"/>
      <c r="N29" s="99"/>
      <c r="O29" s="99"/>
      <c r="P29" s="99"/>
      <c r="R29" s="96"/>
      <c r="S29" s="96"/>
      <c r="T29" s="1147" t="str">
        <f>Intro!D4&amp;" "&amp;Intro!D5</f>
        <v>IRC-FORM-2100J (ARPANSA-FORM-1856) 23-Production</v>
      </c>
    </row>
    <row r="30" spans="1:20" ht="15.75" customHeight="1">
      <c r="A30" s="98" t="str">
        <f>IF(Client!L24,"","Report by")</f>
        <v/>
      </c>
      <c r="B30" s="99"/>
      <c r="C30" s="99"/>
      <c r="D30" s="99"/>
      <c r="E30" s="99"/>
      <c r="F30" s="99"/>
      <c r="G30" s="99" t="str">
        <f>IF(Client!L24,"",Client!B24)</f>
        <v/>
      </c>
      <c r="H30" s="99"/>
      <c r="I30" s="99"/>
      <c r="J30" s="99"/>
      <c r="K30" s="99"/>
      <c r="L30" s="99"/>
      <c r="M30" s="99"/>
      <c r="N30" s="99"/>
      <c r="O30" s="99"/>
      <c r="P30" s="99"/>
      <c r="R30" s="96"/>
      <c r="S30" s="96"/>
      <c r="T30" s="1147"/>
    </row>
    <row r="31" spans="1:20" ht="15.75">
      <c r="A31" s="98" t="s">
        <v>333</v>
      </c>
      <c r="B31" s="99"/>
      <c r="C31" s="99"/>
      <c r="D31" s="99"/>
      <c r="E31" s="99"/>
      <c r="F31" s="99"/>
      <c r="G31" s="99" t="str" cm="1">
        <f t="array" ref="G31">date_to_text(Client!B14)</f>
        <v>0</v>
      </c>
      <c r="H31" s="99"/>
      <c r="I31" s="99"/>
      <c r="J31" s="99"/>
      <c r="K31" s="99"/>
      <c r="L31" s="99"/>
      <c r="M31" s="99"/>
      <c r="N31" s="99"/>
      <c r="O31" s="99"/>
      <c r="P31" s="99"/>
      <c r="R31" s="96"/>
      <c r="S31" s="96"/>
      <c r="T31" s="1147"/>
    </row>
    <row r="32" spans="1:20" ht="15.75">
      <c r="A32" s="98"/>
      <c r="B32" s="99"/>
      <c r="C32" s="99"/>
      <c r="D32" s="99"/>
      <c r="E32" s="99"/>
      <c r="F32" s="99"/>
      <c r="G32" s="100"/>
      <c r="H32" s="99"/>
      <c r="I32" s="99"/>
      <c r="J32" s="99"/>
      <c r="K32" s="99"/>
      <c r="L32" s="99"/>
      <c r="M32" s="99"/>
      <c r="N32" s="99"/>
      <c r="O32" s="99"/>
      <c r="P32" s="99"/>
      <c r="R32" s="96"/>
      <c r="S32" s="96"/>
      <c r="T32" s="1147"/>
    </row>
    <row r="33" spans="1:20" ht="15.75">
      <c r="A33" s="98"/>
      <c r="B33" s="99"/>
      <c r="C33" s="99"/>
      <c r="D33" s="99"/>
      <c r="E33" s="99"/>
      <c r="F33" s="99"/>
      <c r="G33" s="100"/>
      <c r="H33" s="99"/>
      <c r="I33" s="99"/>
      <c r="J33" s="99"/>
      <c r="K33" s="99"/>
      <c r="L33" s="99"/>
      <c r="M33" s="99"/>
      <c r="N33" s="99"/>
      <c r="O33" s="99"/>
      <c r="P33" s="99"/>
      <c r="R33" s="96"/>
      <c r="S33" s="96"/>
      <c r="T33" s="1147"/>
    </row>
    <row r="34" spans="1:20" ht="15.75">
      <c r="A34" s="98"/>
      <c r="B34" s="99"/>
      <c r="C34" s="99"/>
      <c r="D34" s="99"/>
      <c r="E34" s="99"/>
      <c r="F34" s="99"/>
      <c r="G34" s="99"/>
      <c r="H34" s="99"/>
      <c r="I34" s="99"/>
      <c r="J34" s="99"/>
      <c r="K34" s="99"/>
      <c r="L34" s="99"/>
      <c r="M34" s="99"/>
      <c r="N34" s="99"/>
      <c r="O34" s="99"/>
      <c r="P34" s="99"/>
      <c r="R34" s="96"/>
      <c r="S34" s="96"/>
      <c r="T34" s="1147"/>
    </row>
    <row r="35" spans="1:20" ht="15.75">
      <c r="A35" s="99" t="s">
        <v>343</v>
      </c>
      <c r="B35" s="99"/>
      <c r="C35" s="99"/>
      <c r="D35" s="99"/>
      <c r="E35" s="99"/>
      <c r="F35" s="99"/>
      <c r="G35" s="99" t="s">
        <v>344</v>
      </c>
      <c r="H35" s="99"/>
      <c r="I35" s="99"/>
      <c r="J35" s="99"/>
      <c r="K35" s="99"/>
      <c r="L35" s="99"/>
      <c r="M35" s="99"/>
      <c r="N35" s="99"/>
      <c r="O35" s="99"/>
      <c r="P35" s="99"/>
      <c r="R35" s="96"/>
      <c r="S35" s="96"/>
      <c r="T35" s="1147"/>
    </row>
    <row r="36" spans="1:20" ht="15.75">
      <c r="A36" s="98" t="s">
        <v>345</v>
      </c>
      <c r="B36" s="99"/>
      <c r="C36" s="99"/>
      <c r="D36" s="99"/>
      <c r="E36" s="99"/>
      <c r="F36" s="99"/>
      <c r="G36" s="860" t="s">
        <v>1177</v>
      </c>
      <c r="H36" s="99"/>
      <c r="I36" s="99"/>
      <c r="J36" s="99"/>
      <c r="K36" s="99"/>
      <c r="L36" s="99"/>
      <c r="M36" s="99"/>
      <c r="N36" s="99"/>
      <c r="O36" s="99"/>
      <c r="P36" s="99"/>
      <c r="R36" s="96"/>
      <c r="S36" s="96"/>
      <c r="T36" s="1147"/>
    </row>
    <row r="37" spans="1:20" ht="15.75" customHeight="1">
      <c r="A37" s="99"/>
      <c r="B37" s="99"/>
      <c r="C37" s="99"/>
      <c r="D37" s="99"/>
      <c r="E37" s="99"/>
      <c r="F37" s="99"/>
      <c r="G37" s="99"/>
      <c r="H37" s="99"/>
      <c r="I37" s="99"/>
      <c r="J37" s="99"/>
      <c r="K37" s="99"/>
      <c r="L37" s="99"/>
      <c r="M37" s="99"/>
      <c r="N37" s="99"/>
      <c r="O37" s="99"/>
      <c r="P37" s="99"/>
      <c r="R37" s="96"/>
      <c r="S37" s="96"/>
      <c r="T37" s="1147"/>
    </row>
    <row r="38" spans="1:20" ht="27.75" customHeight="1">
      <c r="A38" s="99"/>
      <c r="B38" s="99"/>
      <c r="C38" s="99"/>
      <c r="D38" s="99"/>
      <c r="E38" s="99"/>
      <c r="F38" s="99"/>
      <c r="G38" s="99"/>
      <c r="H38" s="99"/>
      <c r="I38" s="99"/>
      <c r="J38" s="99"/>
      <c r="K38" s="99"/>
      <c r="L38" s="99"/>
      <c r="M38" s="99"/>
      <c r="N38" s="99"/>
      <c r="O38" s="99"/>
      <c r="P38" s="99"/>
      <c r="Q38" s="91"/>
      <c r="R38" s="96"/>
      <c r="S38" s="96"/>
      <c r="T38" s="1147"/>
    </row>
    <row r="39" spans="1:20" ht="15.75">
      <c r="A39" s="99" t="s">
        <v>346</v>
      </c>
      <c r="B39" s="99"/>
      <c r="C39" s="101"/>
      <c r="D39" s="101"/>
      <c r="E39" s="101"/>
      <c r="F39" s="101"/>
      <c r="G39" s="101"/>
      <c r="H39" s="102" t="s">
        <v>347</v>
      </c>
      <c r="I39" s="99"/>
      <c r="J39" s="99"/>
      <c r="K39" s="99"/>
      <c r="L39" s="99"/>
      <c r="N39" s="95" t="s">
        <v>348</v>
      </c>
      <c r="O39" s="1146"/>
      <c r="P39" s="1146"/>
      <c r="Q39" s="1146"/>
      <c r="R39" s="1146"/>
      <c r="S39" s="91"/>
      <c r="T39" s="1147"/>
    </row>
    <row r="40" spans="1:20" ht="15.75">
      <c r="A40" s="99"/>
      <c r="B40" s="99"/>
      <c r="C40" s="99"/>
      <c r="D40" s="99"/>
      <c r="E40" s="99"/>
      <c r="F40" s="99"/>
      <c r="G40" s="99"/>
      <c r="H40" s="99"/>
      <c r="I40" s="99"/>
      <c r="J40" s="99"/>
      <c r="K40" s="99"/>
      <c r="L40" s="99"/>
      <c r="M40" s="99"/>
      <c r="N40" s="99"/>
      <c r="O40" s="99"/>
      <c r="P40" s="99"/>
      <c r="Q40" s="91"/>
      <c r="R40" s="96"/>
      <c r="S40" s="96"/>
      <c r="T40" s="1147"/>
    </row>
    <row r="41" spans="1:20" ht="15.75">
      <c r="A41" s="100">
        <f>Client!B25</f>
        <v>0</v>
      </c>
      <c r="B41" s="99"/>
      <c r="C41" s="99"/>
      <c r="D41" s="99"/>
      <c r="E41" s="99"/>
      <c r="F41" s="99"/>
      <c r="G41" s="99"/>
      <c r="H41" s="99"/>
      <c r="I41" s="99"/>
      <c r="J41" s="99"/>
      <c r="K41" s="99"/>
      <c r="L41" s="99"/>
      <c r="M41" s="99"/>
      <c r="N41" s="99"/>
      <c r="O41" s="99"/>
      <c r="P41" s="99"/>
      <c r="Q41" s="91"/>
      <c r="R41" s="96"/>
      <c r="S41" s="96"/>
      <c r="T41" s="1147"/>
    </row>
    <row r="42" spans="1:20" ht="15.75">
      <c r="A42" s="99" t="s">
        <v>349</v>
      </c>
      <c r="B42" s="99"/>
      <c r="C42" s="99"/>
      <c r="D42" s="99"/>
      <c r="E42" s="99"/>
      <c r="F42" s="99"/>
      <c r="G42" s="99"/>
      <c r="H42" s="99"/>
      <c r="I42" s="99"/>
      <c r="J42" s="99"/>
      <c r="K42" s="99"/>
      <c r="L42" s="99"/>
      <c r="M42" s="99"/>
      <c r="N42" s="99"/>
      <c r="O42" s="99"/>
      <c r="P42" s="99"/>
      <c r="Q42" s="91"/>
      <c r="R42" s="96"/>
      <c r="S42" s="96"/>
    </row>
    <row r="43" spans="1:20" ht="15">
      <c r="A43" s="96"/>
      <c r="B43" s="96"/>
      <c r="C43" s="96"/>
      <c r="D43" s="96"/>
      <c r="E43" s="96"/>
      <c r="F43" s="96"/>
      <c r="G43" s="96"/>
      <c r="H43" s="96"/>
      <c r="I43" s="96"/>
      <c r="J43" s="96"/>
      <c r="K43" s="96"/>
      <c r="L43" s="96"/>
      <c r="M43" s="96"/>
      <c r="N43" s="96"/>
      <c r="O43" s="96"/>
      <c r="P43" s="96"/>
      <c r="Q43" s="96"/>
      <c r="R43" s="96"/>
      <c r="S43" s="96"/>
    </row>
    <row r="46" spans="1:20" ht="15">
      <c r="M46" s="103"/>
    </row>
    <row r="47" spans="1:20" ht="9.9499999999999993" customHeight="1"/>
    <row r="48" spans="1:20" ht="8.1" customHeight="1">
      <c r="N48" s="104" t="s">
        <v>350</v>
      </c>
    </row>
    <row r="49" spans="1:20" ht="8.1" customHeight="1">
      <c r="N49" s="104" t="s">
        <v>351</v>
      </c>
    </row>
    <row r="50" spans="1:20" ht="8.1" customHeight="1">
      <c r="E50" s="105" t="s">
        <v>1058</v>
      </c>
      <c r="N50" s="104" t="s">
        <v>352</v>
      </c>
    </row>
    <row r="51" spans="1:20" ht="8.1" customHeight="1">
      <c r="E51" s="105" t="s">
        <v>353</v>
      </c>
      <c r="N51" s="104" t="s">
        <v>354</v>
      </c>
    </row>
    <row r="52" spans="1:20" ht="8.1" customHeight="1">
      <c r="C52" s="105"/>
      <c r="E52" s="105" t="s">
        <v>355</v>
      </c>
      <c r="N52" s="104" t="s">
        <v>356</v>
      </c>
    </row>
    <row r="53" spans="1:20" ht="8.1" customHeight="1">
      <c r="E53" s="105" t="s">
        <v>357</v>
      </c>
      <c r="N53" s="104" t="s">
        <v>358</v>
      </c>
    </row>
    <row r="54" spans="1:20" ht="13.5" customHeight="1">
      <c r="E54" s="106" t="s">
        <v>1238</v>
      </c>
      <c r="N54" s="107" t="s">
        <v>359</v>
      </c>
    </row>
    <row r="55" spans="1:20" ht="10.5" customHeight="1"/>
    <row r="56" spans="1:20">
      <c r="A56" s="420" t="str">
        <f>"Calibration No.: "&amp;$T$12</f>
        <v>Calibration No.: CAL11957/01</v>
      </c>
      <c r="B56" s="421"/>
      <c r="C56" s="421"/>
      <c r="D56" s="421"/>
      <c r="E56" s="421"/>
      <c r="F56" s="421"/>
      <c r="G56" s="421"/>
      <c r="H56" s="421"/>
      <c r="I56" s="422" t="str">
        <f>$G$31</f>
        <v>0</v>
      </c>
      <c r="J56" s="421"/>
      <c r="K56" s="421"/>
      <c r="L56" s="421"/>
      <c r="M56" s="421"/>
      <c r="N56" s="420" t="s">
        <v>360</v>
      </c>
      <c r="O56" s="423"/>
      <c r="P56" s="423"/>
      <c r="Q56" s="423"/>
      <c r="R56" s="423"/>
      <c r="S56" s="423"/>
      <c r="T56" s="423" t="s">
        <v>526</v>
      </c>
    </row>
    <row r="57" spans="1:20">
      <c r="A57" s="122"/>
      <c r="B57" s="120"/>
      <c r="C57" s="120"/>
      <c r="D57" s="120"/>
      <c r="E57" s="120"/>
      <c r="F57" s="120"/>
      <c r="G57" s="120"/>
      <c r="H57" s="120"/>
      <c r="I57" s="121"/>
      <c r="J57" s="120"/>
      <c r="K57" s="120"/>
      <c r="L57" s="120"/>
      <c r="M57" s="120"/>
      <c r="N57" s="122"/>
      <c r="O57" s="123"/>
      <c r="P57" s="123"/>
      <c r="Q57" s="123"/>
      <c r="R57" s="123"/>
      <c r="S57" s="123"/>
      <c r="T57" s="123"/>
    </row>
    <row r="58" spans="1:20">
      <c r="A58" s="122"/>
      <c r="B58" s="120"/>
      <c r="C58" s="120"/>
      <c r="D58" s="120"/>
      <c r="E58" s="120"/>
      <c r="F58" s="120"/>
      <c r="G58" s="120"/>
      <c r="H58" s="120"/>
      <c r="I58" s="121"/>
      <c r="J58" s="120"/>
      <c r="K58" s="120"/>
      <c r="L58" s="120"/>
      <c r="M58" s="120"/>
      <c r="N58" s="122"/>
      <c r="O58" s="123"/>
      <c r="P58" s="123"/>
      <c r="Q58" s="123"/>
      <c r="R58" s="123"/>
      <c r="S58" s="123"/>
      <c r="T58" s="123"/>
    </row>
    <row r="59" spans="1:20" ht="15.75">
      <c r="A59" s="1144" t="s">
        <v>361</v>
      </c>
      <c r="B59" s="1144"/>
      <c r="C59" s="1144"/>
      <c r="D59" s="1144"/>
      <c r="E59" s="1144"/>
      <c r="F59" s="1144"/>
      <c r="G59" s="1144"/>
      <c r="H59" s="1144"/>
      <c r="I59" s="1144"/>
      <c r="J59" s="1144"/>
      <c r="K59" s="1144"/>
      <c r="L59" s="1144"/>
      <c r="M59" s="1144"/>
      <c r="N59" s="1144"/>
      <c r="O59" s="1144"/>
      <c r="P59" s="1144"/>
      <c r="Q59" s="1144"/>
      <c r="R59" s="1144"/>
      <c r="S59" s="1144"/>
      <c r="T59" s="1144"/>
    </row>
    <row r="60" spans="1:20" ht="15.75">
      <c r="A60" s="109"/>
      <c r="B60" s="109"/>
      <c r="C60" s="109"/>
      <c r="D60" s="109"/>
      <c r="E60" s="109"/>
      <c r="F60" s="109"/>
      <c r="G60" s="109"/>
      <c r="H60" s="109"/>
      <c r="I60" s="109"/>
      <c r="J60" s="109"/>
      <c r="K60" s="109"/>
      <c r="L60" s="109"/>
      <c r="M60" s="109"/>
      <c r="N60" s="109"/>
      <c r="O60" s="108"/>
      <c r="P60" s="108"/>
      <c r="Q60" s="108"/>
    </row>
    <row r="61" spans="1:20" ht="15.75">
      <c r="A61" s="110" t="e">
        <f ca="1">Client!AD2&amp;" radiotherapy dosemeter"</f>
        <v>#N/A</v>
      </c>
      <c r="B61" s="109"/>
      <c r="C61" s="109"/>
      <c r="D61" s="109"/>
      <c r="E61" s="109"/>
      <c r="F61" s="109"/>
      <c r="G61" s="109"/>
      <c r="H61" s="109"/>
      <c r="I61" s="109"/>
      <c r="J61" s="109"/>
      <c r="K61" s="109"/>
      <c r="L61" s="109"/>
      <c r="M61" s="109"/>
      <c r="N61" s="109"/>
      <c r="O61" s="108"/>
      <c r="P61" s="108"/>
      <c r="Q61" s="108"/>
    </row>
    <row r="62" spans="1:20" ht="15.75">
      <c r="A62" s="111" t="s">
        <v>362</v>
      </c>
      <c r="B62" s="99" t="str">
        <f xml:space="preserve"> "Power source: "&amp;Client!B18&amp;"."</f>
        <v>Power source: .</v>
      </c>
      <c r="C62" s="109"/>
      <c r="D62" s="109"/>
      <c r="E62" s="109"/>
      <c r="F62" s="109"/>
      <c r="G62" s="109"/>
      <c r="H62" s="109"/>
      <c r="I62" s="109"/>
      <c r="J62" s="109"/>
      <c r="K62" s="109"/>
      <c r="L62" s="109"/>
      <c r="M62" s="109"/>
      <c r="N62" s="109"/>
      <c r="O62" s="108"/>
      <c r="P62" s="108"/>
      <c r="Q62" s="108"/>
    </row>
    <row r="63" spans="1:20" ht="15.75">
      <c r="A63" s="111"/>
      <c r="B63" s="109"/>
      <c r="C63" s="109"/>
      <c r="D63" s="109"/>
      <c r="E63" s="109"/>
      <c r="F63" s="109"/>
      <c r="G63" s="109"/>
      <c r="H63" s="109"/>
      <c r="I63" s="109"/>
      <c r="J63" s="109"/>
      <c r="K63" s="109"/>
      <c r="L63" s="109"/>
      <c r="M63" s="109"/>
      <c r="N63" s="109"/>
      <c r="O63" s="108"/>
      <c r="P63" s="108"/>
      <c r="Q63" s="108"/>
    </row>
    <row r="64" spans="1:20" ht="15.75">
      <c r="A64" s="110" t="s">
        <v>364</v>
      </c>
      <c r="B64" s="109"/>
      <c r="C64" s="109"/>
      <c r="D64" s="109"/>
      <c r="E64" s="109"/>
      <c r="F64" s="109"/>
      <c r="G64" s="109"/>
      <c r="H64" s="109"/>
      <c r="I64" s="109"/>
      <c r="J64" s="109"/>
      <c r="K64" s="109"/>
      <c r="L64" s="109"/>
      <c r="M64" s="109"/>
      <c r="N64" s="109"/>
      <c r="O64" s="108"/>
      <c r="P64" s="108"/>
      <c r="Q64" s="108"/>
    </row>
    <row r="65" spans="1:28" ht="15.75">
      <c r="A65" s="111" t="s">
        <v>362</v>
      </c>
      <c r="B65" s="109" t="s">
        <v>472</v>
      </c>
      <c r="C65" s="109"/>
      <c r="D65" s="109"/>
      <c r="E65" s="109"/>
      <c r="F65" s="109"/>
      <c r="G65" s="109"/>
      <c r="H65" s="109"/>
      <c r="I65" s="109"/>
      <c r="J65" s="109"/>
      <c r="K65" s="109"/>
      <c r="L65" s="109"/>
      <c r="M65" s="109"/>
      <c r="N65" s="109"/>
      <c r="O65" s="108"/>
      <c r="P65" s="108"/>
      <c r="Q65" s="108"/>
    </row>
    <row r="67" spans="1:28" ht="15.75">
      <c r="A67" s="110" t="s">
        <v>1234</v>
      </c>
      <c r="B67" s="109"/>
      <c r="C67" s="109"/>
      <c r="D67" s="109"/>
      <c r="E67" s="109"/>
      <c r="F67" s="109"/>
      <c r="G67" s="109"/>
      <c r="H67" s="109"/>
      <c r="I67" s="109"/>
      <c r="J67" s="109"/>
      <c r="K67" s="109"/>
      <c r="L67" s="109"/>
      <c r="M67" s="109"/>
      <c r="N67" s="109"/>
      <c r="O67" s="108"/>
      <c r="P67" s="108"/>
      <c r="Q67" s="108"/>
    </row>
    <row r="68" spans="1:28" ht="15.75">
      <c r="A68" s="111" t="s">
        <v>362</v>
      </c>
      <c r="B68" s="99" t="str">
        <f>Client!AG14</f>
        <v>The desiccant was  in colour. It was not dried while at ARPANSA.</v>
      </c>
      <c r="C68" s="109"/>
      <c r="D68" s="109"/>
      <c r="E68" s="109"/>
      <c r="F68" s="109"/>
      <c r="G68" s="109"/>
      <c r="H68" s="109"/>
      <c r="I68" s="109"/>
      <c r="J68" s="109"/>
      <c r="K68" s="109"/>
      <c r="L68" s="109"/>
      <c r="M68" s="109"/>
      <c r="N68" s="109"/>
      <c r="O68" s="108"/>
      <c r="P68" s="108"/>
      <c r="Q68" s="108"/>
    </row>
    <row r="69" spans="1:28" ht="15.75">
      <c r="A69" s="111"/>
      <c r="B69" s="100"/>
      <c r="C69" s="109"/>
      <c r="D69" s="109"/>
      <c r="E69" s="109"/>
      <c r="F69" s="109"/>
      <c r="G69" s="109"/>
      <c r="H69" s="109"/>
      <c r="I69" s="109"/>
      <c r="J69" s="109"/>
      <c r="K69" s="109"/>
      <c r="L69" s="109"/>
      <c r="M69" s="109"/>
      <c r="N69" s="109"/>
      <c r="O69" s="108"/>
      <c r="P69" s="108"/>
      <c r="Q69" s="108"/>
    </row>
    <row r="70" spans="1:28" s="110" customFormat="1" ht="15.75">
      <c r="A70" s="110" t="s">
        <v>591</v>
      </c>
    </row>
    <row r="71" spans="1:28" ht="18" customHeight="1">
      <c r="A71" s="111" t="s">
        <v>362</v>
      </c>
      <c r="B71" s="1145" t="s">
        <v>613</v>
      </c>
      <c r="C71" s="1145"/>
      <c r="D71" s="1145"/>
      <c r="E71" s="1145"/>
      <c r="F71" s="1145"/>
      <c r="G71" s="1145"/>
      <c r="H71" s="1145"/>
      <c r="I71" s="1145"/>
      <c r="J71" s="1145"/>
      <c r="K71" s="1145"/>
      <c r="L71" s="1145"/>
      <c r="M71" s="1145"/>
      <c r="N71" s="1145"/>
      <c r="O71" s="1145"/>
      <c r="P71" s="1145"/>
      <c r="Q71" s="1145"/>
      <c r="R71" s="1145"/>
      <c r="S71" s="1145"/>
      <c r="T71" s="1145"/>
    </row>
    <row r="72" spans="1:28" ht="15.75">
      <c r="A72" s="109"/>
      <c r="B72" s="109"/>
      <c r="C72" s="109"/>
      <c r="D72" s="109"/>
      <c r="E72" s="109"/>
      <c r="F72" s="109"/>
      <c r="G72" s="109"/>
      <c r="H72" s="109"/>
      <c r="I72" s="109"/>
      <c r="J72" s="109"/>
      <c r="K72" s="109"/>
      <c r="L72" s="109"/>
      <c r="M72" s="109"/>
      <c r="N72" s="109"/>
      <c r="O72" s="108"/>
      <c r="P72" s="108"/>
      <c r="Q72" s="108"/>
    </row>
    <row r="73" spans="1:28" ht="15.75">
      <c r="A73" s="112" t="s">
        <v>1406</v>
      </c>
      <c r="B73" s="108"/>
      <c r="C73" s="108"/>
      <c r="D73" s="108"/>
      <c r="E73" s="108"/>
      <c r="F73" s="108"/>
      <c r="G73" s="108"/>
      <c r="H73" s="108"/>
      <c r="I73" s="108"/>
      <c r="J73" s="108"/>
      <c r="K73" s="108"/>
      <c r="L73" s="108"/>
      <c r="M73" s="108"/>
      <c r="N73" s="108"/>
      <c r="O73" s="108"/>
      <c r="P73" s="108"/>
      <c r="Q73" s="108"/>
    </row>
    <row r="74" spans="1:28" ht="35.25" customHeight="1">
      <c r="A74" s="111" t="s">
        <v>362</v>
      </c>
      <c r="B74" s="1136" t="s">
        <v>1407</v>
      </c>
      <c r="C74" s="1136"/>
      <c r="D74" s="1136"/>
      <c r="E74" s="1136"/>
      <c r="F74" s="1136"/>
      <c r="G74" s="1136"/>
      <c r="H74" s="1136"/>
      <c r="I74" s="1136"/>
      <c r="J74" s="1136"/>
      <c r="K74" s="1136"/>
      <c r="L74" s="1136"/>
      <c r="M74" s="1136"/>
      <c r="N74" s="1136"/>
      <c r="O74" s="1136"/>
      <c r="P74" s="1136"/>
      <c r="Q74" s="1136"/>
      <c r="R74" s="1136"/>
      <c r="S74" s="1136"/>
      <c r="T74" s="1136"/>
    </row>
    <row r="75" spans="1:28" ht="18" customHeight="1">
      <c r="A75" s="111"/>
      <c r="J75" s="204"/>
      <c r="K75" s="204"/>
      <c r="L75" s="204"/>
      <c r="M75" s="204"/>
      <c r="N75" s="204"/>
      <c r="O75" s="204"/>
      <c r="P75" s="204"/>
      <c r="Q75" s="204"/>
      <c r="R75" s="204"/>
      <c r="S75" s="204"/>
      <c r="T75" s="204"/>
      <c r="U75" s="205"/>
      <c r="V75" s="205"/>
      <c r="W75" s="205"/>
      <c r="X75" s="205"/>
      <c r="Y75" s="205"/>
      <c r="Z75" s="205"/>
      <c r="AA75" s="205"/>
      <c r="AB75" s="205"/>
    </row>
    <row r="76" spans="1:28" ht="18" customHeight="1">
      <c r="A76" s="149" t="s">
        <v>589</v>
      </c>
      <c r="B76" s="127"/>
      <c r="C76" s="127"/>
      <c r="D76" s="127"/>
      <c r="E76" s="127"/>
      <c r="F76" s="127"/>
      <c r="G76" s="127"/>
      <c r="H76" s="127"/>
      <c r="I76" s="127"/>
      <c r="J76" s="127"/>
      <c r="K76" s="127"/>
      <c r="L76" s="127"/>
      <c r="M76" s="127"/>
      <c r="N76" s="127"/>
      <c r="O76" s="127"/>
      <c r="P76" s="127"/>
      <c r="Q76" s="127"/>
      <c r="R76" s="127"/>
      <c r="S76" s="127"/>
      <c r="T76" s="127"/>
    </row>
    <row r="77" spans="1:28" ht="33" customHeight="1">
      <c r="A77" s="111" t="s">
        <v>362</v>
      </c>
      <c r="B77" s="1136" t="str">
        <f>"The electrometer was calibrated by first measuring the current from ionisation chamber " &amp; Client!Q15&amp;" in ARPANSA’s Co-60 teletherapy source."</f>
        <v>The electrometer was calibrated by first measuring the current from ionisation chamber IBA FC65-G serial number 457 in ARPANSA’s Co-60 teletherapy source.</v>
      </c>
      <c r="C77" s="1136"/>
      <c r="D77" s="1136"/>
      <c r="E77" s="1136"/>
      <c r="F77" s="1136"/>
      <c r="G77" s="1136"/>
      <c r="H77" s="1136"/>
      <c r="I77" s="1136"/>
      <c r="J77" s="1136"/>
      <c r="K77" s="1136"/>
      <c r="L77" s="1136"/>
      <c r="M77" s="1136"/>
      <c r="N77" s="1136"/>
      <c r="O77" s="1136"/>
      <c r="P77" s="1136"/>
      <c r="Q77" s="1136"/>
      <c r="R77" s="1136"/>
      <c r="S77" s="1136"/>
      <c r="T77" s="1136"/>
    </row>
    <row r="78" spans="1:28" ht="33" customHeight="1">
      <c r="A78" s="111" t="s">
        <v>362</v>
      </c>
      <c r="B78" s="1136" t="s">
        <v>590</v>
      </c>
      <c r="C78" s="1136"/>
      <c r="D78" s="1136"/>
      <c r="E78" s="1136"/>
      <c r="F78" s="1136"/>
      <c r="G78" s="1136"/>
      <c r="H78" s="1136"/>
      <c r="I78" s="1136"/>
      <c r="J78" s="1136"/>
      <c r="K78" s="1136"/>
      <c r="L78" s="1136"/>
      <c r="M78" s="1136"/>
      <c r="N78" s="1136"/>
      <c r="O78" s="1136"/>
      <c r="P78" s="1136"/>
      <c r="Q78" s="1136"/>
      <c r="R78" s="1136"/>
      <c r="S78" s="1136"/>
      <c r="T78" s="1136"/>
    </row>
    <row r="79" spans="1:28" ht="48.75" customHeight="1">
      <c r="A79" s="111" t="s">
        <v>362</v>
      </c>
      <c r="B79" s="1136" t="s">
        <v>612</v>
      </c>
      <c r="C79" s="1136"/>
      <c r="D79" s="1136"/>
      <c r="E79" s="1136"/>
      <c r="F79" s="1136"/>
      <c r="G79" s="1136"/>
      <c r="H79" s="1136"/>
      <c r="I79" s="1136"/>
      <c r="J79" s="1136"/>
      <c r="K79" s="1136"/>
      <c r="L79" s="1136"/>
      <c r="M79" s="1136"/>
      <c r="N79" s="1136"/>
      <c r="O79" s="1136"/>
      <c r="P79" s="1136"/>
      <c r="Q79" s="1136"/>
      <c r="R79" s="1136"/>
      <c r="S79" s="1136"/>
      <c r="T79" s="1136"/>
    </row>
    <row r="80" spans="1:28" ht="18" customHeight="1">
      <c r="A80" s="111" t="str">
        <f>IF(Elec!E24="Yes","–","")</f>
        <v/>
      </c>
      <c r="B80" s="1136" t="str">
        <f>IF(Elec!E24="Yes","An Exradin A5 chamber was used to generate the ionisation current for the high range calibration.","")</f>
        <v/>
      </c>
      <c r="C80" s="1136"/>
      <c r="D80" s="1136"/>
      <c r="E80" s="1136"/>
      <c r="F80" s="1136"/>
      <c r="G80" s="1136"/>
      <c r="H80" s="1136"/>
      <c r="I80" s="1136"/>
      <c r="J80" s="1136"/>
      <c r="K80" s="1136"/>
      <c r="L80" s="1136"/>
      <c r="M80" s="1136"/>
      <c r="N80" s="1136"/>
      <c r="O80" s="1136"/>
      <c r="P80" s="1136"/>
      <c r="Q80" s="1136"/>
      <c r="R80" s="1136"/>
      <c r="S80" s="1136"/>
      <c r="T80" s="1136"/>
    </row>
    <row r="81" spans="1:20" ht="18" customHeight="1">
      <c r="A81" s="111"/>
      <c r="B81" s="440"/>
      <c r="C81" s="440"/>
      <c r="D81" s="440"/>
      <c r="E81" s="440"/>
      <c r="F81" s="440"/>
      <c r="G81" s="440"/>
      <c r="H81" s="440"/>
      <c r="I81" s="440"/>
      <c r="J81" s="440"/>
      <c r="K81" s="440"/>
      <c r="L81" s="440"/>
      <c r="M81" s="440"/>
      <c r="N81" s="440"/>
      <c r="O81" s="440"/>
      <c r="P81" s="440"/>
      <c r="Q81" s="440"/>
      <c r="R81" s="440"/>
      <c r="S81" s="440"/>
      <c r="T81" s="440"/>
    </row>
    <row r="82" spans="1:20" ht="18" customHeight="1">
      <c r="A82" s="149" t="s">
        <v>474</v>
      </c>
      <c r="B82" s="108"/>
      <c r="C82" s="108"/>
      <c r="D82" s="108"/>
      <c r="E82" s="108"/>
      <c r="F82" s="108"/>
      <c r="G82" s="108"/>
      <c r="H82" s="108"/>
      <c r="I82" s="108"/>
      <c r="J82" s="108"/>
      <c r="K82" s="108"/>
      <c r="L82" s="108"/>
      <c r="M82" s="108"/>
      <c r="N82" s="108"/>
      <c r="O82" s="108"/>
      <c r="P82" s="108"/>
      <c r="Q82" s="108"/>
    </row>
    <row r="83" spans="1:20" ht="35.25" customHeight="1">
      <c r="A83" s="111" t="s">
        <v>362</v>
      </c>
      <c r="B83" s="1136" t="s">
        <v>604</v>
      </c>
      <c r="C83" s="1136"/>
      <c r="D83" s="1136"/>
      <c r="E83" s="1136"/>
      <c r="F83" s="1136"/>
      <c r="G83" s="1136"/>
      <c r="H83" s="1136"/>
      <c r="I83" s="1136"/>
      <c r="J83" s="1136"/>
      <c r="K83" s="1136"/>
      <c r="L83" s="1136"/>
      <c r="M83" s="1136"/>
      <c r="N83" s="1136"/>
      <c r="O83" s="1136"/>
      <c r="P83" s="1136"/>
      <c r="Q83" s="1136"/>
      <c r="R83" s="1136"/>
      <c r="S83" s="1136"/>
      <c r="T83" s="1136"/>
    </row>
    <row r="84" spans="1:20" ht="66.75" customHeight="1">
      <c r="A84" s="111" t="s">
        <v>362</v>
      </c>
      <c r="B84" s="1136" t="s">
        <v>832</v>
      </c>
      <c r="C84" s="1136"/>
      <c r="D84" s="1136"/>
      <c r="E84" s="1136"/>
      <c r="F84" s="1136"/>
      <c r="G84" s="1136"/>
      <c r="H84" s="1136"/>
      <c r="I84" s="1136"/>
      <c r="J84" s="1136"/>
      <c r="K84" s="1136"/>
      <c r="L84" s="1136"/>
      <c r="M84" s="1136"/>
      <c r="N84" s="1136"/>
      <c r="O84" s="1136"/>
      <c r="P84" s="1136"/>
      <c r="Q84" s="1136"/>
      <c r="R84" s="1136"/>
      <c r="S84" s="1136"/>
      <c r="T84" s="1136"/>
    </row>
    <row r="85" spans="1:20" ht="114" customHeight="1">
      <c r="A85" s="111" t="s">
        <v>362</v>
      </c>
      <c r="B85" s="1136" t="e">
        <f ca="1">Client!AF3</f>
        <v>#N/A</v>
      </c>
      <c r="C85" s="1136"/>
      <c r="D85" s="1136"/>
      <c r="E85" s="1136"/>
      <c r="F85" s="1136"/>
      <c r="G85" s="1136"/>
      <c r="H85" s="1136"/>
      <c r="I85" s="1136"/>
      <c r="J85" s="1136"/>
      <c r="K85" s="1136"/>
      <c r="L85" s="1136"/>
      <c r="M85" s="1136"/>
      <c r="N85" s="1136"/>
      <c r="O85" s="1136"/>
      <c r="P85" s="1136"/>
      <c r="Q85" s="1136"/>
      <c r="R85" s="1136"/>
      <c r="S85" s="1136"/>
      <c r="T85" s="1136"/>
    </row>
    <row r="86" spans="1:20" ht="7.5" customHeight="1">
      <c r="A86" s="111"/>
      <c r="B86" s="440"/>
      <c r="C86" s="440"/>
      <c r="D86" s="440"/>
      <c r="E86" s="440"/>
      <c r="F86" s="440"/>
      <c r="G86" s="440"/>
      <c r="H86" s="440"/>
      <c r="I86" s="440"/>
      <c r="J86" s="440"/>
      <c r="K86" s="440"/>
      <c r="L86" s="440"/>
      <c r="M86" s="440"/>
      <c r="N86" s="440"/>
      <c r="O86" s="440"/>
      <c r="P86" s="440"/>
      <c r="Q86" s="440"/>
      <c r="R86" s="440"/>
      <c r="S86" s="440"/>
      <c r="T86" s="440"/>
    </row>
    <row r="87" spans="1:20" ht="7.5" customHeight="1">
      <c r="A87" s="111"/>
      <c r="B87" s="440"/>
      <c r="C87" s="440"/>
      <c r="D87" s="440"/>
      <c r="E87" s="440"/>
      <c r="F87" s="440"/>
      <c r="G87" s="440"/>
      <c r="H87" s="440"/>
      <c r="I87" s="440"/>
      <c r="J87" s="440"/>
      <c r="K87" s="440"/>
      <c r="L87" s="440"/>
      <c r="M87" s="440"/>
      <c r="N87" s="440"/>
      <c r="O87" s="440"/>
      <c r="P87" s="440"/>
      <c r="Q87" s="440"/>
      <c r="R87" s="440"/>
      <c r="S87" s="440"/>
      <c r="T87" s="440"/>
    </row>
    <row r="88" spans="1:20" ht="7.5" customHeight="1">
      <c r="A88" s="111"/>
      <c r="B88" s="440"/>
      <c r="C88" s="440"/>
      <c r="D88" s="440"/>
      <c r="E88" s="440"/>
      <c r="F88" s="440"/>
      <c r="G88" s="440"/>
      <c r="H88" s="440"/>
      <c r="I88" s="440"/>
      <c r="J88" s="440"/>
      <c r="K88" s="440"/>
      <c r="L88" s="440"/>
      <c r="M88" s="440"/>
      <c r="N88" s="440"/>
      <c r="O88" s="440"/>
      <c r="P88" s="440"/>
      <c r="Q88" s="440"/>
      <c r="R88" s="440"/>
      <c r="S88" s="440"/>
      <c r="T88" s="440"/>
    </row>
    <row r="89" spans="1:20" ht="7.5" customHeight="1">
      <c r="A89" s="111"/>
      <c r="B89" s="473"/>
      <c r="C89" s="473"/>
      <c r="D89" s="473"/>
      <c r="E89" s="473"/>
      <c r="F89" s="473"/>
      <c r="G89" s="473"/>
      <c r="H89" s="473"/>
      <c r="I89" s="473"/>
      <c r="J89" s="473"/>
      <c r="K89" s="473"/>
      <c r="L89" s="473"/>
      <c r="M89" s="473"/>
      <c r="N89" s="473"/>
      <c r="O89" s="473"/>
      <c r="P89" s="473"/>
      <c r="Q89" s="473"/>
      <c r="R89" s="473"/>
      <c r="S89" s="473"/>
      <c r="T89" s="473"/>
    </row>
    <row r="90" spans="1:20" ht="15" customHeight="1">
      <c r="A90" s="111"/>
      <c r="B90" s="440"/>
      <c r="C90" s="440"/>
      <c r="D90" s="440"/>
      <c r="E90" s="440"/>
      <c r="F90" s="440"/>
      <c r="G90" s="440"/>
      <c r="H90" s="440"/>
      <c r="I90" s="440"/>
      <c r="J90" s="440"/>
      <c r="K90" s="440"/>
      <c r="L90" s="440"/>
      <c r="M90" s="440"/>
      <c r="N90" s="440"/>
      <c r="O90" s="440"/>
      <c r="P90" s="440"/>
      <c r="Q90" s="440"/>
      <c r="R90" s="440"/>
      <c r="S90" s="440"/>
      <c r="T90" s="440"/>
    </row>
    <row r="91" spans="1:20" ht="4.5" customHeight="1">
      <c r="A91" s="111"/>
      <c r="B91" s="153"/>
      <c r="C91" s="153"/>
      <c r="D91" s="153"/>
      <c r="E91" s="153"/>
      <c r="F91" s="153"/>
      <c r="G91" s="153"/>
      <c r="H91" s="153"/>
      <c r="I91" s="153"/>
      <c r="J91" s="153"/>
      <c r="K91" s="153"/>
      <c r="L91" s="153"/>
      <c r="M91" s="153"/>
      <c r="N91" s="153"/>
      <c r="O91" s="153"/>
      <c r="P91" s="153"/>
      <c r="Q91" s="153"/>
      <c r="R91" s="153"/>
      <c r="S91" s="153"/>
      <c r="T91" s="153"/>
    </row>
    <row r="92" spans="1:20" ht="17.25" customHeight="1">
      <c r="A92" s="111"/>
      <c r="B92" s="127"/>
      <c r="C92" s="127"/>
      <c r="D92" s="127"/>
      <c r="E92" s="127"/>
      <c r="F92" s="127"/>
      <c r="G92" s="127"/>
      <c r="H92" s="127"/>
      <c r="I92" s="127"/>
      <c r="J92" s="127"/>
      <c r="K92" s="127"/>
      <c r="L92" s="127"/>
      <c r="M92" s="127"/>
      <c r="N92" s="127"/>
      <c r="O92" s="127"/>
      <c r="Q92" s="127"/>
      <c r="R92" s="127"/>
      <c r="S92" s="127"/>
      <c r="T92" s="443"/>
    </row>
    <row r="93" spans="1:20" ht="12.75" customHeight="1">
      <c r="A93" s="420" t="str">
        <f>"Calibration No.: "&amp;$T$12</f>
        <v>Calibration No.: CAL11957/01</v>
      </c>
      <c r="B93" s="421"/>
      <c r="C93" s="421"/>
      <c r="D93" s="421"/>
      <c r="E93" s="421"/>
      <c r="F93" s="421"/>
      <c r="G93" s="421"/>
      <c r="H93" s="421"/>
      <c r="I93" s="422" t="str">
        <f>$G$31</f>
        <v>0</v>
      </c>
      <c r="J93" s="421"/>
      <c r="K93" s="421"/>
      <c r="L93" s="421"/>
      <c r="M93" s="421"/>
      <c r="N93" s="420" t="s">
        <v>360</v>
      </c>
      <c r="O93" s="423"/>
      <c r="P93" s="423"/>
      <c r="Q93" s="423"/>
      <c r="R93" s="423"/>
      <c r="S93" s="423"/>
      <c r="T93" s="423" t="s">
        <v>527</v>
      </c>
    </row>
    <row r="94" spans="1:20" ht="15" customHeight="1">
      <c r="A94" s="122"/>
      <c r="B94" s="120"/>
      <c r="C94" s="120"/>
      <c r="D94" s="120"/>
      <c r="E94" s="120"/>
      <c r="F94" s="120"/>
      <c r="G94" s="120"/>
      <c r="H94" s="120"/>
      <c r="I94" s="121"/>
      <c r="J94" s="120"/>
      <c r="K94" s="120"/>
      <c r="L94" s="120"/>
      <c r="M94" s="120"/>
      <c r="N94" s="122"/>
      <c r="O94" s="123"/>
      <c r="P94" s="123"/>
      <c r="Q94" s="123"/>
      <c r="R94" s="123"/>
      <c r="S94" s="123"/>
      <c r="T94" s="123"/>
    </row>
    <row r="95" spans="1:20" ht="15" customHeight="1">
      <c r="A95" s="149" t="s">
        <v>605</v>
      </c>
      <c r="B95" s="442"/>
      <c r="C95" s="442"/>
      <c r="D95" s="442"/>
      <c r="E95" s="442"/>
      <c r="F95" s="442"/>
      <c r="G95" s="442"/>
      <c r="H95" s="442"/>
      <c r="I95" s="442"/>
      <c r="J95" s="442"/>
      <c r="K95" s="442"/>
      <c r="L95" s="442"/>
      <c r="M95" s="442"/>
      <c r="N95" s="442"/>
      <c r="O95" s="442"/>
      <c r="P95" s="442"/>
      <c r="Q95" s="442"/>
      <c r="R95" s="442"/>
      <c r="S95" s="442"/>
      <c r="T95" s="442"/>
    </row>
    <row r="96" spans="1:20" ht="82.5" customHeight="1">
      <c r="A96" s="111" t="s">
        <v>362</v>
      </c>
      <c r="B96" s="1140" t="s">
        <v>1326</v>
      </c>
      <c r="C96" s="1140"/>
      <c r="D96" s="1140"/>
      <c r="E96" s="1140"/>
      <c r="F96" s="1140"/>
      <c r="G96" s="1140"/>
      <c r="H96" s="1140"/>
      <c r="I96" s="1140"/>
      <c r="J96" s="1140"/>
      <c r="K96" s="1140"/>
      <c r="L96" s="1140"/>
      <c r="M96" s="1140"/>
      <c r="N96" s="1140"/>
      <c r="O96" s="1140"/>
      <c r="P96" s="1140"/>
      <c r="Q96" s="1140"/>
      <c r="R96" s="1140"/>
      <c r="S96" s="1140"/>
      <c r="T96" s="1140"/>
    </row>
    <row r="97" spans="1:20" ht="63.75" customHeight="1">
      <c r="A97" s="111" t="s">
        <v>362</v>
      </c>
      <c r="B97" s="1136" t="str">
        <f>"The inner shield of the triaxial connector was found to be at a potential of "&amp;Elec!B29 &amp;" V. The inner shield is connected to the guard electrode of the chamber. The electrometer at the time was set to "&amp;Elec!B20&amp;" and the resulting polarity was "&amp;Elec!B32&amp;"."</f>
        <v>The inner shield of the triaxial connector was found to be at a potential of  V. The inner shield is connected to the guard electrode of the chamber. The electrometer at the time was set to  and the resulting polarity was 0.</v>
      </c>
      <c r="C97" s="1136"/>
      <c r="D97" s="1136"/>
      <c r="E97" s="1136"/>
      <c r="F97" s="1136"/>
      <c r="G97" s="1136"/>
      <c r="H97" s="1136"/>
      <c r="I97" s="1136"/>
      <c r="J97" s="1136"/>
      <c r="K97" s="1136"/>
      <c r="L97" s="1136"/>
      <c r="M97" s="1136"/>
      <c r="N97" s="1136"/>
      <c r="O97" s="1136"/>
      <c r="P97" s="1136"/>
      <c r="Q97" s="1136"/>
      <c r="R97" s="1136"/>
      <c r="S97" s="1136"/>
      <c r="T97" s="1136"/>
    </row>
    <row r="98" spans="1:20" ht="15" customHeight="1">
      <c r="A98" s="119"/>
      <c r="B98" s="155"/>
      <c r="C98" s="155"/>
      <c r="D98" s="155"/>
      <c r="E98" s="155"/>
      <c r="F98" s="155"/>
      <c r="G98" s="155"/>
      <c r="H98" s="155"/>
      <c r="I98" s="156"/>
      <c r="J98" s="155"/>
      <c r="K98" s="155"/>
      <c r="L98" s="155"/>
      <c r="M98" s="155"/>
      <c r="N98" s="119"/>
      <c r="O98" s="157"/>
      <c r="P98" s="157"/>
      <c r="Q98" s="157"/>
      <c r="R98" s="157"/>
      <c r="S98" s="157"/>
      <c r="T98" s="157"/>
    </row>
    <row r="99" spans="1:20" ht="15" customHeight="1">
      <c r="A99" s="112" t="s">
        <v>475</v>
      </c>
      <c r="B99" s="155"/>
      <c r="C99" s="155"/>
      <c r="D99" s="155"/>
      <c r="E99" s="155"/>
      <c r="F99" s="155"/>
      <c r="G99" s="155"/>
      <c r="H99" s="156"/>
      <c r="I99" s="155"/>
      <c r="J99" s="155"/>
      <c r="K99" s="155"/>
      <c r="L99" s="155"/>
      <c r="M99" s="119"/>
      <c r="N99" s="157"/>
      <c r="O99" s="157"/>
      <c r="P99" s="157"/>
      <c r="Q99" s="157"/>
      <c r="R99" s="157"/>
      <c r="S99" s="157"/>
      <c r="T99" s="127"/>
    </row>
    <row r="100" spans="1:20" ht="51" customHeight="1">
      <c r="A100" s="111" t="s">
        <v>362</v>
      </c>
      <c r="B100" s="1134" t="str">
        <f>"The electrometer leakage current was checked with and without chamber "&amp;Client!Q15&amp;" attached, using the '"&amp;Elec!A13&amp; "' range and polarising voltage setting "&amp;Elec!B20&amp;". The results are shown in Table 1."</f>
        <v>The electrometer leakage current was checked with and without chamber IBA FC65-G serial number 457 attached, using the '' range and polarising voltage setting . The results are shown in Table 1.</v>
      </c>
      <c r="C100" s="1134"/>
      <c r="D100" s="1134"/>
      <c r="E100" s="1134"/>
      <c r="F100" s="1134"/>
      <c r="G100" s="1134"/>
      <c r="H100" s="1134"/>
      <c r="I100" s="1134"/>
      <c r="J100" s="1134"/>
      <c r="K100" s="1134"/>
      <c r="L100" s="1134"/>
      <c r="M100" s="1134"/>
      <c r="N100" s="1134"/>
      <c r="O100" s="1134"/>
      <c r="P100" s="1134"/>
      <c r="Q100" s="1134"/>
      <c r="R100" s="1134"/>
      <c r="S100" s="1134"/>
      <c r="T100" s="1134"/>
    </row>
    <row r="101" spans="1:20" ht="15" customHeight="1">
      <c r="A101" s="111"/>
      <c r="B101" s="127"/>
      <c r="C101" s="127"/>
      <c r="D101" s="127"/>
      <c r="E101" s="127"/>
      <c r="F101" s="127"/>
      <c r="G101" s="127"/>
      <c r="H101" s="127"/>
      <c r="I101" s="127"/>
      <c r="J101" s="127"/>
      <c r="K101" s="127"/>
      <c r="L101" s="127"/>
      <c r="M101" s="127"/>
      <c r="N101" s="127"/>
      <c r="O101" s="127"/>
      <c r="P101" s="127"/>
      <c r="Q101" s="127"/>
      <c r="R101" s="127"/>
      <c r="S101" s="127"/>
      <c r="T101" s="127"/>
    </row>
    <row r="102" spans="1:20" ht="23.25" customHeight="1">
      <c r="A102" s="111"/>
      <c r="B102" s="1135" t="s">
        <v>486</v>
      </c>
      <c r="C102" s="1136"/>
      <c r="D102" s="1136"/>
      <c r="E102" s="1136"/>
      <c r="F102" s="1136"/>
      <c r="G102" s="1136"/>
      <c r="H102" s="1136"/>
      <c r="I102" s="1136"/>
      <c r="J102" s="1136"/>
      <c r="K102" s="1136"/>
      <c r="L102" s="1136"/>
      <c r="M102" s="1136"/>
      <c r="N102" s="1136"/>
      <c r="O102" s="1136"/>
      <c r="P102" s="1136"/>
      <c r="Q102" s="1136"/>
      <c r="R102" s="1136"/>
      <c r="S102" s="1136"/>
      <c r="T102" s="1136"/>
    </row>
    <row r="103" spans="1:20" ht="33.4" customHeight="1">
      <c r="A103" s="111"/>
      <c r="B103" s="1123" t="s">
        <v>487</v>
      </c>
      <c r="C103" s="1124"/>
      <c r="D103" s="1124"/>
      <c r="E103" s="1125"/>
      <c r="F103" s="1121" t="s">
        <v>490</v>
      </c>
      <c r="G103" s="1122"/>
      <c r="H103" s="1122"/>
      <c r="I103" s="1126"/>
      <c r="J103" s="1121" t="s">
        <v>491</v>
      </c>
      <c r="K103" s="1122"/>
      <c r="L103" s="1122"/>
      <c r="M103" s="1123" t="s">
        <v>492</v>
      </c>
      <c r="N103" s="1124"/>
      <c r="O103" s="1124"/>
      <c r="P103" s="1125"/>
      <c r="Q103" s="1129" t="s">
        <v>493</v>
      </c>
      <c r="R103" s="1130"/>
      <c r="S103" s="1130"/>
      <c r="T103" s="1131"/>
    </row>
    <row r="104" spans="1:20" ht="33.4" customHeight="1">
      <c r="A104" s="111"/>
      <c r="B104" s="1127" t="s">
        <v>488</v>
      </c>
      <c r="C104" s="1128"/>
      <c r="D104" s="1128"/>
      <c r="E104" s="1132"/>
      <c r="F104" s="1115">
        <f>Elec!E40</f>
        <v>0</v>
      </c>
      <c r="G104" s="1116"/>
      <c r="H104" s="1116"/>
      <c r="I104" s="1117"/>
      <c r="J104" s="1127">
        <f>Elec!I40</f>
        <v>0</v>
      </c>
      <c r="K104" s="1128"/>
      <c r="L104" s="1128"/>
      <c r="M104" s="1118">
        <f>Elec!J40</f>
        <v>0</v>
      </c>
      <c r="N104" s="1119"/>
      <c r="O104" s="1119"/>
      <c r="P104" s="1120"/>
      <c r="Q104" s="1118" t="e">
        <f>Elec!K40</f>
        <v>#DIV/0!</v>
      </c>
      <c r="R104" s="1119"/>
      <c r="S104" s="1119"/>
      <c r="T104" s="1120"/>
    </row>
    <row r="105" spans="1:20" ht="33.4" customHeight="1">
      <c r="A105" s="111"/>
      <c r="B105" s="1127" t="s">
        <v>489</v>
      </c>
      <c r="C105" s="1128"/>
      <c r="D105" s="1128"/>
      <c r="E105" s="1132"/>
      <c r="F105" s="1115">
        <f>Elec!E41</f>
        <v>0</v>
      </c>
      <c r="G105" s="1116"/>
      <c r="H105" s="1116"/>
      <c r="I105" s="1117"/>
      <c r="J105" s="1127">
        <f>Elec!I41</f>
        <v>0</v>
      </c>
      <c r="K105" s="1128"/>
      <c r="L105" s="1128"/>
      <c r="M105" s="1118">
        <f>Elec!J41</f>
        <v>0</v>
      </c>
      <c r="N105" s="1119"/>
      <c r="O105" s="1119"/>
      <c r="P105" s="1120"/>
      <c r="Q105" s="1118" t="e">
        <f>Elec!K41</f>
        <v>#DIV/0!</v>
      </c>
      <c r="R105" s="1119"/>
      <c r="S105" s="1119"/>
      <c r="T105" s="1120"/>
    </row>
    <row r="106" spans="1:20" ht="15" customHeight="1">
      <c r="A106" s="111"/>
      <c r="B106" s="178"/>
      <c r="C106" s="127"/>
      <c r="D106" s="127"/>
      <c r="E106" s="127"/>
      <c r="F106" s="127"/>
      <c r="G106" s="127"/>
      <c r="H106" s="127"/>
      <c r="I106" s="127"/>
      <c r="J106" s="127"/>
      <c r="K106" s="127"/>
      <c r="L106" s="127"/>
      <c r="M106" s="127"/>
      <c r="N106" s="127"/>
      <c r="O106" s="127"/>
      <c r="P106" s="127"/>
      <c r="Q106" s="127"/>
      <c r="R106" s="127"/>
      <c r="S106" s="127"/>
      <c r="T106" s="127"/>
    </row>
    <row r="107" spans="1:20" ht="33.950000000000003" customHeight="1">
      <c r="A107" s="111" t="s">
        <v>362</v>
      </c>
      <c r="B107" s="1134" t="s">
        <v>851</v>
      </c>
      <c r="C107" s="1134"/>
      <c r="D107" s="1134"/>
      <c r="E107" s="1134"/>
      <c r="F107" s="1134"/>
      <c r="G107" s="1134"/>
      <c r="H107" s="1134"/>
      <c r="I107" s="1134"/>
      <c r="J107" s="1134"/>
      <c r="K107" s="1134"/>
      <c r="L107" s="1134"/>
      <c r="M107" s="1134"/>
      <c r="N107" s="1134"/>
      <c r="O107" s="1134"/>
      <c r="P107" s="1134"/>
      <c r="Q107" s="1134"/>
      <c r="R107" s="1134"/>
      <c r="S107" s="1134"/>
      <c r="T107" s="1134"/>
    </row>
    <row r="108" spans="1:20" ht="15" customHeight="1"/>
    <row r="109" spans="1:20" ht="15.75">
      <c r="A109" s="112" t="s">
        <v>476</v>
      </c>
      <c r="B109" s="159"/>
      <c r="C109" s="158"/>
      <c r="D109" s="158"/>
      <c r="E109" s="158"/>
      <c r="F109" s="158"/>
      <c r="G109" s="158"/>
      <c r="H109" s="158"/>
      <c r="I109" s="158"/>
      <c r="J109" s="158"/>
      <c r="K109" s="158"/>
      <c r="L109" s="158"/>
      <c r="M109" s="158"/>
      <c r="N109" s="158"/>
      <c r="O109" s="158"/>
      <c r="P109" s="158"/>
      <c r="Q109" s="158"/>
      <c r="R109" s="158"/>
      <c r="S109" s="158"/>
    </row>
    <row r="110" spans="1:20" s="174" customFormat="1" ht="48.6" customHeight="1">
      <c r="A110" s="174" t="s">
        <v>362</v>
      </c>
      <c r="B110" s="1140" t="s">
        <v>847</v>
      </c>
      <c r="C110" s="1140"/>
      <c r="D110" s="1140"/>
      <c r="E110" s="1140"/>
      <c r="F110" s="1140"/>
      <c r="G110" s="1140"/>
      <c r="H110" s="1140"/>
      <c r="I110" s="1140"/>
      <c r="J110" s="1140"/>
      <c r="K110" s="1140"/>
      <c r="L110" s="1140"/>
      <c r="M110" s="1140"/>
      <c r="N110" s="1140"/>
      <c r="O110" s="1140"/>
      <c r="P110" s="1140"/>
      <c r="Q110" s="1140"/>
      <c r="R110" s="1140"/>
      <c r="S110" s="1140"/>
      <c r="T110" s="1140"/>
    </row>
    <row r="111" spans="1:20" ht="63.75" customHeight="1">
      <c r="A111" s="174" t="s">
        <v>362</v>
      </c>
      <c r="B111" s="1140" t="str">
        <f>"For example, after an exposure the electrometer reads 1.0 nominal nC when using chamber "&amp;Client!B29&amp;" serial number "&amp;Client!B30&amp;" to measure absorbed dose to water in a Co-60 beam with the '"&amp;Elec!A13&amp;"' range and using the internal timer. The calibration coefficient for this chamber is " &amp;Co!G21&amp;" mGy/nC. "</f>
        <v xml:space="preserve">For example, after an exposure the electrometer reads 1.0 nominal nC when using chamber IBA FC65-G serial number 457 to measure absorbed dose to water in a Co-60 beam with the '' range and using the internal timer. The calibration coefficient for this chamber is 0.00 mGy/nC. </v>
      </c>
      <c r="C111" s="1140"/>
      <c r="D111" s="1140"/>
      <c r="E111" s="1140"/>
      <c r="F111" s="1140"/>
      <c r="G111" s="1140"/>
      <c r="H111" s="1140"/>
      <c r="I111" s="1140"/>
      <c r="J111" s="1140"/>
      <c r="K111" s="1140"/>
      <c r="L111" s="1140"/>
      <c r="M111" s="1140"/>
      <c r="N111" s="1140"/>
      <c r="O111" s="1140"/>
      <c r="P111" s="1140"/>
      <c r="Q111" s="1140"/>
      <c r="R111" s="1140"/>
      <c r="S111" s="1140"/>
      <c r="T111" s="1140"/>
    </row>
    <row r="112" spans="1:20" ht="15.75">
      <c r="B112" s="154"/>
      <c r="C112" s="154"/>
      <c r="D112" s="154"/>
      <c r="E112" s="154"/>
      <c r="F112" s="154"/>
      <c r="G112" s="154"/>
      <c r="H112" s="154"/>
      <c r="I112" s="154"/>
      <c r="J112" s="154"/>
      <c r="K112" s="154"/>
      <c r="L112" s="154"/>
      <c r="M112" s="154"/>
      <c r="N112" s="154"/>
      <c r="O112" s="154"/>
      <c r="P112" s="154"/>
      <c r="Q112" s="154"/>
      <c r="R112" s="158"/>
      <c r="S112" s="158"/>
      <c r="T112" s="158"/>
    </row>
    <row r="113" spans="1:20" ht="15" customHeight="1">
      <c r="A113" s="111"/>
      <c r="B113" s="128"/>
      <c r="C113" s="175" t="s">
        <v>477</v>
      </c>
      <c r="D113" s="128" t="s">
        <v>448</v>
      </c>
      <c r="E113" s="1141" t="str">
        <f>"1.0 (nominal nC) x "&amp;Elec!F13&amp;" (nC / nominal nC) x "&amp;Co!G21&amp;" (mGy/nC)"</f>
        <v>1.0 (nominal nC) x 0.000 (nC / nominal nC) x 0.00 (mGy/nC)</v>
      </c>
      <c r="F113" s="1141"/>
      <c r="G113" s="1141"/>
      <c r="H113" s="1141"/>
      <c r="I113" s="1141"/>
      <c r="J113" s="1141"/>
      <c r="K113" s="1141"/>
      <c r="L113" s="1141"/>
      <c r="M113" s="1141"/>
      <c r="N113" s="1141"/>
      <c r="O113" s="1141"/>
      <c r="P113" s="1141"/>
      <c r="Q113" s="1141"/>
      <c r="R113" s="1141"/>
      <c r="S113" s="1141"/>
      <c r="T113" s="1141"/>
    </row>
    <row r="114" spans="1:20" ht="15" customHeight="1">
      <c r="A114" s="111"/>
      <c r="B114" s="128"/>
      <c r="C114" s="128"/>
      <c r="D114" s="128"/>
      <c r="E114" s="128"/>
      <c r="F114" s="128"/>
      <c r="G114" s="128"/>
      <c r="H114" s="128"/>
      <c r="I114" s="128"/>
      <c r="J114" s="128"/>
      <c r="K114" s="128"/>
      <c r="L114" s="128"/>
      <c r="M114" s="128"/>
      <c r="N114" s="128"/>
      <c r="O114" s="128"/>
      <c r="P114" s="128"/>
      <c r="Q114" s="128"/>
      <c r="R114" s="158"/>
      <c r="S114" s="158"/>
      <c r="T114" s="158"/>
    </row>
    <row r="115" spans="1:20" ht="15" customHeight="1">
      <c r="A115" s="112"/>
      <c r="B115" s="128"/>
      <c r="C115" s="128"/>
      <c r="D115" s="128" t="s">
        <v>448</v>
      </c>
      <c r="E115" s="458" t="str">
        <f>TEXT(Elec!$H$13*Co!$N$41,"0.00")&amp;" mGy"</f>
        <v>0.00 mGy</v>
      </c>
      <c r="F115" s="426"/>
      <c r="G115" s="154"/>
      <c r="H115" s="154"/>
      <c r="I115" s="154"/>
      <c r="J115" s="154"/>
      <c r="K115" s="154"/>
      <c r="L115" s="154"/>
      <c r="M115" s="154"/>
      <c r="N115" s="154"/>
      <c r="O115" s="154"/>
      <c r="P115" s="154"/>
      <c r="Q115" s="154"/>
      <c r="R115" s="154"/>
      <c r="S115" s="154"/>
      <c r="T115" s="154"/>
    </row>
    <row r="116" spans="1:20" ht="15" customHeight="1">
      <c r="A116" s="111"/>
      <c r="B116" s="128"/>
      <c r="C116" s="128"/>
      <c r="D116" s="128"/>
      <c r="E116" s="128"/>
      <c r="F116" s="128"/>
      <c r="G116" s="128"/>
      <c r="H116" s="128"/>
      <c r="I116" s="128"/>
      <c r="J116" s="128"/>
      <c r="K116" s="128"/>
      <c r="L116" s="128"/>
      <c r="M116" s="128"/>
      <c r="N116" s="128"/>
      <c r="O116" s="128"/>
      <c r="P116" s="128"/>
      <c r="Q116" s="128"/>
      <c r="R116" s="158"/>
      <c r="S116" s="158"/>
      <c r="T116" s="158"/>
    </row>
    <row r="117" spans="1:20" ht="15" customHeight="1">
      <c r="A117" s="112" t="s">
        <v>478</v>
      </c>
      <c r="B117" s="128"/>
      <c r="C117" s="128"/>
      <c r="D117" s="128"/>
      <c r="E117" s="128"/>
      <c r="F117" s="128"/>
      <c r="G117" s="128"/>
      <c r="H117" s="128"/>
      <c r="I117" s="128"/>
      <c r="J117" s="128"/>
      <c r="K117" s="128"/>
      <c r="L117" s="128"/>
      <c r="M117" s="128"/>
      <c r="N117" s="128"/>
      <c r="O117" s="128"/>
      <c r="P117" s="128"/>
      <c r="Q117" s="128"/>
      <c r="R117" s="158"/>
      <c r="S117" s="158"/>
      <c r="T117" s="160"/>
    </row>
    <row r="118" spans="1:20" ht="35.25" customHeight="1">
      <c r="A118" s="176" t="s">
        <v>479</v>
      </c>
      <c r="B118" s="1140" t="s">
        <v>1208</v>
      </c>
      <c r="C118" s="1140"/>
      <c r="D118" s="1140"/>
      <c r="E118" s="1140"/>
      <c r="F118" s="1140"/>
      <c r="G118" s="1140"/>
      <c r="H118" s="1140"/>
      <c r="I118" s="1140"/>
      <c r="J118" s="1140"/>
      <c r="K118" s="1140"/>
      <c r="L118" s="1140"/>
      <c r="M118" s="1140"/>
      <c r="N118" s="1140"/>
      <c r="O118" s="1140"/>
      <c r="P118" s="1140"/>
      <c r="Q118" s="1140"/>
      <c r="R118" s="1140"/>
      <c r="S118" s="1140"/>
      <c r="T118" s="1140"/>
    </row>
    <row r="119" spans="1:20" ht="15" customHeight="1">
      <c r="A119" s="112"/>
      <c r="B119" s="158"/>
      <c r="C119" s="158"/>
      <c r="D119" s="158"/>
      <c r="E119" s="158"/>
      <c r="F119" s="158"/>
      <c r="G119" s="158"/>
      <c r="H119" s="158"/>
      <c r="J119" s="158"/>
      <c r="K119" s="158"/>
      <c r="L119" s="158"/>
      <c r="M119" s="158"/>
      <c r="N119" s="158"/>
      <c r="O119" s="158"/>
      <c r="P119" s="158"/>
      <c r="Q119" s="158"/>
      <c r="R119" s="158"/>
      <c r="S119" s="158"/>
      <c r="T119" s="158"/>
    </row>
    <row r="120" spans="1:20" ht="15" customHeight="1">
      <c r="A120" s="112"/>
      <c r="B120" s="158"/>
      <c r="C120" s="158"/>
      <c r="D120" s="158"/>
      <c r="E120" s="158"/>
      <c r="F120" s="158"/>
      <c r="G120" s="158"/>
      <c r="H120" s="158"/>
      <c r="J120" s="158"/>
      <c r="K120" s="158"/>
      <c r="L120" s="158"/>
      <c r="M120" s="158"/>
      <c r="N120" s="158"/>
      <c r="O120" s="158"/>
      <c r="P120" s="158"/>
      <c r="Q120" s="158"/>
      <c r="R120" s="158"/>
      <c r="S120" s="158"/>
      <c r="T120" s="158"/>
    </row>
    <row r="121" spans="1:20" ht="15.75">
      <c r="A121" s="112"/>
      <c r="B121" s="154"/>
      <c r="C121" s="154"/>
      <c r="D121" s="154"/>
      <c r="E121" s="154"/>
      <c r="F121" s="154"/>
      <c r="G121" s="154"/>
      <c r="H121" s="154"/>
      <c r="I121" s="154"/>
      <c r="J121" s="154"/>
      <c r="K121" s="154"/>
      <c r="L121" s="154"/>
      <c r="M121" s="154"/>
      <c r="N121" s="154"/>
      <c r="O121" s="154"/>
      <c r="P121" s="154"/>
      <c r="Q121" s="154"/>
    </row>
    <row r="122" spans="1:20" ht="15.75" hidden="1">
      <c r="A122" s="111"/>
      <c r="B122" s="154"/>
      <c r="C122" s="154"/>
      <c r="D122" s="154"/>
      <c r="E122" s="154"/>
      <c r="F122" s="154"/>
      <c r="G122" s="154"/>
      <c r="H122" s="154"/>
      <c r="I122" s="154"/>
      <c r="J122" s="154"/>
      <c r="K122" s="154"/>
      <c r="L122" s="154"/>
      <c r="M122" s="154"/>
      <c r="N122" s="154"/>
      <c r="O122" s="154"/>
      <c r="P122" s="154"/>
      <c r="Q122" s="154"/>
    </row>
    <row r="123" spans="1:20" ht="2.4500000000000002" customHeight="1">
      <c r="A123" s="111"/>
      <c r="B123" s="154"/>
      <c r="C123" s="154"/>
      <c r="D123" s="154"/>
      <c r="E123" s="154"/>
      <c r="F123" s="154"/>
      <c r="G123" s="154"/>
      <c r="H123" s="154"/>
      <c r="I123" s="154"/>
      <c r="J123" s="154"/>
      <c r="K123" s="154"/>
      <c r="L123" s="154"/>
      <c r="M123" s="154"/>
      <c r="N123" s="154"/>
      <c r="O123" s="154"/>
      <c r="P123" s="154"/>
      <c r="Q123" s="154"/>
      <c r="T123" s="357"/>
    </row>
    <row r="124" spans="1:20" ht="17.25" customHeight="1">
      <c r="T124" s="443"/>
    </row>
    <row r="125" spans="1:20" ht="13.5" customHeight="1">
      <c r="A125" s="420" t="str">
        <f>"Calibration No.: "&amp;$T$12</f>
        <v>Calibration No.: CAL11957/01</v>
      </c>
      <c r="B125" s="421"/>
      <c r="C125" s="421"/>
      <c r="D125" s="421"/>
      <c r="E125" s="421"/>
      <c r="F125" s="421"/>
      <c r="G125" s="421"/>
      <c r="H125" s="421"/>
      <c r="I125" s="422" t="str">
        <f>$G$31</f>
        <v>0</v>
      </c>
      <c r="J125" s="421"/>
      <c r="K125" s="421"/>
      <c r="L125" s="421"/>
      <c r="M125" s="421"/>
      <c r="N125" s="420" t="s">
        <v>360</v>
      </c>
      <c r="O125" s="423"/>
      <c r="P125" s="423"/>
      <c r="Q125" s="423"/>
      <c r="R125" s="423"/>
      <c r="S125" s="423"/>
      <c r="T125" s="423" t="s">
        <v>528</v>
      </c>
    </row>
    <row r="135" spans="1:20" ht="31.5" customHeight="1">
      <c r="A135" s="1148" t="s">
        <v>459</v>
      </c>
      <c r="B135" s="1148"/>
      <c r="C135" s="1148"/>
      <c r="D135" s="1148"/>
      <c r="E135" s="1148"/>
      <c r="F135" s="1148"/>
      <c r="G135" s="1148"/>
      <c r="H135" s="1148"/>
      <c r="I135" s="1148"/>
      <c r="J135" s="1148"/>
      <c r="K135" s="1148"/>
      <c r="L135" s="1148"/>
      <c r="M135" s="1148"/>
      <c r="N135" s="1148"/>
      <c r="O135" s="1148"/>
      <c r="P135" s="1148"/>
      <c r="Q135" s="1148"/>
      <c r="R135" s="1148"/>
      <c r="S135" s="1148"/>
      <c r="T135" s="1148"/>
    </row>
    <row r="136" spans="1:20" ht="15" customHeight="1">
      <c r="A136" s="427"/>
      <c r="B136" s="427"/>
      <c r="C136" s="427"/>
      <c r="D136" s="427"/>
      <c r="E136" s="427"/>
      <c r="F136" s="427"/>
      <c r="G136" s="427"/>
      <c r="H136" s="427"/>
      <c r="I136" s="427"/>
      <c r="J136" s="427"/>
      <c r="K136" s="427"/>
      <c r="L136" s="427"/>
      <c r="M136" s="427"/>
      <c r="N136" s="427"/>
      <c r="O136" s="427"/>
      <c r="P136" s="427"/>
      <c r="Q136" s="427"/>
      <c r="R136" s="427"/>
      <c r="S136" s="427"/>
      <c r="T136" s="427"/>
    </row>
    <row r="137" spans="1:20" ht="15" customHeight="1">
      <c r="A137" s="96"/>
      <c r="B137" s="96"/>
      <c r="C137" s="96"/>
      <c r="D137" s="96"/>
      <c r="E137" s="96"/>
      <c r="F137" s="96"/>
      <c r="G137" s="96"/>
      <c r="H137" s="96"/>
      <c r="I137" s="96"/>
      <c r="J137" s="96"/>
      <c r="K137" s="96"/>
      <c r="L137" s="96"/>
      <c r="M137" s="96"/>
      <c r="N137" s="96"/>
      <c r="O137" s="96"/>
      <c r="P137" s="96"/>
      <c r="Q137" s="96"/>
    </row>
    <row r="138" spans="1:20" s="451" customFormat="1" ht="21" customHeight="1">
      <c r="A138" s="446" t="s">
        <v>2</v>
      </c>
      <c r="B138" s="447"/>
      <c r="C138" s="447"/>
      <c r="D138" s="447"/>
      <c r="E138" s="447"/>
      <c r="F138" s="448"/>
      <c r="G138" s="426" t="str">
        <f>$G$18</f>
        <v>De-identified for distribution</v>
      </c>
      <c r="H138" s="447"/>
      <c r="I138" s="447"/>
      <c r="J138" s="447"/>
      <c r="K138" s="447"/>
      <c r="L138" s="447"/>
      <c r="M138" s="447"/>
      <c r="N138" s="447"/>
      <c r="O138" s="447"/>
      <c r="P138" s="447"/>
      <c r="Q138" s="447"/>
      <c r="R138" s="449"/>
      <c r="S138" s="448"/>
      <c r="T138" s="450"/>
    </row>
    <row r="139" spans="1:20" s="451" customFormat="1" ht="21" customHeight="1">
      <c r="A139" s="446" t="s">
        <v>107</v>
      </c>
      <c r="B139" s="447"/>
      <c r="C139" s="447"/>
      <c r="D139" s="447"/>
      <c r="E139" s="447"/>
      <c r="F139" s="448"/>
      <c r="G139" s="447" t="str">
        <f>Client!$AF$13</f>
        <v xml:space="preserve">, serial number </v>
      </c>
      <c r="H139" s="447"/>
      <c r="I139" s="447"/>
      <c r="J139" s="447"/>
      <c r="K139" s="447"/>
      <c r="L139" s="447"/>
      <c r="M139" s="447"/>
      <c r="N139" s="447"/>
      <c r="O139" s="447"/>
      <c r="P139" s="447"/>
      <c r="Q139" s="447"/>
      <c r="R139" s="449"/>
      <c r="S139" s="448"/>
      <c r="T139" s="450"/>
    </row>
    <row r="140" spans="1:20" s="451" customFormat="1" ht="21" customHeight="1">
      <c r="A140" s="447" t="s">
        <v>480</v>
      </c>
      <c r="B140" s="447"/>
      <c r="C140" s="447"/>
      <c r="D140" s="447"/>
      <c r="E140" s="447"/>
      <c r="F140" s="448"/>
      <c r="G140" s="426">
        <f>Client!$B$18</f>
        <v>0</v>
      </c>
      <c r="H140" s="447"/>
      <c r="I140" s="447"/>
      <c r="J140" s="447"/>
      <c r="K140" s="447"/>
      <c r="L140" s="447"/>
      <c r="M140" s="447"/>
      <c r="N140" s="447"/>
      <c r="O140" s="447"/>
      <c r="P140" s="447"/>
      <c r="Q140" s="447"/>
      <c r="R140" s="449"/>
      <c r="S140" s="448"/>
      <c r="T140" s="450"/>
    </row>
    <row r="141" spans="1:20" s="451" customFormat="1" ht="21" customHeight="1">
      <c r="A141" s="447" t="s">
        <v>822</v>
      </c>
      <c r="B141" s="447"/>
      <c r="C141" s="447"/>
      <c r="D141" s="447"/>
      <c r="E141" s="447"/>
      <c r="F141" s="447"/>
      <c r="G141" s="447">
        <f>Elec!$B$20</f>
        <v>0</v>
      </c>
      <c r="H141" s="447"/>
      <c r="I141" s="447"/>
      <c r="J141" s="447"/>
      <c r="K141" s="447"/>
      <c r="L141" s="447"/>
      <c r="M141" s="447"/>
      <c r="N141" s="447"/>
      <c r="O141" s="447"/>
      <c r="P141" s="447"/>
      <c r="Q141" s="447"/>
      <c r="R141" s="449"/>
      <c r="S141" s="448"/>
      <c r="T141" s="450"/>
    </row>
    <row r="142" spans="1:20" s="451" customFormat="1" ht="21" customHeight="1">
      <c r="A142" s="447" t="s">
        <v>373</v>
      </c>
      <c r="B142" s="447"/>
      <c r="C142" s="447"/>
      <c r="D142" s="447"/>
      <c r="E142" s="447"/>
      <c r="F142" s="448"/>
      <c r="G142" s="447" t="str">
        <f>Client!$Q$13</f>
        <v>Positive (Central Electrode Negative)</v>
      </c>
      <c r="H142" s="447"/>
      <c r="I142" s="447"/>
      <c r="J142" s="447"/>
      <c r="K142" s="447"/>
      <c r="L142" s="447"/>
      <c r="M142" s="447"/>
      <c r="N142" s="447"/>
      <c r="O142" s="447"/>
      <c r="P142" s="447"/>
      <c r="Q142" s="447"/>
      <c r="R142" s="449"/>
      <c r="S142" s="448"/>
      <c r="T142" s="450"/>
    </row>
    <row r="143" spans="1:20" s="451" customFormat="1" ht="21" customHeight="1">
      <c r="A143" s="447" t="s">
        <v>481</v>
      </c>
      <c r="B143" s="447"/>
      <c r="C143" s="447"/>
      <c r="D143" s="447"/>
      <c r="E143" s="447"/>
      <c r="F143" s="448"/>
      <c r="G143" s="447" t="s">
        <v>597</v>
      </c>
      <c r="H143" s="447"/>
      <c r="I143" s="447"/>
      <c r="J143" s="447"/>
      <c r="K143" s="447"/>
      <c r="L143" s="447"/>
      <c r="M143" s="447"/>
      <c r="N143" s="447"/>
      <c r="O143" s="447"/>
      <c r="P143" s="447"/>
      <c r="Q143" s="447"/>
      <c r="R143" s="449"/>
      <c r="S143" s="448"/>
      <c r="T143" s="450"/>
    </row>
    <row r="144" spans="1:20" s="451" customFormat="1" ht="21" customHeight="1">
      <c r="A144" s="447" t="s">
        <v>813</v>
      </c>
      <c r="B144" s="447"/>
      <c r="C144" s="447"/>
      <c r="D144" s="447"/>
      <c r="E144" s="447"/>
      <c r="F144" s="448"/>
      <c r="G144" s="426">
        <f xml:space="preserve"> Elec!$B$21</f>
        <v>0</v>
      </c>
      <c r="H144" s="447"/>
      <c r="I144" s="447"/>
      <c r="J144" s="447"/>
      <c r="K144" s="447"/>
      <c r="L144" s="447"/>
      <c r="M144" s="447"/>
      <c r="N144" s="447"/>
      <c r="O144" s="447"/>
      <c r="P144" s="447"/>
      <c r="Q144" s="447"/>
      <c r="R144" s="449"/>
      <c r="S144" s="448"/>
      <c r="T144" s="450"/>
    </row>
    <row r="145" spans="1:20" s="451" customFormat="1" ht="21" customHeight="1">
      <c r="A145" s="447" t="s">
        <v>386</v>
      </c>
      <c r="B145" s="448"/>
      <c r="C145" s="447"/>
      <c r="D145" s="447"/>
      <c r="E145" s="447"/>
      <c r="F145" s="448"/>
      <c r="G145" s="447" t="str">
        <f>ElecReport!G25</f>
        <v>0</v>
      </c>
      <c r="H145" s="447"/>
      <c r="I145" s="447"/>
      <c r="J145" s="447"/>
      <c r="K145" s="447"/>
      <c r="L145" s="447"/>
      <c r="M145" s="447"/>
      <c r="N145" s="447"/>
      <c r="O145" s="447"/>
      <c r="P145" s="447"/>
      <c r="Q145" s="447"/>
      <c r="R145" s="449"/>
      <c r="S145" s="448"/>
      <c r="T145" s="450"/>
    </row>
    <row r="146" spans="1:20" s="451" customFormat="1" ht="21" customHeight="1">
      <c r="A146" s="452" t="s">
        <v>387</v>
      </c>
      <c r="B146" s="452"/>
      <c r="C146" s="452"/>
      <c r="D146" s="452"/>
      <c r="E146" s="452"/>
      <c r="F146" s="452"/>
      <c r="G146" s="452"/>
      <c r="H146" s="452"/>
      <c r="I146" s="447"/>
      <c r="J146" s="447"/>
      <c r="K146" s="447"/>
      <c r="L146" s="447"/>
      <c r="M146" s="447"/>
      <c r="N146" s="447"/>
      <c r="O146" s="447"/>
      <c r="P146" s="447"/>
      <c r="Q146" s="447"/>
      <c r="R146" s="449"/>
      <c r="S146" s="448"/>
      <c r="T146" s="450"/>
    </row>
    <row r="147" spans="1:20" ht="10.5" customHeight="1">
      <c r="A147" s="206"/>
      <c r="B147" s="206"/>
      <c r="C147" s="206"/>
      <c r="D147" s="206"/>
      <c r="E147" s="206"/>
      <c r="F147" s="36"/>
      <c r="G147" s="206"/>
      <c r="H147" s="206"/>
      <c r="I147" s="206"/>
      <c r="J147" s="206"/>
      <c r="K147" s="206"/>
      <c r="L147" s="206"/>
      <c r="M147" s="206"/>
      <c r="N147" s="206"/>
      <c r="O147" s="206"/>
      <c r="P147" s="206"/>
      <c r="Q147" s="206"/>
      <c r="R147" s="207"/>
      <c r="S147" s="36"/>
      <c r="T147" s="9"/>
    </row>
    <row r="148" spans="1:20" ht="10.5" customHeight="1">
      <c r="A148" s="206"/>
      <c r="B148" s="36"/>
      <c r="C148" s="206"/>
      <c r="D148" s="206"/>
      <c r="E148" s="206"/>
      <c r="F148" s="36"/>
      <c r="G148" s="9"/>
      <c r="H148" s="206"/>
      <c r="I148" s="206"/>
      <c r="J148" s="206"/>
      <c r="K148" s="206"/>
      <c r="L148" s="206"/>
      <c r="M148" s="206"/>
      <c r="N148" s="206"/>
      <c r="O148" s="206"/>
      <c r="P148" s="206"/>
      <c r="Q148" s="206"/>
      <c r="R148" s="207"/>
      <c r="S148" s="36"/>
      <c r="T148" s="9"/>
    </row>
    <row r="149" spans="1:20" ht="15.75">
      <c r="A149" s="91"/>
      <c r="B149" s="91"/>
      <c r="C149" s="91"/>
      <c r="D149" s="91"/>
      <c r="E149" s="91"/>
      <c r="F149" s="91"/>
      <c r="G149" s="91"/>
      <c r="H149" s="91"/>
      <c r="I149" s="91"/>
      <c r="J149" s="161" t="s">
        <v>485</v>
      </c>
      <c r="K149" s="91"/>
      <c r="L149" s="91"/>
      <c r="M149" s="91"/>
      <c r="N149" s="91"/>
      <c r="O149" s="91"/>
      <c r="P149" s="91"/>
      <c r="Q149" s="91"/>
      <c r="R149" s="97"/>
    </row>
    <row r="150" spans="1:20" ht="42.75" customHeight="1">
      <c r="A150" s="1091" t="s">
        <v>483</v>
      </c>
      <c r="B150" s="1091"/>
      <c r="C150" s="1091"/>
      <c r="D150" s="1091"/>
      <c r="E150" s="1091"/>
      <c r="F150" s="1091"/>
      <c r="G150" s="1096" t="s">
        <v>484</v>
      </c>
      <c r="H150" s="1096"/>
      <c r="I150" s="1096"/>
      <c r="J150" s="1087" t="s">
        <v>1240</v>
      </c>
      <c r="K150" s="1088"/>
      <c r="L150" s="1089"/>
      <c r="M150" s="1150" t="s">
        <v>1242</v>
      </c>
      <c r="N150" s="1151"/>
      <c r="O150" s="1151"/>
      <c r="P150" s="1152"/>
      <c r="Q150" s="1153" t="s">
        <v>1244</v>
      </c>
      <c r="R150" s="1154"/>
      <c r="S150" s="1154"/>
      <c r="T150" s="1155"/>
    </row>
    <row r="151" spans="1:20" ht="15" customHeight="1">
      <c r="A151" s="1103"/>
      <c r="B151" s="1104"/>
      <c r="C151" s="1104"/>
      <c r="D151" s="1104"/>
      <c r="E151" s="1104"/>
      <c r="F151" s="1105"/>
      <c r="G151" s="1097"/>
      <c r="H151" s="1098"/>
      <c r="I151" s="1099"/>
      <c r="J151" s="1100" t="s">
        <v>1241</v>
      </c>
      <c r="K151" s="1101"/>
      <c r="L151" s="1102"/>
      <c r="M151" s="1103" t="s">
        <v>1243</v>
      </c>
      <c r="N151" s="1104"/>
      <c r="O151" s="1104"/>
      <c r="P151" s="1105"/>
      <c r="Q151" s="1106" t="s">
        <v>140</v>
      </c>
      <c r="R151" s="1107"/>
      <c r="S151" s="1107"/>
      <c r="T151" s="1108"/>
    </row>
    <row r="152" spans="1:20" ht="20.25" customHeight="1">
      <c r="A152" s="1092">
        <f>Elec!$A$13</f>
        <v>0</v>
      </c>
      <c r="B152" s="1092"/>
      <c r="C152" s="1092"/>
      <c r="D152" s="1092"/>
      <c r="E152" s="1092"/>
      <c r="F152" s="1092"/>
      <c r="G152" s="1090" t="str">
        <f>IF(LEFT(Elec!$B$13,6)="Intern","Internal","External")</f>
        <v>External</v>
      </c>
      <c r="H152" s="1090"/>
      <c r="I152" s="1090"/>
      <c r="J152" s="1090">
        <f>Elec!$C$13</f>
        <v>0</v>
      </c>
      <c r="K152" s="1090"/>
      <c r="L152" s="1090"/>
      <c r="M152" s="1149" t="str">
        <f>Elec!$F$13</f>
        <v>0.000</v>
      </c>
      <c r="N152" s="1149"/>
      <c r="O152" s="1149"/>
      <c r="P152" s="1149"/>
      <c r="Q152" s="1149">
        <v>0.3</v>
      </c>
      <c r="R152" s="1149"/>
      <c r="S152" s="1149"/>
      <c r="T152" s="1149"/>
    </row>
    <row r="153" spans="1:20" ht="20.25" customHeight="1">
      <c r="A153" s="1092">
        <f>Elec!$A$14</f>
        <v>0</v>
      </c>
      <c r="B153" s="1092"/>
      <c r="C153" s="1092"/>
      <c r="D153" s="1092"/>
      <c r="E153" s="1092"/>
      <c r="F153" s="1092"/>
      <c r="G153" s="1090" t="str">
        <f>IF(LEFT(Elec!$B$14,6)="Intern","Internal","External")</f>
        <v>External</v>
      </c>
      <c r="H153" s="1090"/>
      <c r="I153" s="1090"/>
      <c r="J153" s="1090">
        <f>Elec!$C$14</f>
        <v>0</v>
      </c>
      <c r="K153" s="1090"/>
      <c r="L153" s="1090"/>
      <c r="M153" s="1149" t="str">
        <f>Elec!$F$14</f>
        <v>0.000</v>
      </c>
      <c r="N153" s="1149"/>
      <c r="O153" s="1149"/>
      <c r="P153" s="1149"/>
      <c r="Q153" s="1149">
        <v>0.3</v>
      </c>
      <c r="R153" s="1149"/>
      <c r="S153" s="1149"/>
      <c r="T153" s="1149"/>
    </row>
    <row r="154" spans="1:20" ht="20.25" customHeight="1">
      <c r="A154" s="1093">
        <f>Elec!$A$15</f>
        <v>0</v>
      </c>
      <c r="B154" s="1094"/>
      <c r="C154" s="1094"/>
      <c r="D154" s="1094"/>
      <c r="E154" s="1094"/>
      <c r="F154" s="1095"/>
      <c r="G154" s="1084" t="str">
        <f>IF(LEFT(Elec!$B$15,6)="Intern","Internal","External")</f>
        <v>External</v>
      </c>
      <c r="H154" s="1085"/>
      <c r="I154" s="1086"/>
      <c r="J154" s="1084">
        <f>Elec!$C$15</f>
        <v>0</v>
      </c>
      <c r="K154" s="1085"/>
      <c r="L154" s="1086"/>
      <c r="M154" s="1137" t="str">
        <f>Elec!$F$15</f>
        <v>0.000</v>
      </c>
      <c r="N154" s="1138"/>
      <c r="O154" s="1138"/>
      <c r="P154" s="1139"/>
      <c r="Q154" s="1137">
        <v>0.3</v>
      </c>
      <c r="R154" s="1138"/>
      <c r="S154" s="1138"/>
      <c r="T154" s="1139"/>
    </row>
    <row r="155" spans="1:20" ht="20.25" customHeight="1">
      <c r="A155" s="1093">
        <f>Elec!$A$16</f>
        <v>0</v>
      </c>
      <c r="B155" s="1094"/>
      <c r="C155" s="1094"/>
      <c r="D155" s="1094"/>
      <c r="E155" s="1094"/>
      <c r="F155" s="1095"/>
      <c r="G155" s="1084" t="str">
        <f>IF(LEFT(Elec!$B$16,6)="Intern","Internal","External")</f>
        <v>External</v>
      </c>
      <c r="H155" s="1085"/>
      <c r="I155" s="1086"/>
      <c r="J155" s="1084">
        <f>Elec!$C$16</f>
        <v>0</v>
      </c>
      <c r="K155" s="1085"/>
      <c r="L155" s="1086"/>
      <c r="M155" s="1137" t="str">
        <f>Elec!$F$16</f>
        <v>0.000</v>
      </c>
      <c r="N155" s="1138"/>
      <c r="O155" s="1138"/>
      <c r="P155" s="1139"/>
      <c r="Q155" s="1137">
        <v>0.3</v>
      </c>
      <c r="R155" s="1138"/>
      <c r="S155" s="1138"/>
      <c r="T155" s="1139"/>
    </row>
    <row r="156" spans="1:20" ht="20.25" customHeight="1">
      <c r="A156" s="1093">
        <f>Elec!$A$17</f>
        <v>0</v>
      </c>
      <c r="B156" s="1094"/>
      <c r="C156" s="1094"/>
      <c r="D156" s="1094"/>
      <c r="E156" s="1094"/>
      <c r="F156" s="1095"/>
      <c r="G156" s="1084" t="str">
        <f>IF(LEFT(Elec!$B$17,6)="Intern","Internal","External")</f>
        <v>External</v>
      </c>
      <c r="H156" s="1085"/>
      <c r="I156" s="1086"/>
      <c r="J156" s="1084">
        <f>Elec!$C$17</f>
        <v>0</v>
      </c>
      <c r="K156" s="1085"/>
      <c r="L156" s="1086"/>
      <c r="M156" s="1137" t="str">
        <f>Elec!$F$17</f>
        <v>0.000</v>
      </c>
      <c r="N156" s="1138"/>
      <c r="O156" s="1138"/>
      <c r="P156" s="1139"/>
      <c r="Q156" s="1137">
        <v>0.3</v>
      </c>
      <c r="R156" s="1138"/>
      <c r="S156" s="1138"/>
      <c r="T156" s="1139"/>
    </row>
    <row r="157" spans="1:20" ht="20.25" customHeight="1">
      <c r="A157" s="1093">
        <f>Elec!$A$18</f>
        <v>0</v>
      </c>
      <c r="B157" s="1094"/>
      <c r="C157" s="1094"/>
      <c r="D157" s="1094"/>
      <c r="E157" s="1094"/>
      <c r="F157" s="1095"/>
      <c r="G157" s="1084" t="str">
        <f>IF(LEFT(Elec!$B$18,6)="Intern","Internal","External")</f>
        <v>External</v>
      </c>
      <c r="H157" s="1085"/>
      <c r="I157" s="1086"/>
      <c r="J157" s="1084">
        <f>Elec!$C$18</f>
        <v>0</v>
      </c>
      <c r="K157" s="1085"/>
      <c r="L157" s="1086"/>
      <c r="M157" s="1137" t="str">
        <f>Elec!$F$18</f>
        <v>0.000</v>
      </c>
      <c r="N157" s="1138"/>
      <c r="O157" s="1138"/>
      <c r="P157" s="1139"/>
      <c r="Q157" s="1137">
        <v>0.3</v>
      </c>
      <c r="R157" s="1138"/>
      <c r="S157" s="1138"/>
      <c r="T157" s="1139"/>
    </row>
    <row r="158" spans="1:20" s="111" customFormat="1" ht="34.15" customHeight="1">
      <c r="A158" s="1133" t="s">
        <v>482</v>
      </c>
      <c r="B158" s="1133"/>
      <c r="C158" s="1133"/>
      <c r="D158" s="1133"/>
      <c r="E158" s="1133"/>
      <c r="F158" s="1133"/>
      <c r="G158" s="1133"/>
      <c r="H158" s="1133"/>
      <c r="I158" s="1133"/>
      <c r="J158" s="1133"/>
      <c r="K158" s="1133"/>
      <c r="L158" s="1133"/>
      <c r="M158" s="1133"/>
      <c r="N158" s="1133"/>
      <c r="O158" s="1133"/>
      <c r="P158" s="1133"/>
      <c r="Q158" s="1133"/>
      <c r="R158" s="1133"/>
      <c r="S158" s="1133"/>
      <c r="T158" s="1133"/>
    </row>
    <row r="159" spans="1:20" s="111" customFormat="1" ht="34.15" customHeight="1">
      <c r="A159" s="1133" t="s">
        <v>849</v>
      </c>
      <c r="B159" s="1133"/>
      <c r="C159" s="1133"/>
      <c r="D159" s="1133"/>
      <c r="E159" s="1133"/>
      <c r="F159" s="1133"/>
      <c r="G159" s="1133"/>
      <c r="H159" s="1133"/>
      <c r="I159" s="1133"/>
      <c r="J159" s="1133"/>
      <c r="K159" s="1133"/>
      <c r="L159" s="1133"/>
      <c r="M159" s="1133"/>
      <c r="N159" s="1133"/>
      <c r="O159" s="1133"/>
      <c r="P159" s="1133"/>
      <c r="Q159" s="1133"/>
      <c r="R159" s="1133"/>
      <c r="S159" s="1133"/>
      <c r="T159" s="1133"/>
    </row>
    <row r="160" spans="1:20" s="111" customFormat="1" ht="15" customHeight="1">
      <c r="A160" s="425"/>
      <c r="B160" s="425"/>
      <c r="C160" s="425"/>
      <c r="D160" s="425"/>
      <c r="E160" s="425"/>
      <c r="F160" s="425"/>
      <c r="G160" s="425"/>
      <c r="H160" s="425"/>
      <c r="I160" s="425"/>
      <c r="J160" s="425"/>
      <c r="K160" s="425"/>
      <c r="L160" s="425"/>
      <c r="M160" s="425"/>
      <c r="N160" s="425"/>
      <c r="O160" s="425"/>
      <c r="P160" s="425"/>
      <c r="Q160" s="425"/>
      <c r="R160" s="425"/>
      <c r="S160" s="425"/>
      <c r="T160" s="425"/>
    </row>
    <row r="161" spans="1:20" s="111" customFormat="1" ht="15" customHeight="1">
      <c r="A161" s="425"/>
      <c r="B161" s="425"/>
      <c r="C161" s="425"/>
      <c r="D161" s="425"/>
      <c r="E161" s="425"/>
      <c r="F161" s="425"/>
      <c r="G161" s="425"/>
      <c r="H161" s="425"/>
      <c r="I161" s="425"/>
      <c r="J161" s="425"/>
      <c r="K161" s="425"/>
      <c r="L161" s="425"/>
      <c r="M161" s="425"/>
      <c r="N161" s="425"/>
      <c r="O161" s="425"/>
      <c r="P161" s="425"/>
      <c r="Q161" s="425"/>
      <c r="R161" s="425"/>
      <c r="S161" s="425"/>
      <c r="T161" s="425"/>
    </row>
    <row r="162" spans="1:20" s="111" customFormat="1" ht="15" customHeight="1">
      <c r="A162" s="428"/>
      <c r="B162" s="428"/>
      <c r="C162" s="428"/>
      <c r="D162" s="428"/>
      <c r="E162" s="428"/>
      <c r="F162" s="428"/>
      <c r="G162" s="428"/>
      <c r="H162" s="428"/>
      <c r="I162" s="428"/>
      <c r="J162" s="428"/>
      <c r="K162" s="428"/>
      <c r="L162" s="428"/>
      <c r="M162" s="428"/>
      <c r="N162" s="428"/>
      <c r="O162" s="428"/>
      <c r="P162" s="428"/>
      <c r="Q162" s="428"/>
      <c r="R162" s="428"/>
      <c r="S162" s="428"/>
      <c r="T162" s="428"/>
    </row>
    <row r="163" spans="1:20" s="111" customFormat="1" ht="15" customHeight="1">
      <c r="A163" s="444"/>
      <c r="B163" s="444"/>
      <c r="C163" s="444"/>
      <c r="D163" s="444"/>
      <c r="E163" s="444"/>
      <c r="F163" s="444"/>
      <c r="G163" s="444"/>
      <c r="H163" s="444"/>
      <c r="I163" s="444"/>
      <c r="J163" s="444"/>
      <c r="K163" s="444"/>
      <c r="L163" s="444"/>
      <c r="M163" s="444"/>
      <c r="N163" s="444"/>
      <c r="O163" s="444"/>
      <c r="P163" s="444"/>
      <c r="Q163" s="444"/>
      <c r="R163" s="444"/>
      <c r="S163" s="444"/>
      <c r="T163" s="444"/>
    </row>
    <row r="164" spans="1:20" ht="15">
      <c r="A164" s="91"/>
      <c r="B164" s="91"/>
      <c r="C164" s="91"/>
      <c r="D164" s="91"/>
      <c r="E164" s="91"/>
      <c r="F164" s="91"/>
      <c r="G164" s="91"/>
      <c r="H164" s="91"/>
      <c r="I164" s="91"/>
      <c r="J164" s="91"/>
      <c r="K164" s="91"/>
      <c r="L164" s="177"/>
      <c r="M164" s="177"/>
      <c r="N164" s="177"/>
      <c r="O164" s="177"/>
      <c r="P164" s="177"/>
      <c r="Q164" s="177"/>
      <c r="R164" s="137"/>
      <c r="S164" s="39"/>
    </row>
    <row r="165" spans="1:20" ht="9" customHeight="1">
      <c r="A165" s="91"/>
      <c r="B165" s="91"/>
      <c r="C165" s="91"/>
      <c r="D165" s="91"/>
      <c r="E165" s="91"/>
      <c r="F165" s="91"/>
      <c r="G165" s="91"/>
      <c r="H165" s="91"/>
      <c r="I165" s="91"/>
      <c r="J165" s="91"/>
      <c r="K165" s="91"/>
      <c r="L165" s="177"/>
      <c r="M165" s="91"/>
      <c r="N165" s="91"/>
      <c r="O165" s="91"/>
      <c r="P165" s="91"/>
      <c r="Q165" s="91"/>
      <c r="R165" s="91"/>
      <c r="S165" s="97"/>
    </row>
    <row r="166" spans="1:20" ht="15">
      <c r="A166" s="91"/>
      <c r="B166" s="91"/>
      <c r="C166" s="91"/>
      <c r="D166" s="91"/>
      <c r="E166" s="91"/>
      <c r="F166" s="91"/>
      <c r="G166" s="91"/>
      <c r="H166" s="91"/>
      <c r="I166" s="91"/>
      <c r="J166" s="91"/>
      <c r="K166" s="91"/>
      <c r="L166" s="177"/>
      <c r="M166" s="93" t="str">
        <f>"Calibrated by "&amp;Client!B23</f>
        <v xml:space="preserve">Calibrated by </v>
      </c>
      <c r="N166" s="93"/>
      <c r="O166" s="93"/>
      <c r="P166" s="93"/>
      <c r="Q166" s="93"/>
      <c r="R166" s="93"/>
      <c r="S166" s="117"/>
      <c r="T166" s="48"/>
    </row>
    <row r="167" spans="1:20" ht="15">
      <c r="A167" s="91"/>
      <c r="B167" s="91"/>
      <c r="C167" s="91"/>
      <c r="D167" s="91"/>
      <c r="E167" s="91"/>
      <c r="F167" s="91"/>
      <c r="G167" s="91"/>
      <c r="H167" s="91"/>
      <c r="I167" s="91"/>
      <c r="J167" s="91"/>
      <c r="K167" s="91"/>
      <c r="L167" s="177"/>
      <c r="M167" s="177"/>
      <c r="N167" s="177"/>
      <c r="O167" s="177"/>
      <c r="P167" s="177"/>
      <c r="Q167" s="177"/>
      <c r="R167" s="137"/>
      <c r="S167" s="39"/>
    </row>
    <row r="168" spans="1:20" ht="15">
      <c r="A168" s="91"/>
      <c r="B168" s="91"/>
      <c r="C168" s="91"/>
      <c r="D168" s="91"/>
      <c r="E168" s="91"/>
      <c r="F168" s="91"/>
      <c r="G168" s="91"/>
      <c r="H168" s="91"/>
      <c r="I168" s="91"/>
      <c r="J168" s="91"/>
      <c r="K168" s="91"/>
      <c r="L168" s="177"/>
      <c r="M168" s="177"/>
      <c r="N168" s="177"/>
      <c r="O168" s="177"/>
      <c r="P168" s="177"/>
      <c r="Q168" s="177"/>
      <c r="R168" s="137"/>
      <c r="S168" s="39"/>
    </row>
    <row r="169" spans="1:20" ht="15">
      <c r="A169" s="91"/>
      <c r="B169" s="91"/>
      <c r="C169" s="91"/>
      <c r="D169" s="91"/>
      <c r="E169" s="91"/>
      <c r="F169" s="91"/>
      <c r="G169" s="91"/>
      <c r="H169" s="91"/>
      <c r="I169" s="91"/>
      <c r="J169" s="91"/>
      <c r="K169" s="91"/>
      <c r="L169" s="91"/>
      <c r="M169" s="91"/>
      <c r="N169" s="91"/>
      <c r="O169" s="91"/>
      <c r="P169" s="91"/>
      <c r="Q169" s="91"/>
      <c r="R169" s="97"/>
    </row>
    <row r="170" spans="1:20">
      <c r="A170" s="420" t="str">
        <f>"Calibration No.: "&amp;$T$12</f>
        <v>Calibration No.: CAL11957/01</v>
      </c>
      <c r="B170" s="421"/>
      <c r="C170" s="421"/>
      <c r="D170" s="421"/>
      <c r="E170" s="421"/>
      <c r="F170" s="421"/>
      <c r="G170" s="421"/>
      <c r="H170" s="421"/>
      <c r="I170" s="422" t="str">
        <f>$G$31</f>
        <v>0</v>
      </c>
      <c r="J170" s="421"/>
      <c r="K170" s="421"/>
      <c r="L170" s="421"/>
      <c r="M170" s="421"/>
      <c r="N170" s="420" t="s">
        <v>360</v>
      </c>
      <c r="O170" s="423"/>
      <c r="P170" s="423"/>
      <c r="Q170" s="423"/>
      <c r="R170" s="423"/>
      <c r="S170" s="423"/>
      <c r="T170" s="423" t="s">
        <v>529</v>
      </c>
    </row>
    <row r="171" spans="1:20">
      <c r="A171" s="97"/>
      <c r="B171" s="97"/>
      <c r="C171" s="97"/>
      <c r="D171" s="97"/>
      <c r="E171" s="97"/>
      <c r="F171" s="97"/>
      <c r="G171" s="97"/>
      <c r="H171" s="97"/>
      <c r="I171" s="97"/>
      <c r="J171" s="97"/>
      <c r="K171" s="97"/>
      <c r="L171" s="97"/>
      <c r="M171" s="97"/>
      <c r="N171" s="97"/>
      <c r="O171" s="97"/>
      <c r="P171" s="97"/>
      <c r="Q171" s="97"/>
      <c r="R171" s="97"/>
    </row>
    <row r="172" spans="1:20">
      <c r="A172" s="97"/>
      <c r="B172" s="97"/>
      <c r="C172" s="97"/>
      <c r="D172" s="97"/>
      <c r="E172" s="97"/>
      <c r="F172" s="97"/>
      <c r="G172" s="97"/>
      <c r="H172" s="97"/>
      <c r="I172" s="97"/>
      <c r="J172" s="97"/>
      <c r="K172" s="97"/>
      <c r="L172" s="97"/>
      <c r="M172" s="97"/>
      <c r="N172" s="97"/>
      <c r="O172" s="97"/>
      <c r="P172" s="97"/>
      <c r="Q172" s="97"/>
      <c r="R172" s="97"/>
    </row>
    <row r="173" spans="1:20">
      <c r="A173" s="97"/>
      <c r="B173" s="97"/>
      <c r="C173" s="97"/>
      <c r="D173" s="97"/>
      <c r="E173" s="97"/>
      <c r="F173" s="97"/>
      <c r="G173" s="97"/>
      <c r="H173" s="97"/>
      <c r="I173" s="97"/>
      <c r="J173" s="97"/>
      <c r="K173" s="97"/>
      <c r="L173" s="97"/>
      <c r="M173" s="97"/>
      <c r="N173" s="97"/>
      <c r="O173" s="97"/>
      <c r="P173" s="97"/>
      <c r="Q173" s="97"/>
      <c r="R173" s="97"/>
    </row>
    <row r="174" spans="1:20">
      <c r="A174" s="97"/>
      <c r="B174" s="97"/>
      <c r="C174" s="97"/>
      <c r="D174" s="97"/>
      <c r="E174" s="97"/>
      <c r="F174" s="97"/>
      <c r="G174" s="97"/>
      <c r="H174" s="97"/>
      <c r="I174" s="97"/>
      <c r="J174" s="97"/>
      <c r="K174" s="97"/>
      <c r="L174" s="97"/>
      <c r="M174" s="97"/>
      <c r="N174" s="97"/>
      <c r="O174" s="97"/>
      <c r="P174" s="97"/>
      <c r="Q174" s="97"/>
      <c r="R174" s="97"/>
    </row>
    <row r="175" spans="1:20">
      <c r="A175" s="97"/>
      <c r="B175" s="97"/>
      <c r="C175" s="97"/>
      <c r="D175" s="97"/>
      <c r="E175" s="97"/>
      <c r="F175" s="97"/>
      <c r="G175" s="97"/>
      <c r="H175" s="97"/>
      <c r="I175" s="97"/>
      <c r="J175" s="97"/>
      <c r="K175" s="97"/>
      <c r="L175" s="97"/>
      <c r="M175" s="97"/>
      <c r="N175" s="97"/>
      <c r="O175" s="97"/>
      <c r="P175" s="97"/>
      <c r="Q175" s="97"/>
      <c r="R175" s="97"/>
    </row>
    <row r="176" spans="1:20">
      <c r="A176" s="97"/>
      <c r="B176" s="97"/>
      <c r="C176" s="97"/>
      <c r="D176" s="97"/>
      <c r="E176" s="97"/>
      <c r="F176" s="97"/>
      <c r="G176" s="97"/>
      <c r="H176" s="97"/>
      <c r="I176" s="97"/>
      <c r="J176" s="97"/>
      <c r="K176" s="97"/>
      <c r="L176" s="97"/>
      <c r="M176" s="97"/>
      <c r="N176" s="97"/>
      <c r="O176" s="97"/>
      <c r="P176" s="97"/>
      <c r="Q176" s="97"/>
      <c r="R176" s="97"/>
    </row>
    <row r="177" spans="1:18">
      <c r="A177" s="97"/>
      <c r="B177" s="97"/>
      <c r="C177" s="97"/>
      <c r="D177" s="97"/>
      <c r="E177" s="97"/>
      <c r="F177" s="97"/>
      <c r="G177" s="97"/>
      <c r="H177" s="97"/>
      <c r="I177" s="97"/>
      <c r="J177" s="97"/>
      <c r="K177" s="97"/>
      <c r="L177" s="97"/>
      <c r="M177" s="97"/>
      <c r="N177" s="97"/>
      <c r="O177" s="97"/>
      <c r="P177" s="97"/>
      <c r="Q177" s="97"/>
      <c r="R177" s="97"/>
    </row>
    <row r="178" spans="1:18">
      <c r="A178" s="97"/>
      <c r="B178" s="97"/>
      <c r="C178" s="97"/>
      <c r="D178" s="97"/>
      <c r="E178" s="97"/>
      <c r="F178" s="97"/>
      <c r="G178" s="97"/>
      <c r="H178" s="97"/>
      <c r="I178" s="97"/>
      <c r="J178" s="97"/>
      <c r="K178" s="97"/>
      <c r="L178" s="97"/>
      <c r="M178" s="97"/>
      <c r="N178" s="97"/>
      <c r="O178" s="97"/>
      <c r="P178" s="97"/>
      <c r="Q178" s="97"/>
      <c r="R178" s="97"/>
    </row>
    <row r="179" spans="1:18">
      <c r="A179" s="97"/>
      <c r="B179" s="97"/>
      <c r="C179" s="97"/>
      <c r="D179" s="97"/>
      <c r="E179" s="97"/>
      <c r="F179" s="97"/>
      <c r="G179" s="97"/>
      <c r="H179" s="97"/>
      <c r="I179" s="97"/>
      <c r="J179" s="97"/>
      <c r="K179" s="97"/>
      <c r="L179" s="97"/>
      <c r="M179" s="97"/>
      <c r="N179" s="97"/>
      <c r="O179" s="97"/>
      <c r="P179" s="97"/>
      <c r="Q179" s="97"/>
      <c r="R179" s="97"/>
    </row>
    <row r="180" spans="1:18">
      <c r="A180" s="97"/>
      <c r="B180" s="97"/>
      <c r="C180" s="97"/>
      <c r="D180" s="97"/>
      <c r="E180" s="97"/>
      <c r="F180" s="97"/>
      <c r="G180" s="97"/>
      <c r="H180" s="97"/>
      <c r="I180" s="97"/>
      <c r="J180" s="97"/>
      <c r="K180" s="97"/>
      <c r="L180" s="97"/>
      <c r="M180" s="97"/>
      <c r="N180" s="97"/>
      <c r="O180" s="97"/>
      <c r="P180" s="97"/>
      <c r="Q180" s="97"/>
      <c r="R180" s="97"/>
    </row>
    <row r="181" spans="1:18">
      <c r="A181" s="97"/>
      <c r="B181" s="97"/>
      <c r="C181" s="97"/>
      <c r="D181" s="97"/>
      <c r="E181" s="97"/>
      <c r="F181" s="97"/>
      <c r="G181" s="97"/>
      <c r="H181" s="97"/>
      <c r="I181" s="97"/>
      <c r="J181" s="97"/>
      <c r="K181" s="97"/>
      <c r="L181" s="97"/>
      <c r="M181" s="97"/>
      <c r="N181" s="97"/>
      <c r="O181" s="97"/>
      <c r="P181" s="97"/>
      <c r="Q181" s="97"/>
      <c r="R181" s="97"/>
    </row>
    <row r="182" spans="1:18">
      <c r="A182" s="97"/>
      <c r="B182" s="97"/>
      <c r="C182" s="97"/>
      <c r="D182" s="97"/>
      <c r="E182" s="97"/>
      <c r="F182" s="97"/>
      <c r="G182" s="97"/>
      <c r="H182" s="97"/>
      <c r="I182" s="97"/>
      <c r="J182" s="97"/>
      <c r="K182" s="97"/>
      <c r="L182" s="97"/>
      <c r="M182" s="97"/>
      <c r="N182" s="97"/>
      <c r="O182" s="97"/>
      <c r="P182" s="97"/>
      <c r="Q182" s="97"/>
      <c r="R182" s="97"/>
    </row>
    <row r="183" spans="1:18">
      <c r="A183" s="97"/>
      <c r="B183" s="97"/>
      <c r="C183" s="97"/>
      <c r="D183" s="97"/>
      <c r="E183" s="97"/>
      <c r="F183" s="97"/>
      <c r="G183" s="97"/>
      <c r="H183" s="97"/>
      <c r="I183" s="97"/>
      <c r="J183" s="97"/>
      <c r="K183" s="97"/>
      <c r="L183" s="97"/>
      <c r="M183" s="97"/>
      <c r="N183" s="97"/>
      <c r="O183" s="97"/>
      <c r="P183" s="97"/>
      <c r="Q183" s="97"/>
      <c r="R183" s="97"/>
    </row>
    <row r="184" spans="1:18">
      <c r="A184" s="97"/>
      <c r="B184" s="97"/>
      <c r="C184" s="97"/>
      <c r="D184" s="97"/>
      <c r="E184" s="97"/>
      <c r="F184" s="97"/>
      <c r="G184" s="97"/>
      <c r="H184" s="97"/>
      <c r="I184" s="97"/>
      <c r="J184" s="97"/>
      <c r="K184" s="97"/>
      <c r="L184" s="97"/>
      <c r="M184" s="97"/>
      <c r="N184" s="97"/>
      <c r="O184" s="97"/>
      <c r="P184" s="97"/>
      <c r="Q184" s="97"/>
      <c r="R184" s="97"/>
    </row>
    <row r="185" spans="1:18">
      <c r="A185" s="97"/>
      <c r="B185" s="97"/>
      <c r="C185" s="97"/>
      <c r="D185" s="97"/>
      <c r="E185" s="97"/>
      <c r="F185" s="97"/>
      <c r="G185" s="97"/>
      <c r="H185" s="97"/>
      <c r="I185" s="97"/>
      <c r="J185" s="97"/>
      <c r="K185" s="97"/>
      <c r="L185" s="97"/>
      <c r="M185" s="97"/>
      <c r="N185" s="97"/>
      <c r="O185" s="97"/>
      <c r="P185" s="97"/>
      <c r="Q185" s="97"/>
      <c r="R185" s="97"/>
    </row>
    <row r="186" spans="1:18">
      <c r="A186" s="97"/>
      <c r="B186" s="97"/>
      <c r="C186" s="97"/>
      <c r="D186" s="97"/>
      <c r="E186" s="97"/>
      <c r="F186" s="97"/>
      <c r="G186" s="97"/>
      <c r="H186" s="97"/>
      <c r="I186" s="97"/>
      <c r="J186" s="97"/>
      <c r="K186" s="97"/>
      <c r="L186" s="97"/>
      <c r="M186" s="97"/>
      <c r="N186" s="97"/>
      <c r="O186" s="97"/>
      <c r="P186" s="97"/>
      <c r="Q186" s="97"/>
      <c r="R186" s="97"/>
    </row>
    <row r="187" spans="1:18">
      <c r="A187" s="97"/>
      <c r="B187" s="97"/>
      <c r="C187" s="97"/>
      <c r="D187" s="97"/>
      <c r="E187" s="97"/>
      <c r="F187" s="97"/>
      <c r="G187" s="97"/>
      <c r="H187" s="97"/>
      <c r="I187" s="97"/>
      <c r="J187" s="97"/>
      <c r="K187" s="97"/>
      <c r="L187" s="97"/>
      <c r="M187" s="97"/>
      <c r="N187" s="97"/>
      <c r="O187" s="97"/>
      <c r="P187" s="97"/>
      <c r="Q187" s="97"/>
      <c r="R187" s="97"/>
    </row>
    <row r="188" spans="1:18">
      <c r="A188" s="97"/>
      <c r="B188" s="97"/>
      <c r="C188" s="97"/>
      <c r="D188" s="97"/>
      <c r="E188" s="97"/>
      <c r="F188" s="97"/>
      <c r="G188" s="97"/>
      <c r="H188" s="97"/>
      <c r="I188" s="97"/>
      <c r="J188" s="97"/>
      <c r="K188" s="97"/>
      <c r="L188" s="97"/>
      <c r="M188" s="97"/>
      <c r="N188" s="97"/>
      <c r="O188" s="97"/>
      <c r="P188" s="97"/>
      <c r="Q188" s="97"/>
      <c r="R188" s="97"/>
    </row>
    <row r="189" spans="1:18">
      <c r="A189" s="97"/>
      <c r="B189" s="97"/>
      <c r="C189" s="97"/>
      <c r="D189" s="97"/>
      <c r="E189" s="97"/>
      <c r="F189" s="97"/>
      <c r="G189" s="97"/>
      <c r="H189" s="97"/>
      <c r="I189" s="97"/>
      <c r="J189" s="97"/>
      <c r="K189" s="97"/>
      <c r="L189" s="97"/>
      <c r="M189" s="97"/>
      <c r="N189" s="97"/>
      <c r="O189" s="97"/>
      <c r="P189" s="97"/>
      <c r="Q189" s="97"/>
      <c r="R189" s="97"/>
    </row>
    <row r="190" spans="1:18">
      <c r="A190" s="97"/>
      <c r="B190" s="97"/>
      <c r="C190" s="97"/>
      <c r="D190" s="97"/>
      <c r="E190" s="97"/>
      <c r="F190" s="97"/>
      <c r="G190" s="97"/>
      <c r="H190" s="97"/>
      <c r="I190" s="97"/>
      <c r="J190" s="97"/>
      <c r="K190" s="97"/>
      <c r="L190" s="97"/>
      <c r="M190" s="97"/>
      <c r="N190" s="97"/>
      <c r="O190" s="97"/>
      <c r="P190" s="97"/>
      <c r="Q190" s="97"/>
      <c r="R190" s="97"/>
    </row>
    <row r="191" spans="1:18">
      <c r="A191" s="97"/>
      <c r="B191" s="97"/>
      <c r="C191" s="97"/>
      <c r="D191" s="97"/>
      <c r="E191" s="97"/>
      <c r="F191" s="97"/>
      <c r="G191" s="97"/>
      <c r="H191" s="97"/>
      <c r="I191" s="97"/>
      <c r="J191" s="97"/>
      <c r="K191" s="97"/>
      <c r="L191" s="97"/>
      <c r="M191" s="97"/>
      <c r="N191" s="97"/>
      <c r="O191" s="97"/>
      <c r="P191" s="97"/>
      <c r="Q191" s="97"/>
      <c r="R191" s="97"/>
    </row>
    <row r="192" spans="1:18">
      <c r="A192" s="97"/>
      <c r="B192" s="97"/>
      <c r="C192" s="97"/>
      <c r="D192" s="97"/>
      <c r="E192" s="97"/>
      <c r="F192" s="97"/>
      <c r="G192" s="97"/>
      <c r="H192" s="97"/>
      <c r="I192" s="97"/>
      <c r="J192" s="97"/>
      <c r="K192" s="97"/>
      <c r="L192" s="97"/>
      <c r="M192" s="97"/>
      <c r="N192" s="97"/>
      <c r="O192" s="97"/>
      <c r="P192" s="97"/>
      <c r="Q192" s="97"/>
      <c r="R192" s="97"/>
    </row>
    <row r="193" spans="1:18">
      <c r="A193" s="97"/>
      <c r="B193" s="97"/>
      <c r="C193" s="97"/>
      <c r="D193" s="97"/>
      <c r="E193" s="97"/>
      <c r="F193" s="97"/>
      <c r="G193" s="97"/>
      <c r="H193" s="97"/>
      <c r="I193" s="97"/>
      <c r="J193" s="97"/>
      <c r="K193" s="97"/>
      <c r="L193" s="97"/>
      <c r="M193" s="97"/>
      <c r="N193" s="97"/>
      <c r="O193" s="97"/>
      <c r="P193" s="97"/>
      <c r="Q193" s="97"/>
      <c r="R193" s="97"/>
    </row>
    <row r="194" spans="1:18">
      <c r="A194" s="97"/>
      <c r="B194" s="97"/>
      <c r="C194" s="97"/>
      <c r="D194" s="97"/>
      <c r="E194" s="97"/>
      <c r="F194" s="97"/>
      <c r="G194" s="97"/>
      <c r="H194" s="97"/>
      <c r="I194" s="97"/>
      <c r="J194" s="97"/>
      <c r="K194" s="97"/>
      <c r="L194" s="97"/>
      <c r="M194" s="97"/>
      <c r="N194" s="97"/>
      <c r="O194" s="97"/>
      <c r="P194" s="97"/>
      <c r="Q194" s="97"/>
      <c r="R194" s="97"/>
    </row>
    <row r="195" spans="1:18">
      <c r="A195" s="97"/>
      <c r="B195" s="97"/>
      <c r="C195" s="97"/>
      <c r="D195" s="97"/>
      <c r="E195" s="97"/>
      <c r="F195" s="97"/>
      <c r="G195" s="97"/>
      <c r="H195" s="97"/>
      <c r="I195" s="97"/>
      <c r="J195" s="97"/>
      <c r="K195" s="97"/>
      <c r="L195" s="97"/>
      <c r="M195" s="97"/>
      <c r="N195" s="97"/>
      <c r="O195" s="97"/>
      <c r="P195" s="97"/>
      <c r="Q195" s="97"/>
      <c r="R195" s="97"/>
    </row>
    <row r="196" spans="1:18">
      <c r="A196" s="97"/>
      <c r="B196" s="97"/>
      <c r="C196" s="97"/>
      <c r="D196" s="97"/>
      <c r="E196" s="97"/>
      <c r="F196" s="97"/>
      <c r="G196" s="97"/>
      <c r="H196" s="97"/>
      <c r="I196" s="97"/>
      <c r="J196" s="97"/>
      <c r="K196" s="97"/>
      <c r="L196" s="97"/>
      <c r="M196" s="97"/>
      <c r="N196" s="97"/>
      <c r="O196" s="97"/>
      <c r="P196" s="97"/>
      <c r="Q196" s="97"/>
      <c r="R196" s="97"/>
    </row>
    <row r="197" spans="1:18">
      <c r="A197" s="97"/>
      <c r="B197" s="97"/>
      <c r="C197" s="97"/>
      <c r="D197" s="97"/>
      <c r="E197" s="97"/>
      <c r="F197" s="97"/>
      <c r="G197" s="97"/>
      <c r="H197" s="97"/>
      <c r="I197" s="97"/>
      <c r="J197" s="97"/>
      <c r="K197" s="97"/>
      <c r="L197" s="97"/>
      <c r="M197" s="97"/>
      <c r="N197" s="97"/>
      <c r="O197" s="97"/>
      <c r="P197" s="97"/>
      <c r="Q197" s="97"/>
      <c r="R197" s="97"/>
    </row>
    <row r="198" spans="1:18">
      <c r="A198" s="97"/>
      <c r="B198" s="97"/>
      <c r="C198" s="97"/>
      <c r="D198" s="97"/>
      <c r="E198" s="97"/>
      <c r="F198" s="97"/>
      <c r="G198" s="97"/>
      <c r="H198" s="97"/>
      <c r="I198" s="97"/>
      <c r="J198" s="97"/>
      <c r="K198" s="97"/>
      <c r="L198" s="97"/>
      <c r="M198" s="97"/>
      <c r="N198" s="97"/>
      <c r="O198" s="97"/>
      <c r="P198" s="97"/>
      <c r="Q198" s="97"/>
      <c r="R198" s="97"/>
    </row>
    <row r="199" spans="1:18">
      <c r="A199" s="97"/>
      <c r="B199" s="97"/>
      <c r="C199" s="97"/>
      <c r="D199" s="97"/>
      <c r="E199" s="97"/>
      <c r="F199" s="97"/>
      <c r="G199" s="97"/>
      <c r="H199" s="97"/>
      <c r="I199" s="97"/>
      <c r="J199" s="97"/>
      <c r="K199" s="97"/>
      <c r="L199" s="97"/>
      <c r="M199" s="97"/>
      <c r="N199" s="97"/>
      <c r="O199" s="97"/>
      <c r="P199" s="97"/>
      <c r="Q199" s="97"/>
      <c r="R199" s="97"/>
    </row>
    <row r="200" spans="1:18">
      <c r="A200" s="97"/>
      <c r="B200" s="97"/>
      <c r="C200" s="97"/>
      <c r="D200" s="97"/>
      <c r="E200" s="97"/>
      <c r="F200" s="97"/>
      <c r="G200" s="97"/>
      <c r="H200" s="97"/>
      <c r="I200" s="97"/>
      <c r="J200" s="97"/>
      <c r="K200" s="97"/>
      <c r="L200" s="97"/>
      <c r="M200" s="97"/>
      <c r="N200" s="97"/>
      <c r="O200" s="97"/>
      <c r="P200" s="97"/>
      <c r="Q200" s="97"/>
      <c r="R200" s="97"/>
    </row>
    <row r="201" spans="1:18">
      <c r="A201" s="97"/>
      <c r="B201" s="97"/>
      <c r="C201" s="97"/>
      <c r="D201" s="97"/>
      <c r="E201" s="97"/>
      <c r="F201" s="97"/>
      <c r="G201" s="97"/>
      <c r="H201" s="97"/>
      <c r="I201" s="97"/>
      <c r="J201" s="97"/>
      <c r="K201" s="97"/>
      <c r="L201" s="97"/>
      <c r="M201" s="97"/>
      <c r="N201" s="97"/>
      <c r="O201" s="97"/>
      <c r="P201" s="97"/>
      <c r="Q201" s="97"/>
      <c r="R201" s="97"/>
    </row>
    <row r="202" spans="1:18">
      <c r="A202" s="97"/>
      <c r="B202" s="97"/>
      <c r="C202" s="97"/>
      <c r="D202" s="97"/>
      <c r="E202" s="97"/>
      <c r="F202" s="97"/>
      <c r="G202" s="97"/>
      <c r="H202" s="97"/>
      <c r="I202" s="97"/>
      <c r="J202" s="97"/>
      <c r="K202" s="97"/>
      <c r="L202" s="97"/>
      <c r="M202" s="97"/>
      <c r="N202" s="97"/>
      <c r="O202" s="97"/>
      <c r="P202" s="97"/>
      <c r="Q202" s="97"/>
      <c r="R202" s="97"/>
    </row>
    <row r="203" spans="1:18">
      <c r="A203" s="97"/>
      <c r="B203" s="97"/>
      <c r="C203" s="97"/>
      <c r="D203" s="97"/>
      <c r="E203" s="97"/>
      <c r="F203" s="97"/>
      <c r="G203" s="97"/>
      <c r="H203" s="97"/>
      <c r="I203" s="97"/>
      <c r="J203" s="97"/>
      <c r="K203" s="97"/>
      <c r="L203" s="97"/>
      <c r="M203" s="97"/>
      <c r="N203" s="97"/>
      <c r="O203" s="97"/>
      <c r="P203" s="97"/>
      <c r="Q203" s="97"/>
      <c r="R203" s="97"/>
    </row>
    <row r="204" spans="1:18">
      <c r="A204" s="97"/>
      <c r="B204" s="97"/>
      <c r="C204" s="97"/>
      <c r="D204" s="97"/>
      <c r="E204" s="97"/>
      <c r="F204" s="97"/>
      <c r="G204" s="97"/>
      <c r="H204" s="97"/>
      <c r="I204" s="97"/>
      <c r="J204" s="97"/>
      <c r="K204" s="97"/>
      <c r="L204" s="97"/>
      <c r="M204" s="97"/>
      <c r="N204" s="97"/>
      <c r="O204" s="97"/>
      <c r="P204" s="97"/>
      <c r="Q204" s="97"/>
      <c r="R204" s="97"/>
    </row>
    <row r="205" spans="1:18">
      <c r="A205" s="97"/>
      <c r="B205" s="97"/>
      <c r="C205" s="97"/>
      <c r="D205" s="97"/>
      <c r="E205" s="97"/>
      <c r="F205" s="97"/>
      <c r="G205" s="97"/>
      <c r="H205" s="97"/>
      <c r="I205" s="97"/>
      <c r="J205" s="97"/>
      <c r="K205" s="97"/>
      <c r="L205" s="97"/>
      <c r="M205" s="97"/>
      <c r="N205" s="97"/>
      <c r="O205" s="97"/>
      <c r="P205" s="97"/>
      <c r="Q205" s="97"/>
      <c r="R205" s="97"/>
    </row>
    <row r="206" spans="1:18">
      <c r="A206" s="97"/>
      <c r="B206" s="97"/>
      <c r="C206" s="97"/>
      <c r="D206" s="97"/>
      <c r="E206" s="97"/>
      <c r="F206" s="97"/>
      <c r="G206" s="97"/>
      <c r="H206" s="97"/>
      <c r="I206" s="97"/>
      <c r="J206" s="97"/>
      <c r="K206" s="97"/>
      <c r="L206" s="97"/>
      <c r="M206" s="97"/>
      <c r="N206" s="97"/>
      <c r="O206" s="97"/>
      <c r="P206" s="97"/>
      <c r="Q206" s="97"/>
      <c r="R206" s="97"/>
    </row>
    <row r="207" spans="1:18">
      <c r="A207" s="97"/>
      <c r="B207" s="97"/>
      <c r="C207" s="97"/>
      <c r="D207" s="97"/>
      <c r="E207" s="97"/>
      <c r="F207" s="97"/>
      <c r="G207" s="97"/>
      <c r="H207" s="97"/>
      <c r="I207" s="97"/>
      <c r="J207" s="97"/>
      <c r="K207" s="97"/>
      <c r="L207" s="97"/>
      <c r="M207" s="97"/>
      <c r="N207" s="97"/>
      <c r="O207" s="97"/>
      <c r="P207" s="97"/>
      <c r="Q207" s="97"/>
      <c r="R207" s="97"/>
    </row>
    <row r="208" spans="1:18">
      <c r="A208" s="97"/>
      <c r="B208" s="97"/>
      <c r="C208" s="97"/>
      <c r="D208" s="97"/>
      <c r="E208" s="97"/>
      <c r="F208" s="97"/>
      <c r="G208" s="97"/>
      <c r="H208" s="97"/>
      <c r="I208" s="97"/>
      <c r="J208" s="97"/>
      <c r="K208" s="97"/>
      <c r="L208" s="97"/>
      <c r="M208" s="97"/>
      <c r="N208" s="97"/>
      <c r="O208" s="97"/>
      <c r="P208" s="97"/>
      <c r="Q208" s="97"/>
      <c r="R208" s="97"/>
    </row>
    <row r="209" spans="1:18">
      <c r="A209" s="97"/>
      <c r="B209" s="97"/>
      <c r="C209" s="97"/>
      <c r="D209" s="97"/>
      <c r="E209" s="97"/>
      <c r="F209" s="97"/>
      <c r="G209" s="97"/>
      <c r="H209" s="97"/>
      <c r="I209" s="97"/>
      <c r="J209" s="97"/>
      <c r="K209" s="97"/>
      <c r="L209" s="97"/>
      <c r="M209" s="97"/>
      <c r="N209" s="97"/>
      <c r="O209" s="97"/>
      <c r="P209" s="97"/>
      <c r="Q209" s="97"/>
      <c r="R209" s="97"/>
    </row>
    <row r="210" spans="1:18">
      <c r="A210" s="97"/>
      <c r="B210" s="97"/>
      <c r="C210" s="97"/>
      <c r="D210" s="97"/>
      <c r="E210" s="97"/>
      <c r="F210" s="97"/>
      <c r="G210" s="97"/>
      <c r="H210" s="97"/>
      <c r="I210" s="97"/>
      <c r="J210" s="97"/>
      <c r="K210" s="97"/>
      <c r="L210" s="97"/>
      <c r="M210" s="97"/>
      <c r="N210" s="97"/>
      <c r="O210" s="97"/>
      <c r="P210" s="97"/>
      <c r="Q210" s="97"/>
      <c r="R210" s="97"/>
    </row>
    <row r="211" spans="1:18">
      <c r="A211" s="97"/>
      <c r="B211" s="97"/>
      <c r="C211" s="97"/>
      <c r="D211" s="97"/>
      <c r="E211" s="97"/>
      <c r="F211" s="97"/>
      <c r="G211" s="97"/>
      <c r="H211" s="97"/>
      <c r="I211" s="97"/>
      <c r="J211" s="97"/>
      <c r="K211" s="97"/>
      <c r="L211" s="97"/>
      <c r="M211" s="97"/>
      <c r="N211" s="97"/>
      <c r="O211" s="97"/>
      <c r="P211" s="97"/>
      <c r="Q211" s="97"/>
      <c r="R211" s="97"/>
    </row>
    <row r="212" spans="1:18">
      <c r="A212" s="97"/>
      <c r="B212" s="97"/>
      <c r="C212" s="97"/>
      <c r="D212" s="97"/>
      <c r="E212" s="97"/>
      <c r="F212" s="97"/>
      <c r="G212" s="97"/>
      <c r="H212" s="97"/>
      <c r="I212" s="97"/>
      <c r="J212" s="97"/>
      <c r="K212" s="97"/>
      <c r="L212" s="97"/>
      <c r="M212" s="97"/>
      <c r="N212" s="97"/>
      <c r="O212" s="97"/>
      <c r="P212" s="97"/>
      <c r="Q212" s="97"/>
      <c r="R212" s="97"/>
    </row>
    <row r="213" spans="1:18">
      <c r="A213" s="97"/>
      <c r="B213" s="97"/>
      <c r="C213" s="97"/>
      <c r="D213" s="97"/>
      <c r="E213" s="97"/>
      <c r="F213" s="97"/>
      <c r="G213" s="97"/>
      <c r="H213" s="97"/>
      <c r="I213" s="97"/>
      <c r="J213" s="97"/>
      <c r="K213" s="97"/>
      <c r="L213" s="97"/>
      <c r="M213" s="97"/>
      <c r="N213" s="97"/>
      <c r="O213" s="97"/>
      <c r="P213" s="97"/>
      <c r="Q213" s="97"/>
      <c r="R213" s="97"/>
    </row>
    <row r="214" spans="1:18">
      <c r="A214" s="97"/>
      <c r="B214" s="97"/>
      <c r="C214" s="97"/>
      <c r="D214" s="97"/>
      <c r="E214" s="97"/>
      <c r="F214" s="97"/>
      <c r="G214" s="97"/>
      <c r="H214" s="97"/>
      <c r="I214" s="97"/>
      <c r="J214" s="97"/>
      <c r="K214" s="97"/>
      <c r="L214" s="97"/>
      <c r="M214" s="97"/>
      <c r="N214" s="97"/>
      <c r="O214" s="97"/>
      <c r="P214" s="97"/>
      <c r="Q214" s="97"/>
      <c r="R214" s="97"/>
    </row>
    <row r="215" spans="1:18">
      <c r="A215" s="97"/>
      <c r="B215" s="97"/>
      <c r="C215" s="97"/>
      <c r="D215" s="97"/>
      <c r="E215" s="97"/>
      <c r="F215" s="97"/>
      <c r="G215" s="97"/>
      <c r="H215" s="97"/>
      <c r="I215" s="97"/>
      <c r="J215" s="97"/>
      <c r="K215" s="97"/>
      <c r="L215" s="97"/>
      <c r="M215" s="97"/>
      <c r="N215" s="97"/>
      <c r="O215" s="97"/>
      <c r="P215" s="97"/>
      <c r="Q215" s="97"/>
      <c r="R215" s="97"/>
    </row>
    <row r="216" spans="1:18">
      <c r="A216" s="97"/>
      <c r="B216" s="97"/>
      <c r="C216" s="97"/>
      <c r="D216" s="97"/>
      <c r="E216" s="97"/>
      <c r="F216" s="97"/>
      <c r="G216" s="97"/>
      <c r="H216" s="97"/>
      <c r="I216" s="97"/>
      <c r="J216" s="97"/>
      <c r="K216" s="97"/>
      <c r="L216" s="97"/>
      <c r="M216" s="97"/>
      <c r="N216" s="97"/>
      <c r="O216" s="97"/>
      <c r="P216" s="97"/>
      <c r="Q216" s="97"/>
      <c r="R216" s="97"/>
    </row>
    <row r="217" spans="1:18">
      <c r="A217" s="97"/>
      <c r="B217" s="97"/>
      <c r="C217" s="97"/>
      <c r="D217" s="97"/>
      <c r="E217" s="97"/>
      <c r="F217" s="97"/>
      <c r="G217" s="97"/>
      <c r="H217" s="97"/>
      <c r="I217" s="97"/>
      <c r="J217" s="97"/>
      <c r="K217" s="97"/>
      <c r="L217" s="97"/>
      <c r="M217" s="97"/>
      <c r="N217" s="97"/>
      <c r="O217" s="97"/>
      <c r="P217" s="97"/>
      <c r="Q217" s="97"/>
      <c r="R217" s="97"/>
    </row>
    <row r="218" spans="1:18">
      <c r="A218" s="97"/>
      <c r="B218" s="97"/>
      <c r="C218" s="97"/>
      <c r="D218" s="97"/>
      <c r="E218" s="97"/>
      <c r="F218" s="97"/>
      <c r="G218" s="97"/>
      <c r="H218" s="97"/>
      <c r="I218" s="97"/>
      <c r="J218" s="97"/>
      <c r="K218" s="97"/>
      <c r="L218" s="97"/>
      <c r="M218" s="97"/>
      <c r="N218" s="97"/>
      <c r="O218" s="97"/>
      <c r="P218" s="97"/>
      <c r="Q218" s="97"/>
      <c r="R218" s="97"/>
    </row>
    <row r="219" spans="1:18">
      <c r="A219" s="97"/>
      <c r="B219" s="97"/>
      <c r="C219" s="97"/>
      <c r="D219" s="97"/>
      <c r="E219" s="97"/>
      <c r="F219" s="97"/>
      <c r="G219" s="97"/>
      <c r="H219" s="97"/>
      <c r="I219" s="97"/>
      <c r="J219" s="97"/>
      <c r="K219" s="97"/>
      <c r="L219" s="97"/>
      <c r="M219" s="97"/>
      <c r="N219" s="97"/>
      <c r="O219" s="97"/>
      <c r="P219" s="97"/>
      <c r="Q219" s="97"/>
      <c r="R219" s="97"/>
    </row>
    <row r="220" spans="1:18">
      <c r="A220" s="97"/>
      <c r="B220" s="97"/>
      <c r="C220" s="97"/>
      <c r="D220" s="97"/>
      <c r="E220" s="97"/>
      <c r="F220" s="97"/>
      <c r="G220" s="97"/>
      <c r="H220" s="97"/>
      <c r="I220" s="97"/>
      <c r="J220" s="97"/>
      <c r="K220" s="97"/>
      <c r="L220" s="97"/>
      <c r="M220" s="97"/>
      <c r="N220" s="97"/>
      <c r="O220" s="97"/>
      <c r="P220" s="97"/>
      <c r="Q220" s="97"/>
      <c r="R220" s="97"/>
    </row>
    <row r="221" spans="1:18">
      <c r="A221" s="97"/>
      <c r="B221" s="97"/>
      <c r="C221" s="97"/>
      <c r="D221" s="97"/>
      <c r="E221" s="97"/>
      <c r="F221" s="97"/>
      <c r="G221" s="97"/>
      <c r="H221" s="97"/>
      <c r="I221" s="97"/>
      <c r="J221" s="97"/>
      <c r="K221" s="97"/>
      <c r="L221" s="97"/>
      <c r="M221" s="97"/>
      <c r="N221" s="97"/>
      <c r="O221" s="97"/>
      <c r="P221" s="97"/>
      <c r="Q221" s="97"/>
      <c r="R221" s="97"/>
    </row>
    <row r="222" spans="1:18">
      <c r="A222" s="97"/>
      <c r="B222" s="97"/>
      <c r="C222" s="97"/>
      <c r="D222" s="97"/>
      <c r="E222" s="97"/>
      <c r="F222" s="97"/>
      <c r="G222" s="97"/>
      <c r="H222" s="97"/>
      <c r="I222" s="97"/>
      <c r="J222" s="97"/>
      <c r="K222" s="97"/>
      <c r="L222" s="97"/>
      <c r="M222" s="97"/>
      <c r="N222" s="97"/>
      <c r="O222" s="97"/>
      <c r="P222" s="97"/>
      <c r="Q222" s="97"/>
      <c r="R222" s="97"/>
    </row>
    <row r="223" spans="1:18">
      <c r="A223" s="97"/>
      <c r="B223" s="97"/>
      <c r="C223" s="97"/>
      <c r="D223" s="97"/>
      <c r="E223" s="97"/>
      <c r="F223" s="97"/>
      <c r="G223" s="97"/>
      <c r="H223" s="97"/>
      <c r="I223" s="97"/>
      <c r="J223" s="97"/>
      <c r="K223" s="97"/>
      <c r="L223" s="97"/>
      <c r="M223" s="97"/>
      <c r="N223" s="97"/>
      <c r="O223" s="97"/>
      <c r="P223" s="97"/>
      <c r="Q223" s="97"/>
      <c r="R223" s="97"/>
    </row>
    <row r="224" spans="1:18">
      <c r="A224" s="97"/>
      <c r="B224" s="97"/>
      <c r="C224" s="97"/>
      <c r="D224" s="97"/>
      <c r="E224" s="97"/>
      <c r="F224" s="97"/>
      <c r="G224" s="97"/>
      <c r="H224" s="97"/>
      <c r="I224" s="97"/>
      <c r="J224" s="97"/>
      <c r="K224" s="97"/>
      <c r="L224" s="97"/>
      <c r="M224" s="97"/>
      <c r="N224" s="97"/>
      <c r="O224" s="97"/>
      <c r="P224" s="97"/>
      <c r="Q224" s="97"/>
      <c r="R224" s="97"/>
    </row>
    <row r="225" spans="1:18">
      <c r="A225" s="97"/>
      <c r="B225" s="97"/>
      <c r="C225" s="97"/>
      <c r="D225" s="97"/>
      <c r="E225" s="97"/>
      <c r="F225" s="97"/>
      <c r="G225" s="97"/>
      <c r="H225" s="97"/>
      <c r="I225" s="97"/>
      <c r="J225" s="97"/>
      <c r="K225" s="97"/>
      <c r="L225" s="97"/>
      <c r="M225" s="97"/>
      <c r="N225" s="97"/>
      <c r="O225" s="97"/>
      <c r="P225" s="97"/>
      <c r="Q225" s="97"/>
      <c r="R225" s="97"/>
    </row>
    <row r="226" spans="1:18">
      <c r="A226" s="97"/>
      <c r="B226" s="97"/>
      <c r="C226" s="97"/>
      <c r="D226" s="97"/>
      <c r="E226" s="97"/>
      <c r="F226" s="97"/>
      <c r="G226" s="97"/>
      <c r="H226" s="97"/>
      <c r="I226" s="97"/>
      <c r="J226" s="97"/>
      <c r="K226" s="97"/>
      <c r="L226" s="97"/>
      <c r="M226" s="97"/>
      <c r="N226" s="97"/>
      <c r="O226" s="97"/>
      <c r="P226" s="97"/>
      <c r="Q226" s="97"/>
      <c r="R226" s="97"/>
    </row>
    <row r="227" spans="1:18">
      <c r="A227" s="97"/>
      <c r="B227" s="97"/>
      <c r="C227" s="97"/>
      <c r="D227" s="97"/>
      <c r="E227" s="97"/>
      <c r="F227" s="97"/>
      <c r="G227" s="97"/>
      <c r="H227" s="97"/>
      <c r="I227" s="97"/>
      <c r="J227" s="97"/>
      <c r="K227" s="97"/>
      <c r="L227" s="97"/>
      <c r="M227" s="97"/>
      <c r="N227" s="97"/>
      <c r="O227" s="97"/>
      <c r="P227" s="97"/>
      <c r="Q227" s="97"/>
      <c r="R227" s="97"/>
    </row>
    <row r="228" spans="1:18">
      <c r="A228" s="97"/>
      <c r="B228" s="97"/>
      <c r="C228" s="97"/>
      <c r="D228" s="97"/>
      <c r="E228" s="97"/>
      <c r="F228" s="97"/>
      <c r="G228" s="97"/>
      <c r="H228" s="97"/>
      <c r="I228" s="97"/>
      <c r="J228" s="97"/>
      <c r="K228" s="97"/>
      <c r="L228" s="97"/>
      <c r="M228" s="97"/>
      <c r="N228" s="97"/>
      <c r="O228" s="97"/>
      <c r="P228" s="97"/>
      <c r="Q228" s="97"/>
      <c r="R228" s="97"/>
    </row>
    <row r="229" spans="1:18">
      <c r="A229" s="97"/>
      <c r="B229" s="97"/>
      <c r="C229" s="97"/>
      <c r="D229" s="97"/>
      <c r="E229" s="97"/>
      <c r="F229" s="97"/>
      <c r="G229" s="97"/>
      <c r="H229" s="97"/>
      <c r="I229" s="97"/>
      <c r="J229" s="97"/>
      <c r="K229" s="97"/>
      <c r="L229" s="97"/>
      <c r="M229" s="97"/>
      <c r="N229" s="97"/>
      <c r="O229" s="97"/>
      <c r="P229" s="97"/>
      <c r="Q229" s="97"/>
      <c r="R229" s="97"/>
    </row>
    <row r="230" spans="1:18">
      <c r="A230" s="97"/>
      <c r="B230" s="97"/>
      <c r="C230" s="97"/>
      <c r="D230" s="97"/>
      <c r="E230" s="97"/>
      <c r="F230" s="97"/>
      <c r="G230" s="97"/>
      <c r="H230" s="97"/>
      <c r="I230" s="97"/>
      <c r="J230" s="97"/>
      <c r="K230" s="97"/>
      <c r="L230" s="97"/>
      <c r="M230" s="97"/>
      <c r="N230" s="97"/>
      <c r="O230" s="97"/>
      <c r="P230" s="97"/>
      <c r="Q230" s="97"/>
      <c r="R230" s="97"/>
    </row>
    <row r="231" spans="1:18">
      <c r="A231" s="97"/>
      <c r="B231" s="97"/>
      <c r="C231" s="97"/>
      <c r="D231" s="97"/>
      <c r="E231" s="97"/>
      <c r="F231" s="97"/>
      <c r="G231" s="97"/>
      <c r="H231" s="97"/>
      <c r="I231" s="97"/>
      <c r="J231" s="97"/>
      <c r="K231" s="97"/>
      <c r="L231" s="97"/>
      <c r="M231" s="97"/>
      <c r="N231" s="97"/>
      <c r="O231" s="97"/>
      <c r="P231" s="97"/>
      <c r="Q231" s="97"/>
      <c r="R231" s="97"/>
    </row>
    <row r="232" spans="1:18">
      <c r="A232" s="97"/>
      <c r="B232" s="97"/>
      <c r="C232" s="97"/>
      <c r="D232" s="97"/>
      <c r="E232" s="97"/>
      <c r="F232" s="97"/>
      <c r="G232" s="97"/>
      <c r="H232" s="97"/>
      <c r="I232" s="97"/>
      <c r="J232" s="97"/>
      <c r="K232" s="97"/>
      <c r="L232" s="97"/>
      <c r="M232" s="97"/>
      <c r="N232" s="97"/>
      <c r="O232" s="97"/>
      <c r="P232" s="97"/>
      <c r="Q232" s="97"/>
      <c r="R232" s="97"/>
    </row>
    <row r="233" spans="1:18">
      <c r="A233" s="97"/>
      <c r="B233" s="97"/>
      <c r="C233" s="97"/>
      <c r="D233" s="97"/>
      <c r="E233" s="97"/>
      <c r="F233" s="97"/>
      <c r="G233" s="97"/>
      <c r="H233" s="97"/>
      <c r="I233" s="97"/>
      <c r="J233" s="97"/>
      <c r="K233" s="97"/>
      <c r="L233" s="97"/>
      <c r="M233" s="97"/>
      <c r="N233" s="97"/>
      <c r="O233" s="97"/>
      <c r="P233" s="97"/>
      <c r="Q233" s="97"/>
      <c r="R233" s="97"/>
    </row>
    <row r="234" spans="1:18">
      <c r="A234" s="97"/>
      <c r="B234" s="97"/>
      <c r="C234" s="97"/>
      <c r="D234" s="97"/>
      <c r="E234" s="97"/>
      <c r="F234" s="97"/>
      <c r="G234" s="97"/>
      <c r="H234" s="97"/>
      <c r="I234" s="97"/>
      <c r="J234" s="97"/>
      <c r="K234" s="97"/>
      <c r="L234" s="97"/>
      <c r="M234" s="97"/>
      <c r="N234" s="97"/>
      <c r="O234" s="97"/>
      <c r="P234" s="97"/>
      <c r="Q234" s="97"/>
      <c r="R234" s="97"/>
    </row>
    <row r="235" spans="1:18">
      <c r="A235" s="97"/>
      <c r="B235" s="97"/>
      <c r="C235" s="97"/>
      <c r="D235" s="97"/>
      <c r="E235" s="97"/>
      <c r="F235" s="97"/>
      <c r="G235" s="97"/>
      <c r="H235" s="97"/>
      <c r="I235" s="97"/>
      <c r="J235" s="97"/>
      <c r="K235" s="97"/>
      <c r="L235" s="97"/>
      <c r="M235" s="97"/>
      <c r="N235" s="97"/>
      <c r="O235" s="97"/>
      <c r="P235" s="97"/>
      <c r="Q235" s="97"/>
      <c r="R235" s="97"/>
    </row>
    <row r="236" spans="1:18">
      <c r="A236" s="97"/>
      <c r="B236" s="97"/>
      <c r="C236" s="97"/>
      <c r="D236" s="97"/>
      <c r="E236" s="97"/>
      <c r="F236" s="97"/>
      <c r="G236" s="97"/>
      <c r="H236" s="97"/>
      <c r="I236" s="97"/>
      <c r="J236" s="97"/>
      <c r="K236" s="97"/>
      <c r="L236" s="97"/>
      <c r="M236" s="97"/>
      <c r="N236" s="97"/>
      <c r="O236" s="97"/>
      <c r="P236" s="97"/>
      <c r="Q236" s="97"/>
      <c r="R236" s="97"/>
    </row>
    <row r="237" spans="1:18">
      <c r="A237" s="97"/>
      <c r="B237" s="97"/>
      <c r="C237" s="97"/>
      <c r="D237" s="97"/>
      <c r="E237" s="97"/>
      <c r="F237" s="97"/>
      <c r="G237" s="97"/>
      <c r="H237" s="97"/>
      <c r="I237" s="97"/>
      <c r="J237" s="97"/>
      <c r="K237" s="97"/>
      <c r="L237" s="97"/>
      <c r="M237" s="97"/>
      <c r="N237" s="97"/>
      <c r="O237" s="97"/>
      <c r="P237" s="97"/>
      <c r="Q237" s="97"/>
      <c r="R237" s="97"/>
    </row>
    <row r="238" spans="1:18">
      <c r="A238" s="97"/>
      <c r="B238" s="97"/>
      <c r="C238" s="97"/>
      <c r="D238" s="97"/>
      <c r="E238" s="97"/>
      <c r="F238" s="97"/>
      <c r="G238" s="97"/>
      <c r="H238" s="97"/>
      <c r="I238" s="97"/>
      <c r="J238" s="97"/>
      <c r="K238" s="97"/>
      <c r="L238" s="97"/>
      <c r="M238" s="97"/>
      <c r="N238" s="97"/>
      <c r="O238" s="97"/>
      <c r="P238" s="97"/>
      <c r="Q238" s="97"/>
      <c r="R238" s="97"/>
    </row>
    <row r="239" spans="1:18">
      <c r="A239" s="97"/>
      <c r="B239" s="97"/>
      <c r="C239" s="97"/>
      <c r="D239" s="97"/>
      <c r="E239" s="97"/>
      <c r="F239" s="97"/>
      <c r="G239" s="97"/>
      <c r="H239" s="97"/>
      <c r="I239" s="97"/>
      <c r="J239" s="97"/>
      <c r="K239" s="97"/>
      <c r="L239" s="97"/>
      <c r="M239" s="97"/>
      <c r="N239" s="97"/>
      <c r="O239" s="97"/>
      <c r="P239" s="97"/>
      <c r="Q239" s="97"/>
      <c r="R239" s="97"/>
    </row>
    <row r="240" spans="1:18">
      <c r="A240" s="97"/>
      <c r="B240" s="97"/>
      <c r="C240" s="97"/>
      <c r="D240" s="97"/>
      <c r="E240" s="97"/>
      <c r="F240" s="97"/>
      <c r="G240" s="97"/>
      <c r="H240" s="97"/>
      <c r="I240" s="97"/>
      <c r="J240" s="97"/>
      <c r="K240" s="97"/>
      <c r="L240" s="97"/>
      <c r="M240" s="97"/>
      <c r="N240" s="97"/>
      <c r="O240" s="97"/>
      <c r="P240" s="97"/>
      <c r="Q240" s="97"/>
      <c r="R240" s="97"/>
    </row>
    <row r="241" spans="1:18">
      <c r="A241" s="97"/>
      <c r="B241" s="97"/>
      <c r="C241" s="97"/>
      <c r="D241" s="97"/>
      <c r="E241" s="97"/>
      <c r="F241" s="97"/>
      <c r="G241" s="97"/>
      <c r="H241" s="97"/>
      <c r="I241" s="97"/>
      <c r="J241" s="97"/>
      <c r="K241" s="97"/>
      <c r="L241" s="97"/>
      <c r="M241" s="97"/>
      <c r="N241" s="97"/>
      <c r="O241" s="97"/>
      <c r="P241" s="97"/>
      <c r="Q241" s="97"/>
      <c r="R241" s="97"/>
    </row>
    <row r="242" spans="1:18">
      <c r="A242" s="97"/>
      <c r="B242" s="97"/>
      <c r="C242" s="97"/>
      <c r="D242" s="97"/>
      <c r="E242" s="97"/>
      <c r="F242" s="97"/>
      <c r="G242" s="97"/>
      <c r="H242" s="97"/>
      <c r="I242" s="97"/>
      <c r="J242" s="97"/>
      <c r="K242" s="97"/>
      <c r="L242" s="97"/>
      <c r="M242" s="97"/>
      <c r="N242" s="97"/>
      <c r="O242" s="97"/>
      <c r="P242" s="97"/>
      <c r="Q242" s="97"/>
      <c r="R242" s="97"/>
    </row>
    <row r="243" spans="1:18">
      <c r="A243" s="97"/>
      <c r="B243" s="97"/>
      <c r="C243" s="97"/>
      <c r="D243" s="97"/>
      <c r="E243" s="97"/>
      <c r="F243" s="97"/>
      <c r="G243" s="97"/>
      <c r="H243" s="97"/>
      <c r="I243" s="97"/>
      <c r="J243" s="97"/>
      <c r="K243" s="97"/>
      <c r="L243" s="97"/>
      <c r="M243" s="97"/>
      <c r="N243" s="97"/>
      <c r="O243" s="97"/>
      <c r="P243" s="97"/>
      <c r="Q243" s="97"/>
      <c r="R243" s="97"/>
    </row>
    <row r="244" spans="1:18">
      <c r="A244" s="97"/>
      <c r="B244" s="97"/>
      <c r="C244" s="97"/>
      <c r="D244" s="97"/>
      <c r="E244" s="97"/>
      <c r="F244" s="97"/>
      <c r="G244" s="97"/>
      <c r="H244" s="97"/>
      <c r="I244" s="97"/>
      <c r="J244" s="97"/>
      <c r="K244" s="97"/>
      <c r="L244" s="97"/>
      <c r="M244" s="97"/>
      <c r="N244" s="97"/>
      <c r="O244" s="97"/>
      <c r="P244" s="97"/>
      <c r="Q244" s="97"/>
      <c r="R244" s="97"/>
    </row>
    <row r="245" spans="1:18">
      <c r="A245" s="97"/>
      <c r="B245" s="97"/>
      <c r="C245" s="97"/>
      <c r="D245" s="97"/>
      <c r="E245" s="97"/>
      <c r="F245" s="97"/>
      <c r="G245" s="97"/>
      <c r="H245" s="97"/>
      <c r="I245" s="97"/>
      <c r="J245" s="97"/>
      <c r="K245" s="97"/>
      <c r="L245" s="97"/>
      <c r="M245" s="97"/>
      <c r="N245" s="97"/>
      <c r="O245" s="97"/>
      <c r="P245" s="97"/>
      <c r="Q245" s="97"/>
      <c r="R245" s="97"/>
    </row>
    <row r="246" spans="1:18">
      <c r="A246" s="97"/>
      <c r="B246" s="97"/>
      <c r="C246" s="97"/>
      <c r="D246" s="97"/>
      <c r="E246" s="97"/>
      <c r="F246" s="97"/>
      <c r="G246" s="97"/>
      <c r="H246" s="97"/>
      <c r="I246" s="97"/>
      <c r="J246" s="97"/>
      <c r="K246" s="97"/>
      <c r="L246" s="97"/>
      <c r="M246" s="97"/>
      <c r="N246" s="97"/>
      <c r="O246" s="97"/>
      <c r="P246" s="97"/>
      <c r="Q246" s="97"/>
      <c r="R246" s="97"/>
    </row>
    <row r="247" spans="1:18">
      <c r="A247" s="97"/>
      <c r="B247" s="97"/>
      <c r="C247" s="97"/>
      <c r="D247" s="97"/>
      <c r="E247" s="97"/>
      <c r="F247" s="97"/>
      <c r="G247" s="97"/>
      <c r="H247" s="97"/>
      <c r="I247" s="97"/>
      <c r="J247" s="97"/>
      <c r="K247" s="97"/>
      <c r="L247" s="97"/>
      <c r="M247" s="97"/>
      <c r="N247" s="97"/>
      <c r="O247" s="97"/>
      <c r="P247" s="97"/>
      <c r="Q247" s="97"/>
      <c r="R247" s="97"/>
    </row>
    <row r="248" spans="1:18">
      <c r="A248" s="97"/>
      <c r="B248" s="97"/>
      <c r="C248" s="97"/>
      <c r="D248" s="97"/>
      <c r="E248" s="97"/>
      <c r="F248" s="97"/>
      <c r="G248" s="97"/>
      <c r="H248" s="97"/>
      <c r="I248" s="97"/>
      <c r="J248" s="97"/>
      <c r="K248" s="97"/>
      <c r="L248" s="97"/>
      <c r="M248" s="97"/>
      <c r="N248" s="97"/>
      <c r="O248" s="97"/>
      <c r="P248" s="97"/>
      <c r="Q248" s="97"/>
      <c r="R248" s="97"/>
    </row>
    <row r="249" spans="1:18">
      <c r="A249" s="97"/>
      <c r="B249" s="97"/>
      <c r="C249" s="97"/>
      <c r="D249" s="97"/>
      <c r="E249" s="97"/>
      <c r="F249" s="97"/>
      <c r="G249" s="97"/>
      <c r="H249" s="97"/>
      <c r="I249" s="97"/>
      <c r="J249" s="97"/>
      <c r="K249" s="97"/>
      <c r="L249" s="97"/>
      <c r="M249" s="97"/>
      <c r="N249" s="97"/>
      <c r="O249" s="97"/>
      <c r="P249" s="97"/>
      <c r="Q249" s="97"/>
      <c r="R249" s="97"/>
    </row>
    <row r="250" spans="1:18">
      <c r="A250" s="97"/>
      <c r="B250" s="97"/>
      <c r="C250" s="97"/>
      <c r="D250" s="97"/>
      <c r="E250" s="97"/>
      <c r="F250" s="97"/>
      <c r="G250" s="97"/>
      <c r="H250" s="97"/>
      <c r="I250" s="97"/>
      <c r="J250" s="97"/>
      <c r="K250" s="97"/>
      <c r="L250" s="97"/>
      <c r="M250" s="97"/>
      <c r="N250" s="97"/>
      <c r="O250" s="97"/>
      <c r="P250" s="97"/>
      <c r="Q250" s="97"/>
      <c r="R250" s="97"/>
    </row>
    <row r="251" spans="1:18">
      <c r="A251" s="97"/>
      <c r="B251" s="97"/>
      <c r="C251" s="97"/>
      <c r="D251" s="97"/>
      <c r="E251" s="97"/>
      <c r="F251" s="97"/>
      <c r="G251" s="97"/>
      <c r="H251" s="97"/>
      <c r="I251" s="97"/>
      <c r="J251" s="97"/>
      <c r="K251" s="97"/>
      <c r="L251" s="97"/>
      <c r="M251" s="97"/>
      <c r="N251" s="97"/>
      <c r="O251" s="97"/>
      <c r="P251" s="97"/>
      <c r="Q251" s="97"/>
      <c r="R251" s="97"/>
    </row>
    <row r="252" spans="1:18">
      <c r="A252" s="97"/>
      <c r="B252" s="97"/>
      <c r="C252" s="97"/>
      <c r="D252" s="97"/>
      <c r="E252" s="97"/>
      <c r="F252" s="97"/>
      <c r="G252" s="97"/>
      <c r="H252" s="97"/>
      <c r="I252" s="97"/>
      <c r="J252" s="97"/>
      <c r="K252" s="97"/>
      <c r="L252" s="97"/>
      <c r="M252" s="97"/>
      <c r="N252" s="97"/>
      <c r="O252" s="97"/>
      <c r="P252" s="97"/>
      <c r="Q252" s="97"/>
      <c r="R252" s="97"/>
    </row>
    <row r="253" spans="1:18">
      <c r="A253" s="97"/>
      <c r="B253" s="97"/>
      <c r="C253" s="97"/>
      <c r="D253" s="97"/>
      <c r="E253" s="97"/>
      <c r="F253" s="97"/>
      <c r="G253" s="97"/>
      <c r="H253" s="97"/>
      <c r="I253" s="97"/>
      <c r="J253" s="97"/>
      <c r="K253" s="97"/>
      <c r="L253" s="97"/>
      <c r="M253" s="97"/>
      <c r="N253" s="97"/>
      <c r="O253" s="97"/>
      <c r="P253" s="97"/>
      <c r="Q253" s="97"/>
      <c r="R253" s="97"/>
    </row>
    <row r="254" spans="1:18">
      <c r="A254" s="97"/>
      <c r="B254" s="97"/>
      <c r="C254" s="97"/>
      <c r="D254" s="97"/>
      <c r="E254" s="97"/>
      <c r="F254" s="97"/>
      <c r="G254" s="97"/>
      <c r="H254" s="97"/>
      <c r="I254" s="97"/>
      <c r="J254" s="97"/>
      <c r="K254" s="97"/>
      <c r="L254" s="97"/>
      <c r="M254" s="97"/>
      <c r="N254" s="97"/>
      <c r="O254" s="97"/>
      <c r="P254" s="97"/>
      <c r="Q254" s="97"/>
      <c r="R254" s="97"/>
    </row>
    <row r="255" spans="1:18">
      <c r="A255" s="97"/>
      <c r="B255" s="97"/>
      <c r="C255" s="97"/>
      <c r="D255" s="97"/>
      <c r="E255" s="97"/>
      <c r="F255" s="97"/>
      <c r="G255" s="97"/>
      <c r="H255" s="97"/>
      <c r="I255" s="97"/>
      <c r="J255" s="97"/>
      <c r="K255" s="97"/>
      <c r="L255" s="97"/>
      <c r="M255" s="97"/>
      <c r="N255" s="97"/>
      <c r="O255" s="97"/>
      <c r="P255" s="97"/>
      <c r="Q255" s="97"/>
      <c r="R255" s="97"/>
    </row>
    <row r="256" spans="1:18">
      <c r="A256" s="97"/>
      <c r="B256" s="97"/>
      <c r="C256" s="97"/>
      <c r="D256" s="97"/>
      <c r="E256" s="97"/>
      <c r="F256" s="97"/>
      <c r="G256" s="97"/>
      <c r="H256" s="97"/>
      <c r="I256" s="97"/>
      <c r="J256" s="97"/>
      <c r="K256" s="97"/>
      <c r="L256" s="97"/>
      <c r="M256" s="97"/>
      <c r="N256" s="97"/>
      <c r="O256" s="97"/>
      <c r="P256" s="97"/>
      <c r="Q256" s="97"/>
      <c r="R256" s="97"/>
    </row>
    <row r="257" spans="1:18">
      <c r="A257" s="97"/>
      <c r="B257" s="97"/>
      <c r="C257" s="97"/>
      <c r="D257" s="97"/>
      <c r="E257" s="97"/>
      <c r="F257" s="97"/>
      <c r="G257" s="97"/>
      <c r="H257" s="97"/>
      <c r="I257" s="97"/>
      <c r="J257" s="97"/>
      <c r="K257" s="97"/>
      <c r="L257" s="97"/>
      <c r="M257" s="97"/>
      <c r="N257" s="97"/>
      <c r="O257" s="97"/>
      <c r="P257" s="97"/>
      <c r="Q257" s="97"/>
      <c r="R257" s="97"/>
    </row>
    <row r="258" spans="1:18">
      <c r="A258" s="97"/>
      <c r="B258" s="97"/>
      <c r="C258" s="97"/>
      <c r="D258" s="97"/>
      <c r="E258" s="97"/>
      <c r="F258" s="97"/>
      <c r="G258" s="97"/>
      <c r="H258" s="97"/>
      <c r="I258" s="97"/>
      <c r="J258" s="97"/>
      <c r="K258" s="97"/>
      <c r="L258" s="97"/>
      <c r="M258" s="97"/>
      <c r="N258" s="97"/>
      <c r="O258" s="97"/>
      <c r="P258" s="97"/>
      <c r="Q258" s="97"/>
      <c r="R258" s="97"/>
    </row>
    <row r="259" spans="1:18">
      <c r="A259" s="97"/>
      <c r="B259" s="97"/>
      <c r="C259" s="97"/>
      <c r="D259" s="97"/>
      <c r="E259" s="97"/>
      <c r="F259" s="97"/>
      <c r="G259" s="97"/>
      <c r="H259" s="97"/>
      <c r="I259" s="97"/>
      <c r="J259" s="97"/>
      <c r="K259" s="97"/>
      <c r="L259" s="97"/>
      <c r="M259" s="97"/>
      <c r="N259" s="97"/>
      <c r="O259" s="97"/>
      <c r="P259" s="97"/>
      <c r="Q259" s="97"/>
      <c r="R259" s="97"/>
    </row>
    <row r="260" spans="1:18">
      <c r="A260" s="97"/>
      <c r="B260" s="97"/>
      <c r="C260" s="97"/>
      <c r="D260" s="97"/>
      <c r="E260" s="97"/>
      <c r="F260" s="97"/>
      <c r="G260" s="97"/>
      <c r="H260" s="97"/>
      <c r="I260" s="97"/>
      <c r="J260" s="97"/>
      <c r="K260" s="97"/>
      <c r="L260" s="97"/>
      <c r="M260" s="97"/>
      <c r="N260" s="97"/>
      <c r="O260" s="97"/>
      <c r="P260" s="97"/>
      <c r="Q260" s="97"/>
      <c r="R260" s="97"/>
    </row>
    <row r="261" spans="1:18">
      <c r="A261" s="97"/>
      <c r="B261" s="97"/>
      <c r="C261" s="97"/>
      <c r="D261" s="97"/>
      <c r="E261" s="97"/>
      <c r="F261" s="97"/>
      <c r="G261" s="97"/>
      <c r="H261" s="97"/>
      <c r="I261" s="97"/>
      <c r="J261" s="97"/>
      <c r="K261" s="97"/>
      <c r="L261" s="97"/>
      <c r="M261" s="97"/>
      <c r="N261" s="97"/>
      <c r="O261" s="97"/>
      <c r="P261" s="97"/>
      <c r="Q261" s="97"/>
      <c r="R261" s="97"/>
    </row>
    <row r="262" spans="1:18">
      <c r="A262" s="97"/>
      <c r="B262" s="97"/>
      <c r="C262" s="97"/>
      <c r="D262" s="97"/>
      <c r="E262" s="97"/>
      <c r="F262" s="97"/>
      <c r="G262" s="97"/>
      <c r="H262" s="97"/>
      <c r="I262" s="97"/>
      <c r="J262" s="97"/>
      <c r="K262" s="97"/>
      <c r="L262" s="97"/>
      <c r="M262" s="97"/>
      <c r="N262" s="97"/>
      <c r="O262" s="97"/>
      <c r="P262" s="97"/>
      <c r="Q262" s="97"/>
      <c r="R262" s="97"/>
    </row>
    <row r="263" spans="1:18">
      <c r="A263" s="97"/>
      <c r="B263" s="97"/>
      <c r="C263" s="97"/>
      <c r="D263" s="97"/>
      <c r="E263" s="97"/>
      <c r="F263" s="97"/>
      <c r="G263" s="97"/>
      <c r="H263" s="97"/>
      <c r="I263" s="97"/>
      <c r="J263" s="97"/>
      <c r="K263" s="97"/>
      <c r="L263" s="97"/>
      <c r="M263" s="97"/>
      <c r="N263" s="97"/>
      <c r="O263" s="97"/>
      <c r="P263" s="97"/>
      <c r="Q263" s="97"/>
      <c r="R263" s="97"/>
    </row>
    <row r="264" spans="1:18">
      <c r="A264" s="97"/>
      <c r="B264" s="97"/>
      <c r="C264" s="97"/>
      <c r="D264" s="97"/>
      <c r="E264" s="97"/>
      <c r="F264" s="97"/>
      <c r="G264" s="97"/>
      <c r="H264" s="97"/>
      <c r="I264" s="97"/>
      <c r="J264" s="97"/>
      <c r="K264" s="97"/>
      <c r="L264" s="97"/>
      <c r="M264" s="97"/>
      <c r="N264" s="97"/>
      <c r="O264" s="97"/>
      <c r="P264" s="97"/>
      <c r="Q264" s="97"/>
      <c r="R264" s="97"/>
    </row>
    <row r="265" spans="1:18">
      <c r="A265" s="97"/>
      <c r="B265" s="97"/>
      <c r="C265" s="97"/>
      <c r="D265" s="97"/>
      <c r="E265" s="97"/>
      <c r="F265" s="97"/>
      <c r="G265" s="97"/>
      <c r="H265" s="97"/>
      <c r="I265" s="97"/>
      <c r="J265" s="97"/>
      <c r="K265" s="97"/>
      <c r="L265" s="97"/>
      <c r="M265" s="97"/>
      <c r="N265" s="97"/>
      <c r="O265" s="97"/>
      <c r="P265" s="97"/>
      <c r="Q265" s="97"/>
      <c r="R265" s="97"/>
    </row>
    <row r="266" spans="1:18">
      <c r="A266" s="97"/>
      <c r="B266" s="97"/>
      <c r="C266" s="97"/>
      <c r="D266" s="97"/>
      <c r="E266" s="97"/>
      <c r="F266" s="97"/>
      <c r="G266" s="97"/>
      <c r="H266" s="97"/>
      <c r="I266" s="97"/>
      <c r="J266" s="97"/>
      <c r="K266" s="97"/>
      <c r="L266" s="97"/>
      <c r="M266" s="97"/>
      <c r="N266" s="97"/>
      <c r="O266" s="97"/>
      <c r="P266" s="97"/>
      <c r="Q266" s="97"/>
      <c r="R266" s="97"/>
    </row>
    <row r="267" spans="1:18">
      <c r="A267" s="97"/>
      <c r="B267" s="97"/>
      <c r="C267" s="97"/>
      <c r="D267" s="97"/>
      <c r="E267" s="97"/>
      <c r="F267" s="97"/>
      <c r="G267" s="97"/>
      <c r="H267" s="97"/>
      <c r="I267" s="97"/>
      <c r="J267" s="97"/>
      <c r="K267" s="97"/>
      <c r="L267" s="97"/>
      <c r="M267" s="97"/>
      <c r="N267" s="97"/>
      <c r="O267" s="97"/>
      <c r="P267" s="97"/>
      <c r="Q267" s="97"/>
      <c r="R267" s="97"/>
    </row>
    <row r="268" spans="1:18">
      <c r="A268" s="97"/>
      <c r="B268" s="97"/>
      <c r="C268" s="97"/>
      <c r="D268" s="97"/>
      <c r="E268" s="97"/>
      <c r="F268" s="97"/>
      <c r="G268" s="97"/>
      <c r="H268" s="97"/>
      <c r="I268" s="97"/>
      <c r="J268" s="97"/>
      <c r="K268" s="97"/>
      <c r="L268" s="97"/>
      <c r="M268" s="97"/>
      <c r="N268" s="97"/>
      <c r="O268" s="97"/>
      <c r="P268" s="97"/>
      <c r="Q268" s="97"/>
      <c r="R268" s="97"/>
    </row>
    <row r="269" spans="1:18">
      <c r="A269" s="97"/>
      <c r="B269" s="97"/>
      <c r="C269" s="97"/>
      <c r="D269" s="97"/>
      <c r="E269" s="97"/>
      <c r="F269" s="97"/>
      <c r="G269" s="97"/>
      <c r="H269" s="97"/>
      <c r="I269" s="97"/>
      <c r="J269" s="97"/>
      <c r="K269" s="97"/>
      <c r="L269" s="97"/>
      <c r="M269" s="97"/>
      <c r="N269" s="97"/>
      <c r="O269" s="97"/>
      <c r="P269" s="97"/>
      <c r="Q269" s="97"/>
      <c r="R269" s="97"/>
    </row>
    <row r="270" spans="1:18">
      <c r="A270" s="97"/>
      <c r="B270" s="97"/>
      <c r="C270" s="97"/>
      <c r="D270" s="97"/>
      <c r="E270" s="97"/>
      <c r="F270" s="97"/>
      <c r="G270" s="97"/>
      <c r="H270" s="97"/>
      <c r="I270" s="97"/>
      <c r="J270" s="97"/>
      <c r="K270" s="97"/>
      <c r="L270" s="97"/>
      <c r="M270" s="97"/>
      <c r="N270" s="97"/>
      <c r="O270" s="97"/>
      <c r="P270" s="97"/>
      <c r="Q270" s="97"/>
      <c r="R270" s="97"/>
    </row>
    <row r="271" spans="1:18">
      <c r="A271" s="97"/>
      <c r="B271" s="97"/>
      <c r="C271" s="97"/>
      <c r="D271" s="97"/>
      <c r="E271" s="97"/>
      <c r="F271" s="97"/>
      <c r="G271" s="97"/>
      <c r="H271" s="97"/>
      <c r="I271" s="97"/>
      <c r="J271" s="97"/>
      <c r="K271" s="97"/>
      <c r="L271" s="97"/>
      <c r="M271" s="97"/>
      <c r="N271" s="97"/>
      <c r="O271" s="97"/>
      <c r="P271" s="97"/>
      <c r="Q271" s="97"/>
      <c r="R271" s="97"/>
    </row>
    <row r="272" spans="1:18">
      <c r="A272" s="97"/>
      <c r="B272" s="97"/>
      <c r="C272" s="97"/>
      <c r="D272" s="97"/>
      <c r="E272" s="97"/>
      <c r="F272" s="97"/>
      <c r="G272" s="97"/>
      <c r="H272" s="97"/>
      <c r="I272" s="97"/>
      <c r="J272" s="97"/>
      <c r="K272" s="97"/>
      <c r="L272" s="97"/>
      <c r="M272" s="97"/>
      <c r="N272" s="97"/>
      <c r="O272" s="97"/>
      <c r="P272" s="97"/>
      <c r="Q272" s="97"/>
      <c r="R272" s="97"/>
    </row>
    <row r="273" spans="1:18">
      <c r="A273" s="97"/>
      <c r="B273" s="97"/>
      <c r="C273" s="97"/>
      <c r="D273" s="97"/>
      <c r="E273" s="97"/>
      <c r="F273" s="97"/>
      <c r="G273" s="97"/>
      <c r="H273" s="97"/>
      <c r="I273" s="97"/>
      <c r="J273" s="97"/>
      <c r="K273" s="97"/>
      <c r="L273" s="97"/>
      <c r="M273" s="97"/>
      <c r="N273" s="97"/>
      <c r="O273" s="97"/>
      <c r="P273" s="97"/>
      <c r="Q273" s="97"/>
      <c r="R273" s="97"/>
    </row>
    <row r="274" spans="1:18">
      <c r="A274" s="97"/>
      <c r="B274" s="97"/>
      <c r="C274" s="97"/>
      <c r="D274" s="97"/>
      <c r="E274" s="97"/>
      <c r="F274" s="97"/>
      <c r="G274" s="97"/>
      <c r="H274" s="97"/>
      <c r="I274" s="97"/>
      <c r="J274" s="97"/>
      <c r="K274" s="97"/>
      <c r="L274" s="97"/>
      <c r="M274" s="97"/>
      <c r="N274" s="97"/>
      <c r="O274" s="97"/>
      <c r="P274" s="97"/>
      <c r="Q274" s="97"/>
      <c r="R274" s="97"/>
    </row>
    <row r="275" spans="1:18">
      <c r="A275" s="97"/>
      <c r="B275" s="97"/>
      <c r="C275" s="97"/>
      <c r="D275" s="97"/>
      <c r="E275" s="97"/>
      <c r="F275" s="97"/>
      <c r="G275" s="97"/>
      <c r="H275" s="97"/>
      <c r="I275" s="97"/>
      <c r="J275" s="97"/>
      <c r="K275" s="97"/>
      <c r="L275" s="97"/>
      <c r="M275" s="97"/>
      <c r="N275" s="97"/>
      <c r="O275" s="97"/>
      <c r="P275" s="97"/>
      <c r="Q275" s="97"/>
      <c r="R275" s="97"/>
    </row>
    <row r="276" spans="1:18">
      <c r="A276" s="97"/>
      <c r="B276" s="97"/>
      <c r="C276" s="97"/>
      <c r="D276" s="97"/>
      <c r="E276" s="97"/>
      <c r="F276" s="97"/>
      <c r="G276" s="97"/>
      <c r="H276" s="97"/>
      <c r="I276" s="97"/>
      <c r="J276" s="97"/>
      <c r="K276" s="97"/>
      <c r="L276" s="97"/>
      <c r="M276" s="97"/>
      <c r="N276" s="97"/>
      <c r="O276" s="97"/>
      <c r="P276" s="97"/>
      <c r="Q276" s="97"/>
      <c r="R276" s="97"/>
    </row>
    <row r="277" spans="1:18">
      <c r="A277" s="97"/>
      <c r="B277" s="97"/>
      <c r="C277" s="97"/>
      <c r="D277" s="97"/>
      <c r="E277" s="97"/>
      <c r="F277" s="97"/>
      <c r="G277" s="97"/>
      <c r="H277" s="97"/>
      <c r="I277" s="97"/>
      <c r="J277" s="97"/>
      <c r="K277" s="97"/>
      <c r="L277" s="97"/>
      <c r="M277" s="97"/>
      <c r="N277" s="97"/>
      <c r="O277" s="97"/>
      <c r="P277" s="97"/>
      <c r="Q277" s="97"/>
      <c r="R277" s="97"/>
    </row>
    <row r="278" spans="1:18">
      <c r="A278" s="97"/>
      <c r="B278" s="97"/>
      <c r="C278" s="97"/>
      <c r="D278" s="97"/>
      <c r="E278" s="97"/>
      <c r="F278" s="97"/>
      <c r="G278" s="97"/>
      <c r="H278" s="97"/>
      <c r="I278" s="97"/>
      <c r="J278" s="97"/>
      <c r="K278" s="97"/>
      <c r="L278" s="97"/>
      <c r="M278" s="97"/>
      <c r="N278" s="97"/>
      <c r="O278" s="97"/>
      <c r="P278" s="97"/>
      <c r="Q278" s="97"/>
      <c r="R278" s="97"/>
    </row>
    <row r="279" spans="1:18">
      <c r="A279" s="97"/>
      <c r="B279" s="97"/>
      <c r="C279" s="97"/>
      <c r="D279" s="97"/>
      <c r="E279" s="97"/>
      <c r="F279" s="97"/>
      <c r="G279" s="97"/>
      <c r="H279" s="97"/>
      <c r="I279" s="97"/>
      <c r="J279" s="97"/>
      <c r="K279" s="97"/>
      <c r="L279" s="97"/>
      <c r="M279" s="97"/>
      <c r="N279" s="97"/>
      <c r="O279" s="97"/>
      <c r="P279" s="97"/>
      <c r="Q279" s="97"/>
      <c r="R279" s="97"/>
    </row>
    <row r="280" spans="1:18">
      <c r="A280" s="97"/>
      <c r="B280" s="97"/>
      <c r="C280" s="97"/>
      <c r="D280" s="97"/>
      <c r="E280" s="97"/>
      <c r="F280" s="97"/>
      <c r="G280" s="97"/>
      <c r="H280" s="97"/>
      <c r="I280" s="97"/>
      <c r="J280" s="97"/>
      <c r="K280" s="97"/>
      <c r="L280" s="97"/>
      <c r="M280" s="97"/>
      <c r="N280" s="97"/>
      <c r="O280" s="97"/>
      <c r="P280" s="97"/>
      <c r="Q280" s="97"/>
      <c r="R280" s="97"/>
    </row>
    <row r="281" spans="1:18">
      <c r="A281" s="97"/>
      <c r="B281" s="97"/>
      <c r="C281" s="97"/>
      <c r="D281" s="97"/>
      <c r="E281" s="97"/>
      <c r="F281" s="97"/>
      <c r="G281" s="97"/>
      <c r="H281" s="97"/>
      <c r="I281" s="97"/>
      <c r="J281" s="97"/>
      <c r="K281" s="97"/>
      <c r="L281" s="97"/>
      <c r="M281" s="97"/>
      <c r="N281" s="97"/>
      <c r="O281" s="97"/>
      <c r="P281" s="97"/>
      <c r="Q281" s="97"/>
      <c r="R281" s="97"/>
    </row>
    <row r="282" spans="1:18">
      <c r="A282" s="97"/>
      <c r="B282" s="97"/>
      <c r="C282" s="97"/>
      <c r="D282" s="97"/>
      <c r="E282" s="97"/>
      <c r="F282" s="97"/>
      <c r="G282" s="97"/>
      <c r="H282" s="97"/>
      <c r="I282" s="97"/>
      <c r="J282" s="97"/>
      <c r="K282" s="97"/>
      <c r="L282" s="97"/>
      <c r="M282" s="97"/>
      <c r="N282" s="97"/>
      <c r="O282" s="97"/>
      <c r="P282" s="97"/>
      <c r="Q282" s="97"/>
      <c r="R282" s="97"/>
    </row>
    <row r="283" spans="1:18">
      <c r="A283" s="97"/>
      <c r="B283" s="97"/>
      <c r="C283" s="97"/>
      <c r="D283" s="97"/>
      <c r="E283" s="97"/>
      <c r="F283" s="97"/>
      <c r="G283" s="97"/>
      <c r="H283" s="97"/>
      <c r="I283" s="97"/>
      <c r="J283" s="97"/>
      <c r="K283" s="97"/>
      <c r="L283" s="97"/>
      <c r="M283" s="97"/>
      <c r="N283" s="97"/>
      <c r="O283" s="97"/>
      <c r="P283" s="97"/>
      <c r="Q283" s="97"/>
      <c r="R283" s="97"/>
    </row>
    <row r="284" spans="1:18">
      <c r="A284" s="97"/>
      <c r="B284" s="97"/>
      <c r="C284" s="97"/>
      <c r="D284" s="97"/>
      <c r="E284" s="97"/>
      <c r="F284" s="97"/>
      <c r="G284" s="97"/>
      <c r="H284" s="97"/>
      <c r="I284" s="97"/>
      <c r="J284" s="97"/>
      <c r="K284" s="97"/>
      <c r="L284" s="97"/>
      <c r="M284" s="97"/>
      <c r="N284" s="97"/>
      <c r="O284" s="97"/>
      <c r="P284" s="97"/>
      <c r="Q284" s="97"/>
      <c r="R284" s="97"/>
    </row>
    <row r="285" spans="1:18">
      <c r="A285" s="97"/>
      <c r="B285" s="97"/>
      <c r="C285" s="97"/>
      <c r="D285" s="97"/>
      <c r="E285" s="97"/>
      <c r="F285" s="97"/>
      <c r="G285" s="97"/>
      <c r="H285" s="97"/>
      <c r="I285" s="97"/>
      <c r="J285" s="97"/>
      <c r="K285" s="97"/>
      <c r="L285" s="97"/>
      <c r="M285" s="97"/>
      <c r="N285" s="97"/>
      <c r="O285" s="97"/>
      <c r="P285" s="97"/>
      <c r="Q285" s="97"/>
      <c r="R285" s="97"/>
    </row>
    <row r="286" spans="1:18">
      <c r="A286" s="97"/>
      <c r="B286" s="97"/>
      <c r="C286" s="97"/>
      <c r="D286" s="97"/>
      <c r="E286" s="97"/>
      <c r="F286" s="97"/>
      <c r="G286" s="97"/>
      <c r="H286" s="97"/>
      <c r="I286" s="97"/>
      <c r="J286" s="97"/>
      <c r="K286" s="97"/>
      <c r="L286" s="97"/>
      <c r="M286" s="97"/>
      <c r="N286" s="97"/>
      <c r="O286" s="97"/>
      <c r="P286" s="97"/>
      <c r="Q286" s="97"/>
      <c r="R286" s="97"/>
    </row>
    <row r="287" spans="1:18">
      <c r="A287" s="97"/>
      <c r="B287" s="97"/>
      <c r="C287" s="97"/>
      <c r="D287" s="97"/>
      <c r="E287" s="97"/>
      <c r="F287" s="97"/>
      <c r="G287" s="97"/>
      <c r="H287" s="97"/>
      <c r="I287" s="97"/>
      <c r="J287" s="97"/>
      <c r="K287" s="97"/>
      <c r="L287" s="97"/>
      <c r="M287" s="97"/>
      <c r="N287" s="97"/>
      <c r="O287" s="97"/>
      <c r="P287" s="97"/>
      <c r="Q287" s="97"/>
      <c r="R287" s="97"/>
    </row>
    <row r="288" spans="1:18">
      <c r="A288" s="97"/>
      <c r="B288" s="97"/>
      <c r="C288" s="97"/>
      <c r="D288" s="97"/>
      <c r="E288" s="97"/>
      <c r="F288" s="97"/>
      <c r="G288" s="97"/>
      <c r="H288" s="97"/>
      <c r="I288" s="97"/>
      <c r="J288" s="97"/>
      <c r="K288" s="97"/>
      <c r="L288" s="97"/>
      <c r="M288" s="97"/>
      <c r="N288" s="97"/>
      <c r="O288" s="97"/>
      <c r="P288" s="97"/>
      <c r="Q288" s="97"/>
      <c r="R288" s="97"/>
    </row>
    <row r="289" spans="1:18">
      <c r="A289" s="97"/>
      <c r="B289" s="97"/>
      <c r="C289" s="97"/>
      <c r="D289" s="97"/>
      <c r="E289" s="97"/>
      <c r="F289" s="97"/>
      <c r="G289" s="97"/>
      <c r="H289" s="97"/>
      <c r="I289" s="97"/>
      <c r="J289" s="97"/>
      <c r="K289" s="97"/>
      <c r="L289" s="97"/>
      <c r="M289" s="97"/>
      <c r="N289" s="97"/>
      <c r="O289" s="97"/>
      <c r="P289" s="97"/>
      <c r="Q289" s="97"/>
      <c r="R289" s="97"/>
    </row>
    <row r="290" spans="1:18">
      <c r="A290" s="97"/>
      <c r="B290" s="97"/>
      <c r="C290" s="97"/>
      <c r="D290" s="97"/>
      <c r="E290" s="97"/>
      <c r="F290" s="97"/>
      <c r="G290" s="97"/>
      <c r="H290" s="97"/>
      <c r="I290" s="97"/>
      <c r="J290" s="97"/>
      <c r="K290" s="97"/>
      <c r="L290" s="97"/>
      <c r="M290" s="97"/>
      <c r="N290" s="97"/>
      <c r="O290" s="97"/>
      <c r="P290" s="97"/>
      <c r="Q290" s="97"/>
      <c r="R290" s="97"/>
    </row>
    <row r="291" spans="1:18">
      <c r="A291" s="97"/>
      <c r="B291" s="97"/>
      <c r="C291" s="97"/>
      <c r="D291" s="97"/>
      <c r="E291" s="97"/>
      <c r="F291" s="97"/>
      <c r="G291" s="97"/>
      <c r="H291" s="97"/>
      <c r="I291" s="97"/>
      <c r="J291" s="97"/>
      <c r="K291" s="97"/>
      <c r="L291" s="97"/>
      <c r="M291" s="97"/>
      <c r="N291" s="97"/>
      <c r="O291" s="97"/>
      <c r="P291" s="97"/>
      <c r="Q291" s="97"/>
      <c r="R291" s="97"/>
    </row>
    <row r="292" spans="1:18">
      <c r="A292" s="97"/>
      <c r="B292" s="97"/>
      <c r="C292" s="97"/>
      <c r="D292" s="97"/>
      <c r="E292" s="97"/>
      <c r="F292" s="97"/>
      <c r="G292" s="97"/>
      <c r="H292" s="97"/>
      <c r="I292" s="97"/>
      <c r="J292" s="97"/>
      <c r="K292" s="97"/>
      <c r="L292" s="97"/>
      <c r="M292" s="97"/>
      <c r="N292" s="97"/>
      <c r="O292" s="97"/>
      <c r="P292" s="97"/>
      <c r="Q292" s="97"/>
      <c r="R292" s="97"/>
    </row>
    <row r="293" spans="1:18">
      <c r="A293" s="97"/>
      <c r="B293" s="97"/>
      <c r="C293" s="97"/>
      <c r="D293" s="97"/>
      <c r="E293" s="97"/>
      <c r="F293" s="97"/>
      <c r="G293" s="97"/>
      <c r="H293" s="97"/>
      <c r="I293" s="97"/>
      <c r="J293" s="97"/>
      <c r="K293" s="97"/>
      <c r="L293" s="97"/>
      <c r="M293" s="97"/>
      <c r="N293" s="97"/>
      <c r="O293" s="97"/>
      <c r="P293" s="97"/>
      <c r="Q293" s="97"/>
      <c r="R293" s="97"/>
    </row>
    <row r="294" spans="1:18">
      <c r="A294" s="97"/>
      <c r="B294" s="97"/>
      <c r="C294" s="97"/>
      <c r="D294" s="97"/>
      <c r="E294" s="97"/>
      <c r="F294" s="97"/>
      <c r="G294" s="97"/>
      <c r="H294" s="97"/>
      <c r="I294" s="97"/>
      <c r="J294" s="97"/>
      <c r="K294" s="97"/>
      <c r="L294" s="97"/>
      <c r="M294" s="97"/>
      <c r="N294" s="97"/>
      <c r="O294" s="97"/>
      <c r="P294" s="97"/>
      <c r="Q294" s="97"/>
      <c r="R294" s="97"/>
    </row>
    <row r="295" spans="1:18">
      <c r="A295" s="97"/>
      <c r="B295" s="97"/>
      <c r="C295" s="97"/>
      <c r="D295" s="97"/>
      <c r="E295" s="97"/>
      <c r="F295" s="97"/>
      <c r="G295" s="97"/>
      <c r="H295" s="97"/>
      <c r="I295" s="97"/>
      <c r="J295" s="97"/>
      <c r="K295" s="97"/>
      <c r="L295" s="97"/>
      <c r="M295" s="97"/>
      <c r="N295" s="97"/>
      <c r="O295" s="97"/>
      <c r="P295" s="97"/>
      <c r="Q295" s="97"/>
      <c r="R295" s="97"/>
    </row>
    <row r="296" spans="1:18">
      <c r="A296" s="97"/>
      <c r="B296" s="97"/>
      <c r="C296" s="97"/>
      <c r="D296" s="97"/>
      <c r="E296" s="97"/>
      <c r="F296" s="97"/>
      <c r="G296" s="97"/>
      <c r="H296" s="97"/>
      <c r="I296" s="97"/>
      <c r="J296" s="97"/>
      <c r="K296" s="97"/>
      <c r="L296" s="97"/>
      <c r="M296" s="97"/>
      <c r="N296" s="97"/>
      <c r="O296" s="97"/>
      <c r="P296" s="97"/>
      <c r="Q296" s="97"/>
      <c r="R296" s="97"/>
    </row>
    <row r="297" spans="1:18">
      <c r="A297" s="97"/>
      <c r="B297" s="97"/>
      <c r="C297" s="97"/>
      <c r="D297" s="97"/>
      <c r="E297" s="97"/>
      <c r="F297" s="97"/>
      <c r="G297" s="97"/>
      <c r="H297" s="97"/>
      <c r="I297" s="97"/>
      <c r="J297" s="97"/>
      <c r="K297" s="97"/>
      <c r="L297" s="97"/>
      <c r="M297" s="97"/>
      <c r="N297" s="97"/>
      <c r="O297" s="97"/>
      <c r="P297" s="97"/>
      <c r="Q297" s="97"/>
      <c r="R297" s="97"/>
    </row>
    <row r="298" spans="1:18">
      <c r="A298" s="97"/>
      <c r="B298" s="97"/>
      <c r="C298" s="97"/>
      <c r="D298" s="97"/>
      <c r="E298" s="97"/>
      <c r="F298" s="97"/>
      <c r="G298" s="97"/>
      <c r="H298" s="97"/>
      <c r="I298" s="97"/>
      <c r="J298" s="97"/>
      <c r="K298" s="97"/>
      <c r="L298" s="97"/>
      <c r="M298" s="97"/>
      <c r="N298" s="97"/>
      <c r="O298" s="97"/>
      <c r="P298" s="97"/>
      <c r="Q298" s="97"/>
      <c r="R298" s="97"/>
    </row>
    <row r="299" spans="1:18">
      <c r="A299" s="97"/>
      <c r="B299" s="97"/>
      <c r="C299" s="97"/>
      <c r="D299" s="97"/>
      <c r="E299" s="97"/>
      <c r="F299" s="97"/>
      <c r="G299" s="97"/>
      <c r="H299" s="97"/>
      <c r="I299" s="97"/>
      <c r="J299" s="97"/>
      <c r="K299" s="97"/>
      <c r="L299" s="97"/>
      <c r="M299" s="97"/>
      <c r="N299" s="97"/>
      <c r="O299" s="97"/>
      <c r="P299" s="97"/>
      <c r="Q299" s="97"/>
      <c r="R299" s="97"/>
    </row>
    <row r="300" spans="1:18">
      <c r="A300" s="97"/>
      <c r="B300" s="97"/>
      <c r="C300" s="97"/>
      <c r="D300" s="97"/>
      <c r="E300" s="97"/>
      <c r="F300" s="97"/>
      <c r="G300" s="97"/>
      <c r="H300" s="97"/>
      <c r="I300" s="97"/>
      <c r="J300" s="97"/>
      <c r="K300" s="97"/>
      <c r="L300" s="97"/>
      <c r="M300" s="97"/>
      <c r="N300" s="97"/>
      <c r="O300" s="97"/>
      <c r="P300" s="97"/>
      <c r="Q300" s="97"/>
      <c r="R300" s="97"/>
    </row>
    <row r="301" spans="1:18">
      <c r="A301" s="97"/>
      <c r="B301" s="97"/>
      <c r="C301" s="97"/>
      <c r="D301" s="97"/>
      <c r="E301" s="97"/>
      <c r="F301" s="97"/>
      <c r="G301" s="97"/>
      <c r="H301" s="97"/>
      <c r="I301" s="97"/>
      <c r="J301" s="97"/>
      <c r="K301" s="97"/>
      <c r="L301" s="97"/>
      <c r="M301" s="97"/>
      <c r="N301" s="97"/>
      <c r="O301" s="97"/>
      <c r="P301" s="97"/>
      <c r="Q301" s="97"/>
      <c r="R301" s="97"/>
    </row>
    <row r="302" spans="1:18">
      <c r="A302" s="97"/>
      <c r="B302" s="97"/>
      <c r="C302" s="97"/>
      <c r="D302" s="97"/>
      <c r="E302" s="97"/>
      <c r="F302" s="97"/>
      <c r="G302" s="97"/>
      <c r="H302" s="97"/>
      <c r="I302" s="97"/>
      <c r="J302" s="97"/>
      <c r="K302" s="97"/>
      <c r="L302" s="97"/>
      <c r="M302" s="97"/>
      <c r="N302" s="97"/>
      <c r="O302" s="97"/>
      <c r="P302" s="97"/>
      <c r="Q302" s="97"/>
      <c r="R302" s="97"/>
    </row>
    <row r="303" spans="1:18">
      <c r="A303" s="97"/>
      <c r="B303" s="97"/>
      <c r="C303" s="97"/>
      <c r="D303" s="97"/>
      <c r="E303" s="97"/>
      <c r="F303" s="97"/>
      <c r="G303" s="97"/>
      <c r="H303" s="97"/>
      <c r="I303" s="97"/>
      <c r="J303" s="97"/>
      <c r="K303" s="97"/>
      <c r="L303" s="97"/>
      <c r="M303" s="97"/>
      <c r="N303" s="97"/>
      <c r="O303" s="97"/>
      <c r="P303" s="97"/>
      <c r="Q303" s="97"/>
      <c r="R303" s="97"/>
    </row>
    <row r="304" spans="1:18">
      <c r="A304" s="97"/>
      <c r="B304" s="97"/>
      <c r="C304" s="97"/>
      <c r="D304" s="97"/>
      <c r="E304" s="97"/>
      <c r="F304" s="97"/>
      <c r="G304" s="97"/>
      <c r="H304" s="97"/>
      <c r="I304" s="97"/>
      <c r="J304" s="97"/>
      <c r="K304" s="97"/>
      <c r="L304" s="97"/>
      <c r="M304" s="97"/>
      <c r="N304" s="97"/>
      <c r="O304" s="97"/>
      <c r="P304" s="97"/>
      <c r="Q304" s="97"/>
      <c r="R304" s="97"/>
    </row>
    <row r="305" spans="1:18">
      <c r="A305" s="97"/>
      <c r="B305" s="97"/>
      <c r="C305" s="97"/>
      <c r="D305" s="97"/>
      <c r="E305" s="97"/>
      <c r="F305" s="97"/>
      <c r="G305" s="97"/>
      <c r="H305" s="97"/>
      <c r="I305" s="97"/>
      <c r="J305" s="97"/>
      <c r="K305" s="97"/>
      <c r="L305" s="97"/>
      <c r="M305" s="97"/>
      <c r="N305" s="97"/>
      <c r="O305" s="97"/>
      <c r="P305" s="97"/>
      <c r="Q305" s="97"/>
      <c r="R305" s="97"/>
    </row>
    <row r="306" spans="1:18">
      <c r="A306" s="97"/>
      <c r="B306" s="97"/>
      <c r="C306" s="97"/>
      <c r="D306" s="97"/>
      <c r="E306" s="97"/>
      <c r="F306" s="97"/>
      <c r="G306" s="97"/>
      <c r="H306" s="97"/>
      <c r="I306" s="97"/>
      <c r="J306" s="97"/>
      <c r="K306" s="97"/>
      <c r="L306" s="97"/>
      <c r="M306" s="97"/>
      <c r="N306" s="97"/>
      <c r="O306" s="97"/>
      <c r="P306" s="97"/>
      <c r="Q306" s="97"/>
      <c r="R306" s="97"/>
    </row>
    <row r="307" spans="1:18">
      <c r="A307" s="97"/>
      <c r="B307" s="97"/>
      <c r="C307" s="97"/>
      <c r="D307" s="97"/>
      <c r="E307" s="97"/>
      <c r="F307" s="97"/>
      <c r="G307" s="97"/>
      <c r="H307" s="97"/>
      <c r="I307" s="97"/>
      <c r="J307" s="97"/>
      <c r="K307" s="97"/>
      <c r="L307" s="97"/>
      <c r="M307" s="97"/>
      <c r="N307" s="97"/>
      <c r="O307" s="97"/>
      <c r="P307" s="97"/>
      <c r="Q307" s="97"/>
      <c r="R307" s="97"/>
    </row>
    <row r="308" spans="1:18">
      <c r="A308" s="97"/>
      <c r="B308" s="97"/>
      <c r="C308" s="97"/>
      <c r="D308" s="97"/>
      <c r="E308" s="97"/>
      <c r="F308" s="97"/>
      <c r="G308" s="97"/>
      <c r="H308" s="97"/>
      <c r="I308" s="97"/>
      <c r="J308" s="97"/>
      <c r="K308" s="97"/>
      <c r="L308" s="97"/>
      <c r="M308" s="97"/>
      <c r="N308" s="97"/>
      <c r="O308" s="97"/>
      <c r="P308" s="97"/>
      <c r="Q308" s="97"/>
      <c r="R308" s="97"/>
    </row>
    <row r="309" spans="1:18">
      <c r="A309" s="97"/>
      <c r="B309" s="97"/>
      <c r="C309" s="97"/>
      <c r="D309" s="97"/>
      <c r="E309" s="97"/>
      <c r="F309" s="97"/>
      <c r="G309" s="97"/>
      <c r="H309" s="97"/>
      <c r="I309" s="97"/>
      <c r="J309" s="97"/>
      <c r="K309" s="97"/>
      <c r="L309" s="97"/>
      <c r="M309" s="97"/>
      <c r="N309" s="97"/>
      <c r="O309" s="97"/>
      <c r="P309" s="97"/>
      <c r="Q309" s="97"/>
      <c r="R309" s="97"/>
    </row>
    <row r="310" spans="1:18">
      <c r="A310" s="97"/>
      <c r="B310" s="97"/>
      <c r="C310" s="97"/>
      <c r="D310" s="97"/>
      <c r="E310" s="97"/>
      <c r="F310" s="97"/>
      <c r="G310" s="97"/>
      <c r="H310" s="97"/>
      <c r="I310" s="97"/>
      <c r="J310" s="97"/>
      <c r="K310" s="97"/>
      <c r="L310" s="97"/>
      <c r="M310" s="97"/>
      <c r="N310" s="97"/>
      <c r="O310" s="97"/>
      <c r="P310" s="97"/>
      <c r="Q310" s="97"/>
      <c r="R310" s="97"/>
    </row>
    <row r="311" spans="1:18">
      <c r="A311" s="97"/>
      <c r="B311" s="97"/>
      <c r="C311" s="97"/>
      <c r="D311" s="97"/>
      <c r="E311" s="97"/>
      <c r="F311" s="97"/>
      <c r="G311" s="97"/>
      <c r="H311" s="97"/>
      <c r="I311" s="97"/>
      <c r="J311" s="97"/>
      <c r="K311" s="97"/>
      <c r="L311" s="97"/>
      <c r="M311" s="97"/>
      <c r="N311" s="97"/>
      <c r="O311" s="97"/>
      <c r="P311" s="97"/>
      <c r="Q311" s="97"/>
      <c r="R311" s="97"/>
    </row>
    <row r="312" spans="1:18">
      <c r="A312" s="97"/>
      <c r="B312" s="97"/>
      <c r="C312" s="97"/>
      <c r="D312" s="97"/>
      <c r="E312" s="97"/>
      <c r="F312" s="97"/>
      <c r="G312" s="97"/>
      <c r="H312" s="97"/>
      <c r="I312" s="97"/>
      <c r="J312" s="97"/>
      <c r="K312" s="97"/>
      <c r="L312" s="97"/>
      <c r="M312" s="97"/>
      <c r="N312" s="97"/>
      <c r="O312" s="97"/>
      <c r="P312" s="97"/>
      <c r="Q312" s="97"/>
      <c r="R312" s="97"/>
    </row>
    <row r="313" spans="1:18">
      <c r="A313" s="97"/>
      <c r="B313" s="97"/>
      <c r="C313" s="97"/>
      <c r="D313" s="97"/>
      <c r="E313" s="97"/>
      <c r="F313" s="97"/>
      <c r="G313" s="97"/>
      <c r="H313" s="97"/>
      <c r="I313" s="97"/>
      <c r="J313" s="97"/>
      <c r="K313" s="97"/>
      <c r="L313" s="97"/>
      <c r="M313" s="97"/>
      <c r="N313" s="97"/>
      <c r="O313" s="97"/>
      <c r="P313" s="97"/>
      <c r="Q313" s="97"/>
      <c r="R313" s="97"/>
    </row>
    <row r="314" spans="1:18">
      <c r="A314" s="97"/>
      <c r="B314" s="97"/>
      <c r="C314" s="97"/>
      <c r="D314" s="97"/>
      <c r="E314" s="97"/>
      <c r="F314" s="97"/>
      <c r="G314" s="97"/>
      <c r="H314" s="97"/>
      <c r="I314" s="97"/>
      <c r="J314" s="97"/>
      <c r="K314" s="97"/>
      <c r="L314" s="97"/>
      <c r="M314" s="97"/>
      <c r="N314" s="97"/>
      <c r="O314" s="97"/>
      <c r="P314" s="97"/>
      <c r="Q314" s="97"/>
      <c r="R314" s="97"/>
    </row>
    <row r="315" spans="1:18">
      <c r="A315" s="97"/>
      <c r="B315" s="97"/>
      <c r="C315" s="97"/>
      <c r="D315" s="97"/>
      <c r="E315" s="97"/>
      <c r="F315" s="97"/>
      <c r="G315" s="97"/>
      <c r="H315" s="97"/>
      <c r="I315" s="97"/>
      <c r="J315" s="97"/>
      <c r="K315" s="97"/>
      <c r="L315" s="97"/>
      <c r="M315" s="97"/>
      <c r="N315" s="97"/>
      <c r="O315" s="97"/>
      <c r="P315" s="97"/>
      <c r="Q315" s="97"/>
      <c r="R315" s="97"/>
    </row>
    <row r="316" spans="1:18">
      <c r="A316" s="97"/>
      <c r="B316" s="97"/>
      <c r="C316" s="97"/>
      <c r="D316" s="97"/>
      <c r="E316" s="97"/>
      <c r="F316" s="97"/>
      <c r="G316" s="97"/>
      <c r="H316" s="97"/>
      <c r="I316" s="97"/>
      <c r="J316" s="97"/>
      <c r="K316" s="97"/>
      <c r="L316" s="97"/>
      <c r="M316" s="97"/>
      <c r="N316" s="97"/>
      <c r="O316" s="97"/>
      <c r="P316" s="97"/>
      <c r="Q316" s="97"/>
      <c r="R316" s="97"/>
    </row>
    <row r="317" spans="1:18">
      <c r="A317" s="97"/>
      <c r="B317" s="97"/>
      <c r="C317" s="97"/>
      <c r="D317" s="97"/>
      <c r="E317" s="97"/>
      <c r="F317" s="97"/>
      <c r="G317" s="97"/>
      <c r="H317" s="97"/>
      <c r="I317" s="97"/>
      <c r="J317" s="97"/>
      <c r="K317" s="97"/>
      <c r="L317" s="97"/>
      <c r="M317" s="97"/>
      <c r="N317" s="97"/>
      <c r="O317" s="97"/>
      <c r="P317" s="97"/>
      <c r="Q317" s="97"/>
      <c r="R317" s="97"/>
    </row>
    <row r="318" spans="1:18">
      <c r="A318" s="97"/>
      <c r="B318" s="97"/>
      <c r="C318" s="97"/>
      <c r="D318" s="97"/>
      <c r="E318" s="97"/>
      <c r="F318" s="97"/>
      <c r="G318" s="97"/>
      <c r="H318" s="97"/>
      <c r="I318" s="97"/>
      <c r="J318" s="97"/>
      <c r="K318" s="97"/>
      <c r="L318" s="97"/>
      <c r="M318" s="97"/>
      <c r="N318" s="97"/>
      <c r="O318" s="97"/>
      <c r="P318" s="97"/>
      <c r="Q318" s="97"/>
      <c r="R318" s="97"/>
    </row>
    <row r="319" spans="1:18">
      <c r="A319" s="97"/>
      <c r="B319" s="97"/>
      <c r="C319" s="97"/>
      <c r="D319" s="97"/>
      <c r="E319" s="97"/>
      <c r="F319" s="97"/>
      <c r="G319" s="97"/>
      <c r="H319" s="97"/>
      <c r="I319" s="97"/>
      <c r="J319" s="97"/>
      <c r="K319" s="97"/>
      <c r="L319" s="97"/>
      <c r="M319" s="97"/>
      <c r="N319" s="97"/>
      <c r="O319" s="97"/>
      <c r="P319" s="97"/>
      <c r="Q319" s="97"/>
      <c r="R319" s="97"/>
    </row>
    <row r="320" spans="1:18">
      <c r="A320" s="97"/>
      <c r="B320" s="97"/>
      <c r="C320" s="97"/>
      <c r="D320" s="97"/>
      <c r="E320" s="97"/>
      <c r="F320" s="97"/>
      <c r="G320" s="97"/>
      <c r="H320" s="97"/>
      <c r="I320" s="97"/>
      <c r="J320" s="97"/>
      <c r="K320" s="97"/>
      <c r="L320" s="97"/>
      <c r="M320" s="97"/>
      <c r="N320" s="97"/>
      <c r="O320" s="97"/>
      <c r="P320" s="97"/>
      <c r="Q320" s="97"/>
      <c r="R320" s="97"/>
    </row>
    <row r="321" spans="1:18">
      <c r="A321" s="97"/>
      <c r="B321" s="97"/>
      <c r="C321" s="97"/>
      <c r="D321" s="97"/>
      <c r="E321" s="97"/>
      <c r="F321" s="97"/>
      <c r="G321" s="97"/>
      <c r="H321" s="97"/>
      <c r="I321" s="97"/>
      <c r="J321" s="97"/>
      <c r="K321" s="97"/>
      <c r="L321" s="97"/>
      <c r="M321" s="97"/>
      <c r="N321" s="97"/>
      <c r="O321" s="97"/>
      <c r="P321" s="97"/>
      <c r="Q321" s="97"/>
      <c r="R321" s="97"/>
    </row>
  </sheetData>
  <mergeCells count="86">
    <mergeCell ref="A135:T135"/>
    <mergeCell ref="A151:F151"/>
    <mergeCell ref="M157:P157"/>
    <mergeCell ref="Q157:T157"/>
    <mergeCell ref="M153:P153"/>
    <mergeCell ref="M156:P156"/>
    <mergeCell ref="Q154:T154"/>
    <mergeCell ref="Q156:T156"/>
    <mergeCell ref="G156:I156"/>
    <mergeCell ref="M150:P150"/>
    <mergeCell ref="Q150:T150"/>
    <mergeCell ref="Q155:T155"/>
    <mergeCell ref="M154:P154"/>
    <mergeCell ref="Q153:T153"/>
    <mergeCell ref="M152:P152"/>
    <mergeCell ref="Q152:T152"/>
    <mergeCell ref="A15:T15"/>
    <mergeCell ref="A16:T16"/>
    <mergeCell ref="B84:T84"/>
    <mergeCell ref="B97:T97"/>
    <mergeCell ref="B78:T78"/>
    <mergeCell ref="B85:T85"/>
    <mergeCell ref="B96:T96"/>
    <mergeCell ref="A59:T59"/>
    <mergeCell ref="B80:T80"/>
    <mergeCell ref="B83:T83"/>
    <mergeCell ref="B77:T77"/>
    <mergeCell ref="B79:T79"/>
    <mergeCell ref="B71:T71"/>
    <mergeCell ref="O39:R39"/>
    <mergeCell ref="B74:T74"/>
    <mergeCell ref="T29:T41"/>
    <mergeCell ref="A159:T159"/>
    <mergeCell ref="A158:T158"/>
    <mergeCell ref="B100:T100"/>
    <mergeCell ref="B102:T102"/>
    <mergeCell ref="Q104:T104"/>
    <mergeCell ref="B105:E105"/>
    <mergeCell ref="B107:T107"/>
    <mergeCell ref="M105:P105"/>
    <mergeCell ref="M155:P155"/>
    <mergeCell ref="J153:L153"/>
    <mergeCell ref="J154:L154"/>
    <mergeCell ref="J155:L155"/>
    <mergeCell ref="B110:T110"/>
    <mergeCell ref="B111:T111"/>
    <mergeCell ref="B118:T118"/>
    <mergeCell ref="E113:T113"/>
    <mergeCell ref="F105:I105"/>
    <mergeCell ref="Q105:T105"/>
    <mergeCell ref="J103:L103"/>
    <mergeCell ref="B103:E103"/>
    <mergeCell ref="F103:I103"/>
    <mergeCell ref="M103:P103"/>
    <mergeCell ref="J104:L104"/>
    <mergeCell ref="Q103:T103"/>
    <mergeCell ref="B104:E104"/>
    <mergeCell ref="F104:I104"/>
    <mergeCell ref="J105:L105"/>
    <mergeCell ref="M104:P104"/>
    <mergeCell ref="A6:T6"/>
    <mergeCell ref="A7:T7"/>
    <mergeCell ref="A8:T8"/>
    <mergeCell ref="A9:T9"/>
    <mergeCell ref="A14:T14"/>
    <mergeCell ref="J156:L156"/>
    <mergeCell ref="G151:I151"/>
    <mergeCell ref="J151:L151"/>
    <mergeCell ref="M151:P151"/>
    <mergeCell ref="Q151:T151"/>
    <mergeCell ref="G157:I157"/>
    <mergeCell ref="J150:L150"/>
    <mergeCell ref="J152:L152"/>
    <mergeCell ref="A150:F150"/>
    <mergeCell ref="A152:F152"/>
    <mergeCell ref="A153:F153"/>
    <mergeCell ref="A154:F154"/>
    <mergeCell ref="A155:F155"/>
    <mergeCell ref="J157:L157"/>
    <mergeCell ref="A157:F157"/>
    <mergeCell ref="G150:I150"/>
    <mergeCell ref="G152:I152"/>
    <mergeCell ref="G153:I153"/>
    <mergeCell ref="G154:I154"/>
    <mergeCell ref="A156:F156"/>
    <mergeCell ref="G155:I155"/>
  </mergeCells>
  <conditionalFormatting sqref="A154:T154">
    <cfRule type="expression" dxfId="112" priority="7" stopIfTrue="1">
      <formula>$A$154&lt;&gt;0</formula>
    </cfRule>
    <cfRule type="expression" dxfId="111" priority="8" stopIfTrue="1">
      <formula>$A$154=0</formula>
    </cfRule>
  </conditionalFormatting>
  <conditionalFormatting sqref="A155:T155">
    <cfRule type="expression" dxfId="110" priority="5" stopIfTrue="1">
      <formula>$A$155&lt;&gt;0</formula>
    </cfRule>
    <cfRule type="expression" dxfId="109" priority="6" stopIfTrue="1">
      <formula>$A$155=0</formula>
    </cfRule>
  </conditionalFormatting>
  <conditionalFormatting sqref="A156:T156">
    <cfRule type="expression" dxfId="108" priority="3" stopIfTrue="1">
      <formula>$A$156&lt;&gt;0</formula>
    </cfRule>
    <cfRule type="expression" dxfId="107" priority="4" stopIfTrue="1">
      <formula>$A$156=0</formula>
    </cfRule>
  </conditionalFormatting>
  <conditionalFormatting sqref="A157:T157">
    <cfRule type="expression" dxfId="106" priority="1" stopIfTrue="1">
      <formula>$A$157&lt;&gt;0</formula>
    </cfRule>
    <cfRule type="expression" dxfId="105" priority="2" stopIfTrue="1">
      <formula>$A$157=0</formula>
    </cfRule>
  </conditionalFormatting>
  <pageMargins left="0.62992125984251968" right="0.62992125984251968" top="0.35433070866141736" bottom="0.35433070866141736" header="0.31496062992125984" footer="0.31496062992125984"/>
  <pageSetup paperSize="9" orientation="portrait" r:id="rId1"/>
  <ignoredErrors>
    <ignoredError sqref="A118" numberStoredAsText="1"/>
  </ignoredErrors>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3"/>
  <dimension ref="A1:AB322"/>
  <sheetViews>
    <sheetView topLeftCell="A28" zoomScaleNormal="100" workbookViewId="0">
      <selection activeCell="AB27" sqref="AB27"/>
    </sheetView>
  </sheetViews>
  <sheetFormatPr defaultRowHeight="12.75"/>
  <cols>
    <col min="1" max="4" width="4.42578125" customWidth="1"/>
    <col min="5" max="5" width="6.42578125" customWidth="1"/>
    <col min="6" max="20" width="4.42578125" customWidth="1"/>
    <col min="21" max="24" width="5" customWidth="1"/>
  </cols>
  <sheetData>
    <row r="1" spans="1:20" ht="12" customHeight="1"/>
    <row r="6" spans="1:20" ht="12.75" customHeight="1">
      <c r="A6" s="1109" t="s">
        <v>1173</v>
      </c>
      <c r="B6" s="1109"/>
      <c r="C6" s="1109"/>
      <c r="D6" s="1109"/>
      <c r="E6" s="1109"/>
      <c r="F6" s="1109"/>
      <c r="G6" s="1109"/>
      <c r="H6" s="1109"/>
      <c r="I6" s="1109"/>
      <c r="J6" s="1109"/>
      <c r="K6" s="1109"/>
      <c r="L6" s="1109"/>
      <c r="M6" s="1109"/>
      <c r="N6" s="1109"/>
      <c r="O6" s="1109"/>
      <c r="P6" s="1109"/>
      <c r="Q6" s="1109"/>
      <c r="R6" s="1109"/>
      <c r="S6" s="1109"/>
      <c r="T6" s="1109"/>
    </row>
    <row r="7" spans="1:20">
      <c r="A7" s="1110" t="s">
        <v>340</v>
      </c>
      <c r="B7" s="1110"/>
      <c r="C7" s="1110"/>
      <c r="D7" s="1110"/>
      <c r="E7" s="1110"/>
      <c r="F7" s="1110"/>
      <c r="G7" s="1110"/>
      <c r="H7" s="1110"/>
      <c r="I7" s="1110"/>
      <c r="J7" s="1110"/>
      <c r="K7" s="1110"/>
      <c r="L7" s="1110"/>
      <c r="M7" s="1110"/>
      <c r="N7" s="1110"/>
      <c r="O7" s="1110"/>
      <c r="P7" s="1110"/>
      <c r="Q7" s="1110"/>
      <c r="R7" s="1110"/>
      <c r="S7" s="1110"/>
      <c r="T7" s="1110"/>
    </row>
    <row r="8" spans="1:20">
      <c r="A8" s="1111" t="s">
        <v>341</v>
      </c>
      <c r="B8" s="1111"/>
      <c r="C8" s="1111"/>
      <c r="D8" s="1111"/>
      <c r="E8" s="1111"/>
      <c r="F8" s="1111"/>
      <c r="G8" s="1111"/>
      <c r="H8" s="1111"/>
      <c r="I8" s="1111"/>
      <c r="J8" s="1111"/>
      <c r="K8" s="1111"/>
      <c r="L8" s="1111"/>
      <c r="M8" s="1111"/>
      <c r="N8" s="1111"/>
      <c r="O8" s="1111"/>
      <c r="P8" s="1111"/>
      <c r="Q8" s="1111"/>
      <c r="R8" s="1111"/>
      <c r="S8" s="1111"/>
      <c r="T8" s="1111"/>
    </row>
    <row r="9" spans="1:20" ht="21.75" customHeight="1">
      <c r="A9" s="1112" t="s">
        <v>1175</v>
      </c>
      <c r="B9" s="1113"/>
      <c r="C9" s="1113"/>
      <c r="D9" s="1113"/>
      <c r="E9" s="1113"/>
      <c r="F9" s="1113"/>
      <c r="G9" s="1113"/>
      <c r="H9" s="1113"/>
      <c r="I9" s="1113"/>
      <c r="J9" s="1113"/>
      <c r="K9" s="1113"/>
      <c r="L9" s="1113"/>
      <c r="M9" s="1113"/>
      <c r="N9" s="1113"/>
      <c r="O9" s="1113"/>
      <c r="P9" s="1113"/>
      <c r="Q9" s="1113"/>
      <c r="R9" s="1113"/>
      <c r="S9" s="1113"/>
      <c r="T9" s="1113"/>
    </row>
    <row r="10" spans="1:20" ht="22.5" customHeight="1">
      <c r="A10" s="91"/>
      <c r="B10" s="91"/>
      <c r="C10" s="91"/>
      <c r="D10" s="91"/>
      <c r="E10" s="91"/>
      <c r="F10" s="91"/>
      <c r="G10" s="91"/>
      <c r="H10" s="91"/>
      <c r="I10" s="91"/>
      <c r="J10" s="92"/>
      <c r="K10" s="467"/>
      <c r="L10" s="91"/>
      <c r="M10" s="91"/>
      <c r="N10" s="94"/>
      <c r="O10" s="91"/>
      <c r="P10" s="91"/>
      <c r="T10" s="220" t="s">
        <v>648</v>
      </c>
    </row>
    <row r="11" spans="1:20" ht="15.75">
      <c r="A11" s="91"/>
      <c r="B11" s="91"/>
      <c r="C11" s="91"/>
      <c r="D11" s="91"/>
      <c r="E11" s="91"/>
      <c r="F11" s="91"/>
      <c r="G11" s="91"/>
      <c r="H11" s="91"/>
      <c r="I11" s="91"/>
      <c r="J11" s="91"/>
      <c r="K11" s="91"/>
      <c r="L11" s="91"/>
      <c r="M11" s="91"/>
      <c r="N11" s="94"/>
      <c r="O11" s="91"/>
      <c r="P11" s="91"/>
      <c r="T11" s="220" t="str">
        <f xml:space="preserve"> Client!B4</f>
        <v>None</v>
      </c>
    </row>
    <row r="12" spans="1:20" ht="15.75">
      <c r="A12" s="91"/>
      <c r="B12" s="91"/>
      <c r="C12" s="91"/>
      <c r="D12" s="91"/>
      <c r="E12" s="91"/>
      <c r="F12" s="91"/>
      <c r="G12" s="91"/>
      <c r="H12" s="91"/>
      <c r="I12" s="91"/>
      <c r="J12" s="91"/>
      <c r="K12" s="91"/>
      <c r="L12" s="91"/>
      <c r="M12" s="91"/>
      <c r="N12" s="91"/>
      <c r="O12" s="91"/>
      <c r="P12" s="91"/>
      <c r="Q12" s="91"/>
      <c r="R12" s="96"/>
      <c r="S12" s="96"/>
      <c r="T12" s="95" t="str">
        <f>Client!B5&amp;"/"&amp;TEXT(Client!B13,"00")</f>
        <v>CAL11957/01</v>
      </c>
    </row>
    <row r="13" spans="1:20" ht="15">
      <c r="A13" s="91"/>
      <c r="B13" s="91"/>
      <c r="C13" s="91"/>
      <c r="D13" s="91"/>
      <c r="E13" s="91"/>
      <c r="F13" s="91"/>
      <c r="G13" s="91"/>
      <c r="H13" s="91"/>
      <c r="I13" s="91"/>
      <c r="J13" s="91"/>
      <c r="K13" s="91"/>
      <c r="L13" s="91"/>
      <c r="M13" s="91"/>
      <c r="N13" s="91"/>
      <c r="O13" s="91"/>
      <c r="P13" s="91"/>
      <c r="Q13" s="91"/>
      <c r="R13" s="96"/>
      <c r="S13" s="96"/>
    </row>
    <row r="14" spans="1:20" ht="18.75">
      <c r="A14" s="1114" t="s">
        <v>342</v>
      </c>
      <c r="B14" s="1114"/>
      <c r="C14" s="1114"/>
      <c r="D14" s="1114"/>
      <c r="E14" s="1114"/>
      <c r="F14" s="1114"/>
      <c r="G14" s="1114"/>
      <c r="H14" s="1114"/>
      <c r="I14" s="1114"/>
      <c r="J14" s="1114"/>
      <c r="K14" s="1114"/>
      <c r="L14" s="1114"/>
      <c r="M14" s="1114"/>
      <c r="N14" s="1114"/>
      <c r="O14" s="1114"/>
      <c r="P14" s="1114"/>
      <c r="Q14" s="1114"/>
      <c r="R14" s="1114"/>
      <c r="S14" s="1114"/>
      <c r="T14" s="1114"/>
    </row>
    <row r="15" spans="1:20" ht="15" customHeight="1">
      <c r="A15" s="1142" t="s">
        <v>1119</v>
      </c>
      <c r="B15" s="1142"/>
      <c r="C15" s="1142"/>
      <c r="D15" s="1142"/>
      <c r="E15" s="1142"/>
      <c r="F15" s="1142"/>
      <c r="G15" s="1142"/>
      <c r="H15" s="1142"/>
      <c r="I15" s="1142"/>
      <c r="J15" s="1142"/>
      <c r="K15" s="1142"/>
      <c r="L15" s="1142"/>
      <c r="M15" s="1142"/>
      <c r="N15" s="1142"/>
      <c r="O15" s="1142"/>
      <c r="P15" s="1142"/>
      <c r="Q15" s="1142"/>
      <c r="R15" s="1142"/>
      <c r="S15" s="1142"/>
      <c r="T15" s="1142"/>
    </row>
    <row r="16" spans="1:20" ht="15" customHeight="1">
      <c r="A16" s="1143" t="str">
        <f>IF(Elec!Q8="No","NOT THIS REPORT - SEE 'ElecReport' for 1 CHANNEL REPORT","")</f>
        <v>NOT THIS REPORT - SEE 'ElecReport' for 1 CHANNEL REPORT</v>
      </c>
      <c r="B16" s="1143"/>
      <c r="C16" s="1143"/>
      <c r="D16" s="1143"/>
      <c r="E16" s="1143"/>
      <c r="F16" s="1143"/>
      <c r="G16" s="1143"/>
      <c r="H16" s="1143"/>
      <c r="I16" s="1143"/>
      <c r="J16" s="1143"/>
      <c r="K16" s="1143"/>
      <c r="L16" s="1143"/>
      <c r="M16" s="1143"/>
      <c r="N16" s="1143"/>
      <c r="O16" s="1143"/>
      <c r="P16" s="1143"/>
      <c r="Q16" s="1143"/>
      <c r="R16" s="1143"/>
      <c r="S16" s="1143"/>
      <c r="T16" s="1143"/>
    </row>
    <row r="17" spans="1:20" ht="15">
      <c r="A17" s="91"/>
      <c r="B17" s="91"/>
      <c r="C17" s="91"/>
      <c r="D17" s="91"/>
      <c r="E17" s="91"/>
      <c r="F17" s="91"/>
      <c r="G17" s="91"/>
      <c r="H17" s="91"/>
      <c r="I17" s="91"/>
      <c r="J17" s="91"/>
      <c r="K17" s="91"/>
      <c r="L17" s="91"/>
      <c r="M17" s="91"/>
      <c r="N17" s="91"/>
      <c r="O17" s="91"/>
      <c r="P17" s="91"/>
      <c r="Q17" s="91"/>
      <c r="R17" s="96"/>
      <c r="S17" s="96"/>
    </row>
    <row r="18" spans="1:20" ht="15.75">
      <c r="A18" s="98" t="s">
        <v>2</v>
      </c>
      <c r="B18" s="99"/>
      <c r="C18" s="99"/>
      <c r="D18" s="99"/>
      <c r="E18" s="99"/>
      <c r="F18" s="99"/>
      <c r="G18" s="100" t="str">
        <f>Client!B6</f>
        <v>De-identified for distribution</v>
      </c>
      <c r="H18" s="99"/>
      <c r="I18" s="99"/>
      <c r="J18" s="99"/>
      <c r="K18" s="99"/>
      <c r="L18" s="99"/>
      <c r="M18" s="99"/>
      <c r="N18" s="99"/>
      <c r="O18" s="99"/>
      <c r="P18" s="99"/>
      <c r="Q18" s="91"/>
      <c r="R18" s="96"/>
      <c r="S18" s="96"/>
    </row>
    <row r="19" spans="1:20" ht="15.75">
      <c r="A19" s="98"/>
      <c r="B19" s="99"/>
      <c r="C19" s="99"/>
      <c r="D19" s="99"/>
      <c r="E19" s="99"/>
      <c r="F19" s="99"/>
      <c r="G19" s="100" t="str">
        <f>Client!B7</f>
        <v>100 Street Name</v>
      </c>
      <c r="H19" s="99"/>
      <c r="I19" s="99"/>
      <c r="J19" s="99"/>
      <c r="K19" s="99"/>
      <c r="L19" s="99"/>
      <c r="M19" s="99"/>
      <c r="N19" s="99"/>
      <c r="O19" s="99"/>
      <c r="P19" s="99"/>
      <c r="Q19" s="91"/>
      <c r="R19" s="96"/>
      <c r="S19" s="96"/>
    </row>
    <row r="20" spans="1:20" ht="15.75">
      <c r="A20" s="98"/>
      <c r="B20" s="99"/>
      <c r="C20" s="99"/>
      <c r="D20" s="99"/>
      <c r="E20" s="99"/>
      <c r="F20" s="99"/>
      <c r="G20" s="100" t="str">
        <f>Client!B8</f>
        <v>Suburb 2000 NSW</v>
      </c>
      <c r="H20" s="99"/>
      <c r="I20" s="99"/>
      <c r="J20" s="99"/>
      <c r="K20" s="99"/>
      <c r="L20" s="99"/>
      <c r="M20" s="99"/>
      <c r="N20" s="99"/>
      <c r="O20" s="99"/>
      <c r="P20" s="99"/>
      <c r="Q20" s="91"/>
      <c r="R20" s="96"/>
      <c r="S20" s="96"/>
    </row>
    <row r="21" spans="1:20" ht="15.75">
      <c r="A21" s="98"/>
      <c r="B21" s="99"/>
      <c r="C21" s="99"/>
      <c r="D21" s="99"/>
      <c r="E21" s="99"/>
      <c r="F21" s="99"/>
      <c r="G21" s="99" t="str">
        <f>IF(Client!B9="","",Client!B9)</f>
        <v/>
      </c>
      <c r="H21" s="99"/>
      <c r="I21" s="99"/>
      <c r="J21" s="99"/>
      <c r="K21" s="99"/>
      <c r="L21" s="99"/>
      <c r="M21" s="99"/>
      <c r="N21" s="99"/>
      <c r="O21" s="99"/>
      <c r="P21" s="99"/>
      <c r="Q21" s="91"/>
      <c r="R21" s="96"/>
      <c r="S21" s="96"/>
    </row>
    <row r="22" spans="1:20" ht="15.75">
      <c r="A22" s="98"/>
      <c r="B22" s="99"/>
      <c r="C22" s="99"/>
      <c r="D22" s="99"/>
      <c r="E22" s="99"/>
      <c r="F22" s="99"/>
      <c r="G22" s="99"/>
      <c r="H22" s="99"/>
      <c r="I22" s="99"/>
      <c r="J22" s="99"/>
      <c r="K22" s="99"/>
      <c r="L22" s="99"/>
      <c r="M22" s="99"/>
      <c r="N22" s="99"/>
      <c r="O22" s="99"/>
      <c r="P22" s="99"/>
      <c r="Q22" s="91"/>
      <c r="R22" s="96"/>
      <c r="S22" s="96"/>
    </row>
    <row r="23" spans="1:20" ht="15.75">
      <c r="A23" s="98" t="s">
        <v>107</v>
      </c>
      <c r="B23" s="99"/>
      <c r="C23" s="99"/>
      <c r="D23" s="99"/>
      <c r="E23" s="99"/>
      <c r="F23" s="99"/>
      <c r="G23" s="99" t="str">
        <f>Client!B16&amp;", serial number " &amp;Client!B17</f>
        <v xml:space="preserve">, serial number </v>
      </c>
      <c r="H23" s="99"/>
      <c r="I23" s="99"/>
      <c r="J23" s="99"/>
      <c r="K23" s="99"/>
      <c r="L23" s="99"/>
      <c r="M23" s="99"/>
      <c r="N23" s="99"/>
      <c r="O23" s="99"/>
      <c r="P23" s="99"/>
      <c r="Q23" s="91"/>
      <c r="R23" s="96"/>
      <c r="S23" s="96"/>
    </row>
    <row r="24" spans="1:20" ht="15.75">
      <c r="A24" s="98"/>
      <c r="B24" s="99"/>
      <c r="C24" s="99"/>
      <c r="D24" s="99"/>
      <c r="E24" s="99"/>
      <c r="F24" s="99"/>
      <c r="G24" s="99"/>
      <c r="H24" s="99"/>
      <c r="I24" s="99"/>
      <c r="J24" s="99"/>
      <c r="K24" s="99"/>
      <c r="L24" s="99"/>
      <c r="M24" s="99"/>
      <c r="N24" s="99"/>
      <c r="O24" s="99"/>
      <c r="P24" s="99"/>
      <c r="Q24" s="91"/>
      <c r="R24" s="96"/>
      <c r="S24" s="96"/>
    </row>
    <row r="25" spans="1:20" ht="15.75">
      <c r="A25" s="98" t="s">
        <v>334</v>
      </c>
      <c r="B25" s="99"/>
      <c r="C25" s="99"/>
      <c r="D25" s="99"/>
      <c r="E25" s="99"/>
      <c r="F25" s="99"/>
      <c r="G25" s="99" t="str" cm="1">
        <f t="array" ref="G25">make_Date_range(Client!B15,Client!C15)</f>
        <v>0</v>
      </c>
      <c r="H25" s="99"/>
      <c r="I25" s="99"/>
      <c r="J25" s="99"/>
      <c r="K25" s="99"/>
      <c r="L25" s="99"/>
      <c r="M25" s="99"/>
      <c r="N25" s="99"/>
      <c r="O25" s="99"/>
      <c r="P25" s="99"/>
      <c r="Q25" s="91"/>
      <c r="R25" s="96"/>
      <c r="S25" s="96"/>
    </row>
    <row r="26" spans="1:20" ht="15.75">
      <c r="A26" s="98"/>
      <c r="B26" s="99"/>
      <c r="C26" s="99"/>
      <c r="D26" s="99"/>
      <c r="E26" s="99"/>
      <c r="F26" s="99"/>
      <c r="G26" s="99"/>
      <c r="H26" s="99"/>
      <c r="I26" s="99"/>
      <c r="J26" s="99"/>
      <c r="K26" s="99"/>
      <c r="L26" s="99"/>
      <c r="M26" s="99"/>
      <c r="N26" s="99"/>
      <c r="O26" s="99"/>
      <c r="P26" s="99"/>
      <c r="Q26" s="91"/>
      <c r="R26" s="96"/>
      <c r="S26" s="96"/>
    </row>
    <row r="27" spans="1:20" ht="15.75" customHeight="1">
      <c r="A27" s="98" t="s">
        <v>71</v>
      </c>
      <c r="B27" s="99"/>
      <c r="C27" s="99"/>
      <c r="D27" s="99"/>
      <c r="E27" s="99"/>
      <c r="F27" s="99"/>
      <c r="G27" s="100">
        <f>Client!B22</f>
        <v>0</v>
      </c>
      <c r="H27" s="99"/>
      <c r="I27" s="99"/>
      <c r="J27" s="97"/>
      <c r="K27" s="99"/>
      <c r="L27" s="99"/>
      <c r="M27" s="99"/>
      <c r="N27" s="99"/>
      <c r="O27" s="99"/>
      <c r="P27" s="99"/>
      <c r="R27" s="96"/>
      <c r="S27" s="96"/>
    </row>
    <row r="28" spans="1:20" ht="15.75">
      <c r="A28" s="98"/>
      <c r="B28" s="99"/>
      <c r="C28" s="99"/>
      <c r="D28" s="99"/>
      <c r="E28" s="99"/>
      <c r="F28" s="99"/>
      <c r="G28" s="99"/>
      <c r="H28" s="99"/>
      <c r="I28" s="99"/>
      <c r="J28" s="99"/>
      <c r="K28" s="99"/>
      <c r="L28" s="99"/>
      <c r="M28" s="99"/>
      <c r="N28" s="99"/>
      <c r="O28" s="99"/>
      <c r="P28" s="99"/>
      <c r="R28" s="96"/>
      <c r="S28" s="96"/>
    </row>
    <row r="29" spans="1:20" ht="15.75">
      <c r="A29" s="98" t="str">
        <f>IF(Client!L24,"Test and report by","Test by")</f>
        <v>Test and report by</v>
      </c>
      <c r="B29" s="99"/>
      <c r="C29" s="99"/>
      <c r="D29" s="99"/>
      <c r="E29" s="99"/>
      <c r="F29" s="99"/>
      <c r="G29" s="100">
        <f>Client!B23</f>
        <v>0</v>
      </c>
      <c r="H29" s="99"/>
      <c r="I29" s="99"/>
      <c r="J29" s="99"/>
      <c r="K29" s="99"/>
      <c r="L29" s="99"/>
      <c r="M29" s="99"/>
      <c r="N29" s="99"/>
      <c r="O29" s="99"/>
      <c r="P29" s="99"/>
      <c r="R29" s="96"/>
      <c r="S29" s="96"/>
      <c r="T29" s="1147" t="str">
        <f>Intro!D4&amp;" "&amp;Intro!D5</f>
        <v>IRC-FORM-2100J (ARPANSA-FORM-1856) 23-Production</v>
      </c>
    </row>
    <row r="30" spans="1:20" ht="15.75" customHeight="1">
      <c r="A30" s="98" t="str">
        <f>IF(Client!L24,"","Report by")</f>
        <v/>
      </c>
      <c r="B30" s="99"/>
      <c r="C30" s="99"/>
      <c r="D30" s="99"/>
      <c r="E30" s="99"/>
      <c r="F30" s="99"/>
      <c r="G30" s="99" t="str">
        <f>IF(Client!L24,"",Client!B24)</f>
        <v/>
      </c>
      <c r="H30" s="99"/>
      <c r="I30" s="99"/>
      <c r="J30" s="99"/>
      <c r="K30" s="99"/>
      <c r="L30" s="99"/>
      <c r="M30" s="99"/>
      <c r="N30" s="99"/>
      <c r="O30" s="99"/>
      <c r="P30" s="99"/>
      <c r="R30" s="96"/>
      <c r="S30" s="96"/>
      <c r="T30" s="1147"/>
    </row>
    <row r="31" spans="1:20" ht="15.75">
      <c r="A31" s="98" t="s">
        <v>333</v>
      </c>
      <c r="B31" s="99"/>
      <c r="C31" s="99"/>
      <c r="D31" s="99"/>
      <c r="E31" s="99"/>
      <c r="F31" s="99"/>
      <c r="G31" s="99" t="str" cm="1">
        <f t="array" ref="G31">date_to_text(Client!B14)</f>
        <v>0</v>
      </c>
      <c r="H31" s="99"/>
      <c r="I31" s="99"/>
      <c r="J31" s="99"/>
      <c r="K31" s="99"/>
      <c r="L31" s="99"/>
      <c r="M31" s="99"/>
      <c r="N31" s="99"/>
      <c r="O31" s="99"/>
      <c r="P31" s="99"/>
      <c r="R31" s="96"/>
      <c r="S31" s="96"/>
      <c r="T31" s="1147"/>
    </row>
    <row r="32" spans="1:20" ht="15.75">
      <c r="A32" s="98"/>
      <c r="B32" s="99"/>
      <c r="C32" s="99"/>
      <c r="D32" s="99"/>
      <c r="E32" s="99"/>
      <c r="F32" s="99"/>
      <c r="G32" s="100"/>
      <c r="H32" s="99"/>
      <c r="I32" s="99"/>
      <c r="J32" s="99"/>
      <c r="K32" s="99"/>
      <c r="L32" s="99"/>
      <c r="M32" s="99"/>
      <c r="N32" s="99"/>
      <c r="O32" s="99"/>
      <c r="P32" s="99"/>
      <c r="R32" s="96"/>
      <c r="S32" s="96"/>
      <c r="T32" s="1147"/>
    </row>
    <row r="33" spans="1:20" ht="15.75">
      <c r="A33" s="98"/>
      <c r="B33" s="99"/>
      <c r="C33" s="99"/>
      <c r="D33" s="99"/>
      <c r="E33" s="99"/>
      <c r="F33" s="99"/>
      <c r="G33" s="100"/>
      <c r="H33" s="99"/>
      <c r="I33" s="99"/>
      <c r="J33" s="99"/>
      <c r="K33" s="99"/>
      <c r="L33" s="99"/>
      <c r="M33" s="99"/>
      <c r="N33" s="99"/>
      <c r="O33" s="99"/>
      <c r="P33" s="99"/>
      <c r="R33" s="96"/>
      <c r="S33" s="96"/>
      <c r="T33" s="1147"/>
    </row>
    <row r="34" spans="1:20" ht="15.75">
      <c r="A34" s="98"/>
      <c r="B34" s="99"/>
      <c r="C34" s="99"/>
      <c r="D34" s="99"/>
      <c r="E34" s="99"/>
      <c r="F34" s="99"/>
      <c r="G34" s="99"/>
      <c r="H34" s="99"/>
      <c r="I34" s="99"/>
      <c r="J34" s="99"/>
      <c r="K34" s="99"/>
      <c r="L34" s="99"/>
      <c r="M34" s="99"/>
      <c r="N34" s="99"/>
      <c r="O34" s="99"/>
      <c r="P34" s="99"/>
      <c r="R34" s="96"/>
      <c r="S34" s="96"/>
      <c r="T34" s="1147"/>
    </row>
    <row r="35" spans="1:20" ht="15.75">
      <c r="A35" s="99" t="s">
        <v>343</v>
      </c>
      <c r="B35" s="99"/>
      <c r="C35" s="99"/>
      <c r="D35" s="99"/>
      <c r="E35" s="99"/>
      <c r="F35" s="99"/>
      <c r="G35" s="99" t="s">
        <v>344</v>
      </c>
      <c r="H35" s="99"/>
      <c r="I35" s="99"/>
      <c r="J35" s="99"/>
      <c r="K35" s="99"/>
      <c r="L35" s="99"/>
      <c r="M35" s="99"/>
      <c r="N35" s="99"/>
      <c r="O35" s="99"/>
      <c r="P35" s="99"/>
      <c r="R35" s="96"/>
      <c r="S35" s="96"/>
      <c r="T35" s="1147"/>
    </row>
    <row r="36" spans="1:20" ht="15.75">
      <c r="A36" s="98" t="s">
        <v>345</v>
      </c>
      <c r="B36" s="99"/>
      <c r="C36" s="99"/>
      <c r="D36" s="99"/>
      <c r="E36" s="99"/>
      <c r="F36" s="99"/>
      <c r="G36" s="221" t="s">
        <v>1176</v>
      </c>
      <c r="H36" s="99"/>
      <c r="I36" s="99"/>
      <c r="J36" s="99"/>
      <c r="K36" s="99"/>
      <c r="L36" s="99"/>
      <c r="M36" s="99"/>
      <c r="N36" s="99"/>
      <c r="O36" s="99"/>
      <c r="P36" s="99"/>
      <c r="R36" s="96"/>
      <c r="S36" s="96"/>
      <c r="T36" s="1147"/>
    </row>
    <row r="37" spans="1:20" ht="15.75" customHeight="1">
      <c r="A37" s="99"/>
      <c r="B37" s="99"/>
      <c r="C37" s="99"/>
      <c r="D37" s="99"/>
      <c r="E37" s="99"/>
      <c r="F37" s="99"/>
      <c r="G37" s="99"/>
      <c r="H37" s="99"/>
      <c r="I37" s="99"/>
      <c r="J37" s="99"/>
      <c r="K37" s="99"/>
      <c r="L37" s="99"/>
      <c r="M37" s="99"/>
      <c r="N37" s="99"/>
      <c r="O37" s="99"/>
      <c r="P37" s="99"/>
      <c r="R37" s="96"/>
      <c r="S37" s="96"/>
      <c r="T37" s="1147"/>
    </row>
    <row r="38" spans="1:20" ht="27.75" customHeight="1">
      <c r="A38" s="99"/>
      <c r="B38" s="99"/>
      <c r="C38" s="99"/>
      <c r="D38" s="99"/>
      <c r="E38" s="99"/>
      <c r="F38" s="99"/>
      <c r="G38" s="99"/>
      <c r="H38" s="99"/>
      <c r="I38" s="99"/>
      <c r="J38" s="99"/>
      <c r="K38" s="99"/>
      <c r="L38" s="99"/>
      <c r="M38" s="99"/>
      <c r="N38" s="99"/>
      <c r="O38" s="99"/>
      <c r="P38" s="99"/>
      <c r="Q38" s="91"/>
      <c r="R38" s="96"/>
      <c r="S38" s="96"/>
      <c r="T38" s="1147"/>
    </row>
    <row r="39" spans="1:20" ht="15.75">
      <c r="A39" s="99" t="s">
        <v>346</v>
      </c>
      <c r="B39" s="99"/>
      <c r="C39" s="101"/>
      <c r="D39" s="101"/>
      <c r="E39" s="101"/>
      <c r="F39" s="101"/>
      <c r="G39" s="101"/>
      <c r="H39" s="102" t="s">
        <v>347</v>
      </c>
      <c r="I39" s="99"/>
      <c r="J39" s="99"/>
      <c r="K39" s="99"/>
      <c r="L39" s="99"/>
      <c r="N39" s="95" t="s">
        <v>348</v>
      </c>
      <c r="O39" s="1146"/>
      <c r="P39" s="1146"/>
      <c r="Q39" s="1146"/>
      <c r="R39" s="1146"/>
      <c r="S39" s="91"/>
      <c r="T39" s="1147"/>
    </row>
    <row r="40" spans="1:20" ht="15.75">
      <c r="A40" s="99"/>
      <c r="B40" s="99"/>
      <c r="C40" s="99"/>
      <c r="D40" s="99"/>
      <c r="E40" s="99"/>
      <c r="F40" s="99"/>
      <c r="G40" s="99"/>
      <c r="H40" s="99"/>
      <c r="I40" s="99"/>
      <c r="J40" s="99"/>
      <c r="K40" s="99"/>
      <c r="L40" s="99"/>
      <c r="M40" s="99"/>
      <c r="N40" s="99"/>
      <c r="O40" s="99"/>
      <c r="P40" s="99"/>
      <c r="Q40" s="91"/>
      <c r="R40" s="96"/>
      <c r="S40" s="96"/>
      <c r="T40" s="1147"/>
    </row>
    <row r="41" spans="1:20" ht="15.75">
      <c r="A41" s="100">
        <f>Client!B25</f>
        <v>0</v>
      </c>
      <c r="B41" s="99"/>
      <c r="C41" s="99"/>
      <c r="D41" s="99"/>
      <c r="E41" s="99"/>
      <c r="F41" s="99"/>
      <c r="G41" s="99"/>
      <c r="H41" s="99"/>
      <c r="I41" s="99"/>
      <c r="J41" s="99"/>
      <c r="K41" s="99"/>
      <c r="L41" s="99"/>
      <c r="M41" s="99"/>
      <c r="N41" s="99"/>
      <c r="O41" s="99"/>
      <c r="P41" s="99"/>
      <c r="Q41" s="91"/>
      <c r="R41" s="96"/>
      <c r="S41" s="96"/>
      <c r="T41" s="1147"/>
    </row>
    <row r="42" spans="1:20" ht="15.75">
      <c r="A42" s="99" t="s">
        <v>349</v>
      </c>
      <c r="B42" s="99"/>
      <c r="C42" s="99"/>
      <c r="D42" s="99"/>
      <c r="E42" s="99"/>
      <c r="F42" s="99"/>
      <c r="G42" s="99"/>
      <c r="H42" s="99"/>
      <c r="I42" s="99"/>
      <c r="J42" s="99"/>
      <c r="K42" s="99"/>
      <c r="L42" s="99"/>
      <c r="M42" s="99"/>
      <c r="N42" s="99"/>
      <c r="O42" s="99"/>
      <c r="P42" s="99"/>
      <c r="Q42" s="91"/>
      <c r="R42" s="96"/>
      <c r="S42" s="96"/>
    </row>
    <row r="43" spans="1:20" ht="15">
      <c r="A43" s="96"/>
      <c r="B43" s="96"/>
      <c r="C43" s="96"/>
      <c r="D43" s="96"/>
      <c r="E43" s="96"/>
      <c r="F43" s="96"/>
      <c r="G43" s="96"/>
      <c r="H43" s="96"/>
      <c r="I43" s="96"/>
      <c r="J43" s="96"/>
      <c r="K43" s="96"/>
      <c r="L43" s="96"/>
      <c r="M43" s="96"/>
      <c r="N43" s="96"/>
      <c r="O43" s="96"/>
      <c r="P43" s="96"/>
      <c r="Q43" s="96"/>
      <c r="R43" s="96"/>
      <c r="S43" s="96"/>
    </row>
    <row r="46" spans="1:20" ht="15">
      <c r="M46" s="103"/>
    </row>
    <row r="47" spans="1:20" ht="9.9499999999999993" customHeight="1"/>
    <row r="48" spans="1:20" ht="8.1" customHeight="1">
      <c r="N48" s="104" t="s">
        <v>350</v>
      </c>
    </row>
    <row r="49" spans="1:20" ht="8.1" customHeight="1">
      <c r="N49" s="104" t="s">
        <v>351</v>
      </c>
    </row>
    <row r="50" spans="1:20" ht="8.1" customHeight="1">
      <c r="E50" s="105" t="s">
        <v>1058</v>
      </c>
      <c r="N50" s="104" t="s">
        <v>352</v>
      </c>
    </row>
    <row r="51" spans="1:20" ht="8.1" customHeight="1">
      <c r="E51" s="105" t="s">
        <v>353</v>
      </c>
      <c r="N51" s="104" t="s">
        <v>354</v>
      </c>
    </row>
    <row r="52" spans="1:20" ht="8.1" customHeight="1">
      <c r="C52" s="105"/>
      <c r="E52" s="105" t="s">
        <v>355</v>
      </c>
      <c r="N52" s="104" t="s">
        <v>356</v>
      </c>
    </row>
    <row r="53" spans="1:20" ht="8.1" customHeight="1">
      <c r="E53" s="105" t="s">
        <v>357</v>
      </c>
      <c r="N53" s="104" t="s">
        <v>358</v>
      </c>
    </row>
    <row r="54" spans="1:20" ht="13.5" customHeight="1">
      <c r="E54" s="106" t="s">
        <v>1238</v>
      </c>
      <c r="N54" s="107" t="s">
        <v>359</v>
      </c>
    </row>
    <row r="55" spans="1:20" ht="10.5" customHeight="1"/>
    <row r="56" spans="1:20">
      <c r="A56" s="420" t="str">
        <f>"Calibration No.: "&amp;$T$12</f>
        <v>Calibration No.: CAL11957/01</v>
      </c>
      <c r="B56" s="421"/>
      <c r="C56" s="421"/>
      <c r="D56" s="421"/>
      <c r="E56" s="421"/>
      <c r="F56" s="421"/>
      <c r="G56" s="421"/>
      <c r="H56" s="421"/>
      <c r="I56" s="422" t="str">
        <f>$G$31</f>
        <v>0</v>
      </c>
      <c r="J56" s="421"/>
      <c r="K56" s="421"/>
      <c r="L56" s="421"/>
      <c r="M56" s="421"/>
      <c r="N56" s="420" t="s">
        <v>360</v>
      </c>
      <c r="O56" s="423"/>
      <c r="P56" s="423"/>
      <c r="Q56" s="423"/>
      <c r="R56" s="423"/>
      <c r="S56" s="423"/>
      <c r="T56" s="423" t="s">
        <v>1118</v>
      </c>
    </row>
    <row r="57" spans="1:20">
      <c r="A57" s="122"/>
      <c r="B57" s="120"/>
      <c r="C57" s="120"/>
      <c r="D57" s="120"/>
      <c r="E57" s="120"/>
      <c r="F57" s="120"/>
      <c r="G57" s="120"/>
      <c r="H57" s="120"/>
      <c r="I57" s="121"/>
      <c r="J57" s="120"/>
      <c r="K57" s="120"/>
      <c r="L57" s="120"/>
      <c r="M57" s="120"/>
      <c r="N57" s="122"/>
      <c r="O57" s="123"/>
      <c r="P57" s="123"/>
      <c r="Q57" s="123"/>
      <c r="R57" s="123"/>
      <c r="S57" s="123"/>
      <c r="T57" s="123"/>
    </row>
    <row r="58" spans="1:20">
      <c r="A58" s="122"/>
      <c r="B58" s="120"/>
      <c r="C58" s="120"/>
      <c r="D58" s="120"/>
      <c r="E58" s="120"/>
      <c r="F58" s="120"/>
      <c r="G58" s="120"/>
      <c r="H58" s="120"/>
      <c r="I58" s="121"/>
      <c r="J58" s="120"/>
      <c r="K58" s="120"/>
      <c r="L58" s="120"/>
      <c r="M58" s="120"/>
      <c r="N58" s="122"/>
      <c r="O58" s="123"/>
      <c r="P58" s="123"/>
      <c r="Q58" s="123"/>
      <c r="R58" s="123"/>
      <c r="S58" s="123"/>
      <c r="T58" s="123"/>
    </row>
    <row r="59" spans="1:20" ht="15.75">
      <c r="A59" s="1144" t="s">
        <v>361</v>
      </c>
      <c r="B59" s="1144"/>
      <c r="C59" s="1144"/>
      <c r="D59" s="1144"/>
      <c r="E59" s="1144"/>
      <c r="F59" s="1144"/>
      <c r="G59" s="1144"/>
      <c r="H59" s="1144"/>
      <c r="I59" s="1144"/>
      <c r="J59" s="1144"/>
      <c r="K59" s="1144"/>
      <c r="L59" s="1144"/>
      <c r="M59" s="1144"/>
      <c r="N59" s="1144"/>
      <c r="O59" s="1144"/>
      <c r="P59" s="1144"/>
      <c r="Q59" s="1144"/>
      <c r="R59" s="1144"/>
      <c r="S59" s="1144"/>
      <c r="T59" s="1144"/>
    </row>
    <row r="60" spans="1:20" ht="15.75">
      <c r="A60" s="109"/>
      <c r="B60" s="109"/>
      <c r="C60" s="109"/>
      <c r="D60" s="109"/>
      <c r="E60" s="109"/>
      <c r="F60" s="109"/>
      <c r="G60" s="109"/>
      <c r="H60" s="109"/>
      <c r="I60" s="109"/>
      <c r="J60" s="109"/>
      <c r="K60" s="109"/>
      <c r="L60" s="109"/>
      <c r="M60" s="109"/>
      <c r="N60" s="109"/>
      <c r="O60" s="108"/>
      <c r="P60" s="108"/>
      <c r="Q60" s="108"/>
    </row>
    <row r="61" spans="1:20" ht="15.75">
      <c r="A61" s="110" t="e">
        <f ca="1">Client!AD2&amp;" radiotherapy dosemeter"</f>
        <v>#N/A</v>
      </c>
      <c r="B61" s="109"/>
      <c r="C61" s="109"/>
      <c r="D61" s="109"/>
      <c r="E61" s="109"/>
      <c r="F61" s="109"/>
      <c r="G61" s="109"/>
      <c r="H61" s="109"/>
      <c r="I61" s="109"/>
      <c r="J61" s="109"/>
      <c r="K61" s="109"/>
      <c r="L61" s="109"/>
      <c r="M61" s="109"/>
      <c r="N61" s="109"/>
      <c r="O61" s="108"/>
      <c r="P61" s="108"/>
      <c r="Q61" s="108"/>
    </row>
    <row r="62" spans="1:20" ht="15.75">
      <c r="A62" s="111" t="s">
        <v>362</v>
      </c>
      <c r="B62" s="99" t="str">
        <f xml:space="preserve"> "Power source: "&amp;Client!B18&amp;"."</f>
        <v>Power source: .</v>
      </c>
      <c r="C62" s="109"/>
      <c r="D62" s="109"/>
      <c r="E62" s="109"/>
      <c r="F62" s="109"/>
      <c r="G62" s="109"/>
      <c r="H62" s="109"/>
      <c r="I62" s="109"/>
      <c r="J62" s="109"/>
      <c r="K62" s="109"/>
      <c r="L62" s="109"/>
      <c r="M62" s="109"/>
      <c r="N62" s="109"/>
      <c r="O62" s="108"/>
      <c r="P62" s="108"/>
      <c r="Q62" s="108"/>
    </row>
    <row r="63" spans="1:20" ht="15.75">
      <c r="A63" s="111"/>
      <c r="B63" s="109"/>
      <c r="C63" s="109"/>
      <c r="D63" s="109"/>
      <c r="E63" s="109"/>
      <c r="F63" s="109"/>
      <c r="G63" s="109"/>
      <c r="H63" s="109"/>
      <c r="I63" s="109"/>
      <c r="J63" s="109"/>
      <c r="K63" s="109"/>
      <c r="L63" s="109"/>
      <c r="M63" s="109"/>
      <c r="N63" s="109"/>
      <c r="O63" s="108"/>
      <c r="P63" s="108"/>
      <c r="Q63" s="108"/>
    </row>
    <row r="64" spans="1:20" ht="15.75">
      <c r="A64" s="110" t="s">
        <v>364</v>
      </c>
      <c r="B64" s="109"/>
      <c r="C64" s="109"/>
      <c r="D64" s="109"/>
      <c r="E64" s="109"/>
      <c r="F64" s="109"/>
      <c r="G64" s="109"/>
      <c r="H64" s="109"/>
      <c r="I64" s="109"/>
      <c r="J64" s="109"/>
      <c r="K64" s="109"/>
      <c r="L64" s="109"/>
      <c r="M64" s="109"/>
      <c r="N64" s="109"/>
      <c r="O64" s="108"/>
      <c r="P64" s="108"/>
      <c r="Q64" s="108"/>
    </row>
    <row r="65" spans="1:28" ht="15.75">
      <c r="A65" s="111" t="s">
        <v>362</v>
      </c>
      <c r="B65" s="109" t="s">
        <v>472</v>
      </c>
      <c r="C65" s="109"/>
      <c r="D65" s="109"/>
      <c r="E65" s="109"/>
      <c r="F65" s="109"/>
      <c r="G65" s="109"/>
      <c r="H65" s="109"/>
      <c r="I65" s="109"/>
      <c r="J65" s="109"/>
      <c r="K65" s="109"/>
      <c r="L65" s="109"/>
      <c r="M65" s="109"/>
      <c r="N65" s="109"/>
      <c r="O65" s="108"/>
      <c r="P65" s="108"/>
      <c r="Q65" s="108"/>
    </row>
    <row r="67" spans="1:28" ht="15.75">
      <c r="A67" s="110" t="s">
        <v>603</v>
      </c>
      <c r="B67" s="109"/>
      <c r="C67" s="109"/>
      <c r="D67" s="109"/>
      <c r="E67" s="109"/>
      <c r="F67" s="109"/>
      <c r="G67" s="109"/>
      <c r="H67" s="109"/>
      <c r="I67" s="109"/>
      <c r="J67" s="109"/>
      <c r="K67" s="109"/>
      <c r="L67" s="109"/>
      <c r="M67" s="109"/>
      <c r="N67" s="109"/>
      <c r="O67" s="108"/>
      <c r="P67" s="108"/>
      <c r="Q67" s="108"/>
    </row>
    <row r="68" spans="1:28" ht="15.75">
      <c r="A68" s="111" t="s">
        <v>362</v>
      </c>
      <c r="B68" s="99" t="str">
        <f>Client!AG14</f>
        <v>The desiccant was  in colour. It was not dried while at ARPANSA.</v>
      </c>
      <c r="C68" s="109"/>
      <c r="D68" s="109"/>
      <c r="E68" s="109"/>
      <c r="F68" s="109"/>
      <c r="G68" s="109"/>
      <c r="H68" s="109"/>
      <c r="I68" s="109"/>
      <c r="J68" s="109"/>
      <c r="K68" s="109"/>
      <c r="L68" s="109"/>
      <c r="M68" s="109"/>
      <c r="N68" s="109"/>
      <c r="O68" s="108"/>
      <c r="P68" s="108"/>
      <c r="Q68" s="108"/>
    </row>
    <row r="69" spans="1:28" ht="15.75">
      <c r="A69" s="111"/>
      <c r="B69" s="100"/>
      <c r="C69" s="109"/>
      <c r="D69" s="109"/>
      <c r="E69" s="109"/>
      <c r="F69" s="109"/>
      <c r="G69" s="109"/>
      <c r="H69" s="109"/>
      <c r="I69" s="109"/>
      <c r="J69" s="109"/>
      <c r="K69" s="109"/>
      <c r="L69" s="109"/>
      <c r="M69" s="109"/>
      <c r="N69" s="109"/>
      <c r="O69" s="108"/>
      <c r="P69" s="108"/>
      <c r="Q69" s="108"/>
    </row>
    <row r="70" spans="1:28" s="110" customFormat="1" ht="15.75">
      <c r="A70" s="110" t="s">
        <v>591</v>
      </c>
    </row>
    <row r="71" spans="1:28" ht="18" customHeight="1">
      <c r="A71" s="111" t="s">
        <v>362</v>
      </c>
      <c r="B71" s="1145" t="s">
        <v>613</v>
      </c>
      <c r="C71" s="1145"/>
      <c r="D71" s="1145"/>
      <c r="E71" s="1145"/>
      <c r="F71" s="1145"/>
      <c r="G71" s="1145"/>
      <c r="H71" s="1145"/>
      <c r="I71" s="1145"/>
      <c r="J71" s="1145"/>
      <c r="K71" s="1145"/>
      <c r="L71" s="1145"/>
      <c r="M71" s="1145"/>
      <c r="N71" s="1145"/>
      <c r="O71" s="1145"/>
      <c r="P71" s="1145"/>
      <c r="Q71" s="1145"/>
      <c r="R71" s="1145"/>
      <c r="S71" s="1145"/>
      <c r="T71" s="1145"/>
    </row>
    <row r="72" spans="1:28" ht="15.75">
      <c r="A72" s="109"/>
      <c r="B72" s="109"/>
      <c r="C72" s="109"/>
      <c r="D72" s="109"/>
      <c r="E72" s="109"/>
      <c r="F72" s="109"/>
      <c r="G72" s="109"/>
      <c r="H72" s="109"/>
      <c r="I72" s="109"/>
      <c r="J72" s="109"/>
      <c r="K72" s="109"/>
      <c r="L72" s="109"/>
      <c r="M72" s="109"/>
      <c r="N72" s="109"/>
      <c r="O72" s="108"/>
      <c r="P72" s="108"/>
      <c r="Q72" s="108"/>
    </row>
    <row r="73" spans="1:28" ht="15.75">
      <c r="A73" s="112" t="s">
        <v>1406</v>
      </c>
      <c r="B73" s="108"/>
      <c r="C73" s="108"/>
      <c r="D73" s="108"/>
      <c r="E73" s="108"/>
      <c r="F73" s="108"/>
      <c r="G73" s="108"/>
      <c r="H73" s="108"/>
      <c r="I73" s="108"/>
      <c r="J73" s="108"/>
      <c r="K73" s="108"/>
      <c r="L73" s="108"/>
      <c r="M73" s="108"/>
      <c r="N73" s="108"/>
      <c r="O73" s="108"/>
      <c r="P73" s="108"/>
      <c r="Q73" s="108"/>
    </row>
    <row r="74" spans="1:28" ht="35.25" customHeight="1">
      <c r="A74" s="111" t="s">
        <v>362</v>
      </c>
      <c r="B74" s="1136" t="s">
        <v>1407</v>
      </c>
      <c r="C74" s="1136"/>
      <c r="D74" s="1136"/>
      <c r="E74" s="1136"/>
      <c r="F74" s="1136"/>
      <c r="G74" s="1136"/>
      <c r="H74" s="1136"/>
      <c r="I74" s="1136"/>
      <c r="J74" s="1136"/>
      <c r="K74" s="1136"/>
      <c r="L74" s="1136"/>
      <c r="M74" s="1136"/>
      <c r="N74" s="1136"/>
      <c r="O74" s="1136"/>
      <c r="P74" s="1136"/>
      <c r="Q74" s="1136"/>
      <c r="R74" s="1136"/>
      <c r="S74" s="1136"/>
      <c r="T74" s="1136"/>
    </row>
    <row r="75" spans="1:28" ht="18" customHeight="1">
      <c r="A75" s="111"/>
      <c r="J75" s="783"/>
      <c r="K75" s="783"/>
      <c r="L75" s="783"/>
      <c r="M75" s="783"/>
      <c r="N75" s="783"/>
      <c r="O75" s="783"/>
      <c r="P75" s="783"/>
      <c r="Q75" s="783"/>
      <c r="R75" s="783"/>
      <c r="S75" s="783"/>
      <c r="T75" s="783"/>
      <c r="U75" s="205"/>
      <c r="V75" s="205"/>
      <c r="W75" s="205"/>
      <c r="X75" s="205"/>
      <c r="Y75" s="205"/>
      <c r="Z75" s="205"/>
      <c r="AA75" s="205"/>
      <c r="AB75" s="205"/>
    </row>
    <row r="76" spans="1:28" ht="18" customHeight="1">
      <c r="A76" s="149" t="s">
        <v>589</v>
      </c>
      <c r="B76" s="783"/>
      <c r="C76" s="783"/>
      <c r="D76" s="783"/>
      <c r="E76" s="783"/>
      <c r="F76" s="783"/>
      <c r="G76" s="783"/>
      <c r="H76" s="783"/>
      <c r="I76" s="783"/>
      <c r="J76" s="783"/>
      <c r="K76" s="783"/>
      <c r="L76" s="783"/>
      <c r="M76" s="783"/>
      <c r="N76" s="783"/>
      <c r="O76" s="783"/>
      <c r="P76" s="783"/>
      <c r="Q76" s="783"/>
      <c r="R76" s="783"/>
      <c r="S76" s="783"/>
      <c r="T76" s="783"/>
    </row>
    <row r="77" spans="1:28" ht="33" customHeight="1">
      <c r="A77" s="111" t="s">
        <v>362</v>
      </c>
      <c r="B77" s="1136" t="str">
        <f>"The electrometer was calibrated by first measuring the current from ionisation chamber " &amp; Client!Q15&amp;" in ARPANSA’s Co-60 teletherapy source."</f>
        <v>The electrometer was calibrated by first measuring the current from ionisation chamber IBA FC65-G serial number 457 in ARPANSA’s Co-60 teletherapy source.</v>
      </c>
      <c r="C77" s="1136"/>
      <c r="D77" s="1136"/>
      <c r="E77" s="1136"/>
      <c r="F77" s="1136"/>
      <c r="G77" s="1136"/>
      <c r="H77" s="1136"/>
      <c r="I77" s="1136"/>
      <c r="J77" s="1136"/>
      <c r="K77" s="1136"/>
      <c r="L77" s="1136"/>
      <c r="M77" s="1136"/>
      <c r="N77" s="1136"/>
      <c r="O77" s="1136"/>
      <c r="P77" s="1136"/>
      <c r="Q77" s="1136"/>
      <c r="R77" s="1136"/>
      <c r="S77" s="1136"/>
      <c r="T77" s="1136"/>
    </row>
    <row r="78" spans="1:28" ht="33" customHeight="1">
      <c r="A78" s="111" t="s">
        <v>362</v>
      </c>
      <c r="B78" s="1136" t="s">
        <v>590</v>
      </c>
      <c r="C78" s="1136"/>
      <c r="D78" s="1136"/>
      <c r="E78" s="1136"/>
      <c r="F78" s="1136"/>
      <c r="G78" s="1136"/>
      <c r="H78" s="1136"/>
      <c r="I78" s="1136"/>
      <c r="J78" s="1136"/>
      <c r="K78" s="1136"/>
      <c r="L78" s="1136"/>
      <c r="M78" s="1136"/>
      <c r="N78" s="1136"/>
      <c r="O78" s="1136"/>
      <c r="P78" s="1136"/>
      <c r="Q78" s="1136"/>
      <c r="R78" s="1136"/>
      <c r="S78" s="1136"/>
      <c r="T78" s="1136"/>
    </row>
    <row r="79" spans="1:28" ht="48.75" customHeight="1">
      <c r="A79" s="111" t="s">
        <v>362</v>
      </c>
      <c r="B79" s="1136" t="s">
        <v>612</v>
      </c>
      <c r="C79" s="1136"/>
      <c r="D79" s="1136"/>
      <c r="E79" s="1136"/>
      <c r="F79" s="1136"/>
      <c r="G79" s="1136"/>
      <c r="H79" s="1136"/>
      <c r="I79" s="1136"/>
      <c r="J79" s="1136"/>
      <c r="K79" s="1136"/>
      <c r="L79" s="1136"/>
      <c r="M79" s="1136"/>
      <c r="N79" s="1136"/>
      <c r="O79" s="1136"/>
      <c r="P79" s="1136"/>
      <c r="Q79" s="1136"/>
      <c r="R79" s="1136"/>
      <c r="S79" s="1136"/>
      <c r="T79" s="1136"/>
    </row>
    <row r="80" spans="1:28" ht="18" customHeight="1">
      <c r="A80" s="111" t="str">
        <f>IF(Elec!E24="Yes","–","")</f>
        <v/>
      </c>
      <c r="B80" s="1136" t="str">
        <f>IF(Elec!E24="Yes","An Exradin A5 chamber was used to generate the ionisation current for the high range calibration.","")</f>
        <v/>
      </c>
      <c r="C80" s="1136"/>
      <c r="D80" s="1136"/>
      <c r="E80" s="1136"/>
      <c r="F80" s="1136"/>
      <c r="G80" s="1136"/>
      <c r="H80" s="1136"/>
      <c r="I80" s="1136"/>
      <c r="J80" s="1136"/>
      <c r="K80" s="1136"/>
      <c r="L80" s="1136"/>
      <c r="M80" s="1136"/>
      <c r="N80" s="1136"/>
      <c r="O80" s="1136"/>
      <c r="P80" s="1136"/>
      <c r="Q80" s="1136"/>
      <c r="R80" s="1136"/>
      <c r="S80" s="1136"/>
      <c r="T80" s="1136"/>
    </row>
    <row r="81" spans="1:20" ht="18" customHeight="1">
      <c r="A81" s="111"/>
      <c r="B81" s="783"/>
      <c r="C81" s="783"/>
      <c r="D81" s="783"/>
      <c r="E81" s="783"/>
      <c r="F81" s="783"/>
      <c r="G81" s="783"/>
      <c r="H81" s="783"/>
      <c r="I81" s="783"/>
      <c r="J81" s="783"/>
      <c r="K81" s="783"/>
      <c r="L81" s="783"/>
      <c r="M81" s="783"/>
      <c r="N81" s="783"/>
      <c r="O81" s="783"/>
      <c r="P81" s="783"/>
      <c r="Q81" s="783"/>
      <c r="R81" s="783"/>
      <c r="S81" s="783"/>
      <c r="T81" s="783"/>
    </row>
    <row r="82" spans="1:20" ht="18" customHeight="1">
      <c r="A82" s="149" t="s">
        <v>474</v>
      </c>
      <c r="B82" s="108"/>
      <c r="C82" s="108"/>
      <c r="D82" s="108"/>
      <c r="E82" s="108"/>
      <c r="F82" s="108"/>
      <c r="G82" s="108"/>
      <c r="H82" s="108"/>
      <c r="I82" s="108"/>
      <c r="J82" s="108"/>
      <c r="K82" s="108"/>
      <c r="L82" s="108"/>
      <c r="M82" s="108"/>
      <c r="N82" s="108"/>
      <c r="O82" s="108"/>
      <c r="P82" s="108"/>
      <c r="Q82" s="108"/>
    </row>
    <row r="83" spans="1:20" ht="35.25" customHeight="1">
      <c r="A83" s="111" t="s">
        <v>362</v>
      </c>
      <c r="B83" s="1136" t="s">
        <v>604</v>
      </c>
      <c r="C83" s="1136"/>
      <c r="D83" s="1136"/>
      <c r="E83" s="1136"/>
      <c r="F83" s="1136"/>
      <c r="G83" s="1136"/>
      <c r="H83" s="1136"/>
      <c r="I83" s="1136"/>
      <c r="J83" s="1136"/>
      <c r="K83" s="1136"/>
      <c r="L83" s="1136"/>
      <c r="M83" s="1136"/>
      <c r="N83" s="1136"/>
      <c r="O83" s="1136"/>
      <c r="P83" s="1136"/>
      <c r="Q83" s="1136"/>
      <c r="R83" s="1136"/>
      <c r="S83" s="1136"/>
      <c r="T83" s="1136"/>
    </row>
    <row r="84" spans="1:20" ht="66.75" customHeight="1">
      <c r="A84" s="111" t="s">
        <v>362</v>
      </c>
      <c r="B84" s="1136" t="s">
        <v>832</v>
      </c>
      <c r="C84" s="1136"/>
      <c r="D84" s="1136"/>
      <c r="E84" s="1136"/>
      <c r="F84" s="1136"/>
      <c r="G84" s="1136"/>
      <c r="H84" s="1136"/>
      <c r="I84" s="1136"/>
      <c r="J84" s="1136"/>
      <c r="K84" s="1136"/>
      <c r="L84" s="1136"/>
      <c r="M84" s="1136"/>
      <c r="N84" s="1136"/>
      <c r="O84" s="1136"/>
      <c r="P84" s="1136"/>
      <c r="Q84" s="1136"/>
      <c r="R84" s="1136"/>
      <c r="S84" s="1136"/>
      <c r="T84" s="1136"/>
    </row>
    <row r="85" spans="1:20" ht="114" customHeight="1">
      <c r="A85" s="111" t="s">
        <v>362</v>
      </c>
      <c r="B85" s="1136" t="e">
        <f ca="1">Client!AF3</f>
        <v>#N/A</v>
      </c>
      <c r="C85" s="1136"/>
      <c r="D85" s="1136"/>
      <c r="E85" s="1136"/>
      <c r="F85" s="1136"/>
      <c r="G85" s="1136"/>
      <c r="H85" s="1136"/>
      <c r="I85" s="1136"/>
      <c r="J85" s="1136"/>
      <c r="K85" s="1136"/>
      <c r="L85" s="1136"/>
      <c r="M85" s="1136"/>
      <c r="N85" s="1136"/>
      <c r="O85" s="1136"/>
      <c r="P85" s="1136"/>
      <c r="Q85" s="1136"/>
      <c r="R85" s="1136"/>
      <c r="S85" s="1136"/>
      <c r="T85" s="1136"/>
    </row>
    <row r="86" spans="1:20" ht="7.5" customHeight="1">
      <c r="A86" s="111"/>
      <c r="B86" s="783"/>
      <c r="C86" s="783"/>
      <c r="D86" s="783"/>
      <c r="E86" s="783"/>
      <c r="F86" s="783"/>
      <c r="G86" s="783"/>
      <c r="H86" s="783"/>
      <c r="I86" s="783"/>
      <c r="J86" s="783"/>
      <c r="K86" s="783"/>
      <c r="L86" s="783"/>
      <c r="M86" s="783"/>
      <c r="N86" s="783"/>
      <c r="O86" s="783"/>
      <c r="P86" s="783"/>
      <c r="Q86" s="783"/>
      <c r="R86" s="783"/>
      <c r="S86" s="783"/>
      <c r="T86" s="783"/>
    </row>
    <row r="87" spans="1:20" ht="7.5" customHeight="1">
      <c r="A87" s="111"/>
      <c r="B87" s="783"/>
      <c r="C87" s="783"/>
      <c r="D87" s="783"/>
      <c r="E87" s="783"/>
      <c r="F87" s="783"/>
      <c r="G87" s="783"/>
      <c r="H87" s="783"/>
      <c r="I87" s="783"/>
      <c r="J87" s="783"/>
      <c r="K87" s="783"/>
      <c r="L87" s="783"/>
      <c r="M87" s="783"/>
      <c r="N87" s="783"/>
      <c r="O87" s="783"/>
      <c r="P87" s="783"/>
      <c r="Q87" s="783"/>
      <c r="R87" s="783"/>
      <c r="S87" s="783"/>
      <c r="T87" s="783"/>
    </row>
    <row r="88" spans="1:20" ht="7.5" customHeight="1">
      <c r="A88" s="111"/>
      <c r="B88" s="783"/>
      <c r="C88" s="783"/>
      <c r="D88" s="783"/>
      <c r="E88" s="783"/>
      <c r="F88" s="783"/>
      <c r="G88" s="783"/>
      <c r="H88" s="783"/>
      <c r="I88" s="783"/>
      <c r="J88" s="783"/>
      <c r="K88" s="783"/>
      <c r="L88" s="783"/>
      <c r="M88" s="783"/>
      <c r="N88" s="783"/>
      <c r="O88" s="783"/>
      <c r="P88" s="783"/>
      <c r="Q88" s="783"/>
      <c r="R88" s="783"/>
      <c r="S88" s="783"/>
      <c r="T88" s="783"/>
    </row>
    <row r="89" spans="1:20" ht="7.5" customHeight="1">
      <c r="A89" s="111"/>
      <c r="B89" s="783"/>
      <c r="C89" s="783"/>
      <c r="D89" s="783"/>
      <c r="E89" s="783"/>
      <c r="F89" s="783"/>
      <c r="G89" s="783"/>
      <c r="H89" s="783"/>
      <c r="I89" s="783"/>
      <c r="J89" s="783"/>
      <c r="K89" s="783"/>
      <c r="L89" s="783"/>
      <c r="M89" s="783"/>
      <c r="N89" s="783"/>
      <c r="O89" s="783"/>
      <c r="P89" s="783"/>
      <c r="Q89" s="783"/>
      <c r="R89" s="783"/>
      <c r="S89" s="783"/>
      <c r="T89" s="783"/>
    </row>
    <row r="90" spans="1:20" ht="15" customHeight="1">
      <c r="A90" s="111"/>
      <c r="B90" s="783"/>
      <c r="C90" s="783"/>
      <c r="D90" s="783"/>
      <c r="E90" s="783"/>
      <c r="F90" s="783"/>
      <c r="G90" s="783"/>
      <c r="H90" s="783"/>
      <c r="I90" s="783"/>
      <c r="J90" s="783"/>
      <c r="K90" s="783"/>
      <c r="L90" s="783"/>
      <c r="M90" s="783"/>
      <c r="N90" s="783"/>
      <c r="O90" s="783"/>
      <c r="P90" s="783"/>
      <c r="Q90" s="783"/>
      <c r="R90" s="783"/>
      <c r="S90" s="783"/>
      <c r="T90" s="783"/>
    </row>
    <row r="91" spans="1:20" ht="15" customHeight="1">
      <c r="A91" s="111"/>
      <c r="B91" s="153"/>
      <c r="C91" s="153"/>
      <c r="D91" s="153"/>
      <c r="E91" s="153"/>
      <c r="F91" s="153"/>
      <c r="G91" s="153"/>
      <c r="H91" s="153"/>
      <c r="I91" s="153"/>
      <c r="J91" s="153"/>
      <c r="K91" s="153"/>
      <c r="L91" s="153"/>
      <c r="M91" s="153"/>
      <c r="N91" s="153"/>
      <c r="O91" s="153"/>
      <c r="P91" s="153"/>
      <c r="Q91" s="153"/>
      <c r="R91" s="153"/>
      <c r="S91" s="153"/>
      <c r="T91" s="153"/>
    </row>
    <row r="92" spans="1:20" ht="15" customHeight="1">
      <c r="A92" s="111"/>
      <c r="B92" s="783"/>
      <c r="C92" s="783"/>
      <c r="D92" s="783"/>
      <c r="E92" s="783"/>
      <c r="F92" s="783"/>
      <c r="G92" s="783"/>
      <c r="H92" s="783"/>
      <c r="I92" s="783"/>
      <c r="J92" s="783"/>
      <c r="K92" s="783"/>
      <c r="L92" s="783"/>
      <c r="M92" s="783"/>
      <c r="N92" s="783"/>
      <c r="O92" s="783"/>
      <c r="Q92" s="783"/>
      <c r="R92" s="783"/>
      <c r="S92" s="783"/>
      <c r="T92" s="443"/>
    </row>
    <row r="93" spans="1:20" ht="15" customHeight="1">
      <c r="A93" s="420" t="str">
        <f>"Calibration No.: "&amp;$T$12</f>
        <v>Calibration No.: CAL11957/01</v>
      </c>
      <c r="B93" s="421"/>
      <c r="C93" s="421"/>
      <c r="D93" s="421"/>
      <c r="E93" s="421"/>
      <c r="F93" s="421"/>
      <c r="G93" s="421"/>
      <c r="H93" s="421"/>
      <c r="I93" s="422" t="str">
        <f>$G$31</f>
        <v>0</v>
      </c>
      <c r="J93" s="421"/>
      <c r="K93" s="421"/>
      <c r="L93" s="421"/>
      <c r="M93" s="421"/>
      <c r="N93" s="420" t="s">
        <v>360</v>
      </c>
      <c r="O93" s="423"/>
      <c r="P93" s="423"/>
      <c r="Q93" s="423"/>
      <c r="R93" s="423"/>
      <c r="S93" s="423"/>
      <c r="T93" s="423" t="s">
        <v>1117</v>
      </c>
    </row>
    <row r="94" spans="1:20" ht="15" customHeight="1">
      <c r="A94" s="122"/>
      <c r="B94" s="120"/>
      <c r="C94" s="120"/>
      <c r="D94" s="120"/>
      <c r="E94" s="120"/>
      <c r="F94" s="120"/>
      <c r="G94" s="120"/>
      <c r="H94" s="120"/>
      <c r="I94" s="121"/>
      <c r="J94" s="120"/>
      <c r="K94" s="120"/>
      <c r="L94" s="120"/>
      <c r="M94" s="120"/>
      <c r="N94" s="122"/>
      <c r="O94" s="123"/>
      <c r="P94" s="123"/>
      <c r="Q94" s="123"/>
      <c r="R94" s="123"/>
      <c r="S94" s="123"/>
      <c r="T94" s="123"/>
    </row>
    <row r="95" spans="1:20" ht="15" customHeight="1">
      <c r="A95" s="149" t="s">
        <v>605</v>
      </c>
      <c r="B95" s="442"/>
      <c r="C95" s="442"/>
      <c r="D95" s="442"/>
      <c r="E95" s="442"/>
      <c r="F95" s="442"/>
      <c r="G95" s="442"/>
      <c r="H95" s="442"/>
      <c r="I95" s="442"/>
      <c r="J95" s="442"/>
      <c r="K95" s="442"/>
      <c r="L95" s="442"/>
      <c r="M95" s="442"/>
      <c r="N95" s="442"/>
      <c r="O95" s="442"/>
      <c r="P95" s="442"/>
      <c r="Q95" s="442"/>
      <c r="R95" s="442"/>
      <c r="S95" s="442"/>
      <c r="T95" s="442"/>
    </row>
    <row r="96" spans="1:20" ht="82.5" customHeight="1">
      <c r="A96" s="111" t="s">
        <v>362</v>
      </c>
      <c r="B96" s="1140" t="s">
        <v>606</v>
      </c>
      <c r="C96" s="1140"/>
      <c r="D96" s="1140"/>
      <c r="E96" s="1140"/>
      <c r="F96" s="1140"/>
      <c r="G96" s="1140"/>
      <c r="H96" s="1140"/>
      <c r="I96" s="1140"/>
      <c r="J96" s="1140"/>
      <c r="K96" s="1140"/>
      <c r="L96" s="1140"/>
      <c r="M96" s="1140"/>
      <c r="N96" s="1140"/>
      <c r="O96" s="1140"/>
      <c r="P96" s="1140"/>
      <c r="Q96" s="1140"/>
      <c r="R96" s="1140"/>
      <c r="S96" s="1140"/>
      <c r="T96" s="1140"/>
    </row>
    <row r="97" spans="1:20" ht="69" customHeight="1">
      <c r="A97" s="111" t="s">
        <v>362</v>
      </c>
      <c r="B97" s="1136" t="str">
        <f>"The inner shield of the triaxial connector was found to be at a potential of "&amp;Elec!B29 &amp;" V (Channel 1) and "&amp;Elec!B30 &amp;" V (Channel 2). The inner shield is connected to the guard electrode of the chamber. The electrometer at the time was set to "&amp;Elec!B20&amp;" and the resulting polarity was "&amp;Elec!B32&amp;"."</f>
        <v>The inner shield of the triaxial connector was found to be at a potential of  V (Channel 1) and 302 V (Channel 2). The inner shield is connected to the guard electrode of the chamber. The electrometer at the time was set to  and the resulting polarity was 0.</v>
      </c>
      <c r="C97" s="1136"/>
      <c r="D97" s="1136"/>
      <c r="E97" s="1136"/>
      <c r="F97" s="1136"/>
      <c r="G97" s="1136"/>
      <c r="H97" s="1136"/>
      <c r="I97" s="1136"/>
      <c r="J97" s="1136"/>
      <c r="K97" s="1136"/>
      <c r="L97" s="1136"/>
      <c r="M97" s="1136"/>
      <c r="N97" s="1136"/>
      <c r="O97" s="1136"/>
      <c r="P97" s="1136"/>
      <c r="Q97" s="1136"/>
      <c r="R97" s="1136"/>
      <c r="S97" s="1136"/>
      <c r="T97" s="1136"/>
    </row>
    <row r="98" spans="1:20" ht="15" customHeight="1">
      <c r="A98" s="119"/>
      <c r="B98" s="155"/>
      <c r="C98" s="155"/>
      <c r="D98" s="155"/>
      <c r="E98" s="155"/>
      <c r="F98" s="155"/>
      <c r="G98" s="155"/>
      <c r="H98" s="155"/>
      <c r="I98" s="156"/>
      <c r="J98" s="155"/>
      <c r="K98" s="155"/>
      <c r="L98" s="155"/>
      <c r="M98" s="155"/>
      <c r="N98" s="119"/>
      <c r="O98" s="157"/>
      <c r="P98" s="157"/>
      <c r="Q98" s="157"/>
      <c r="R98" s="157"/>
      <c r="S98" s="157"/>
      <c r="T98" s="157"/>
    </row>
    <row r="99" spans="1:20" ht="15" customHeight="1">
      <c r="A99" s="112" t="s">
        <v>475</v>
      </c>
      <c r="B99" s="155"/>
      <c r="C99" s="155"/>
      <c r="D99" s="155"/>
      <c r="E99" s="155"/>
      <c r="F99" s="155"/>
      <c r="G99" s="155"/>
      <c r="H99" s="156"/>
      <c r="I99" s="155"/>
      <c r="J99" s="155"/>
      <c r="K99" s="155"/>
      <c r="L99" s="155"/>
      <c r="M99" s="119"/>
      <c r="N99" s="157"/>
      <c r="O99" s="157"/>
      <c r="P99" s="157"/>
      <c r="Q99" s="157"/>
      <c r="R99" s="157"/>
      <c r="S99" s="157"/>
      <c r="T99" s="783"/>
    </row>
    <row r="100" spans="1:20" ht="51" customHeight="1">
      <c r="A100" s="111" t="s">
        <v>362</v>
      </c>
      <c r="B100" s="1134" t="str">
        <f>"The electrometer leakage current was checked with and without chamber "&amp;Client!Q15&amp;" attached, using the '"&amp;Elec!A13&amp; "' range and polarizing voltage setting "&amp;Elec!B20&amp;". The results are shown in Table 1."</f>
        <v>The electrometer leakage current was checked with and without chamber IBA FC65-G serial number 457 attached, using the '' range and polarizing voltage setting . The results are shown in Table 1.</v>
      </c>
      <c r="C100" s="1134"/>
      <c r="D100" s="1134"/>
      <c r="E100" s="1134"/>
      <c r="F100" s="1134"/>
      <c r="G100" s="1134"/>
      <c r="H100" s="1134"/>
      <c r="I100" s="1134"/>
      <c r="J100" s="1134"/>
      <c r="K100" s="1134"/>
      <c r="L100" s="1134"/>
      <c r="M100" s="1134"/>
      <c r="N100" s="1134"/>
      <c r="O100" s="1134"/>
      <c r="P100" s="1134"/>
      <c r="Q100" s="1134"/>
      <c r="R100" s="1134"/>
      <c r="S100" s="1134"/>
      <c r="T100" s="1134"/>
    </row>
    <row r="101" spans="1:20" ht="15" customHeight="1">
      <c r="A101" s="111"/>
      <c r="B101" s="783"/>
      <c r="C101" s="783"/>
      <c r="D101" s="783"/>
      <c r="E101" s="783"/>
      <c r="F101" s="783"/>
      <c r="G101" s="783"/>
      <c r="H101" s="783"/>
      <c r="I101" s="783"/>
      <c r="J101" s="783"/>
      <c r="K101" s="783"/>
      <c r="L101" s="783"/>
      <c r="M101" s="783"/>
      <c r="N101" s="783"/>
      <c r="O101" s="783"/>
      <c r="P101" s="783"/>
      <c r="Q101" s="783"/>
      <c r="R101" s="783"/>
      <c r="S101" s="783"/>
      <c r="T101" s="783"/>
    </row>
    <row r="102" spans="1:20" ht="23.25" customHeight="1">
      <c r="A102" s="111"/>
      <c r="B102" s="1135" t="s">
        <v>486</v>
      </c>
      <c r="C102" s="1136"/>
      <c r="D102" s="1136"/>
      <c r="E102" s="1136"/>
      <c r="F102" s="1136"/>
      <c r="G102" s="1136"/>
      <c r="H102" s="1136"/>
      <c r="I102" s="1136"/>
      <c r="J102" s="1136"/>
      <c r="K102" s="1136"/>
      <c r="L102" s="1136"/>
      <c r="M102" s="1136"/>
      <c r="N102" s="1136"/>
      <c r="O102" s="1136"/>
      <c r="P102" s="1136"/>
      <c r="Q102" s="1136"/>
      <c r="R102" s="1136"/>
      <c r="S102" s="1136"/>
      <c r="T102" s="1136"/>
    </row>
    <row r="103" spans="1:20" ht="33.4" customHeight="1">
      <c r="A103" s="111"/>
      <c r="B103" s="1157" t="s">
        <v>487</v>
      </c>
      <c r="C103" s="1157"/>
      <c r="D103" s="1157"/>
      <c r="E103" s="1157"/>
      <c r="F103" s="1123" t="s">
        <v>1131</v>
      </c>
      <c r="G103" s="1125"/>
      <c r="H103" s="1166" t="s">
        <v>490</v>
      </c>
      <c r="I103" s="1166"/>
      <c r="J103" s="1166"/>
      <c r="K103" s="1166" t="s">
        <v>491</v>
      </c>
      <c r="L103" s="1166"/>
      <c r="M103" s="1166"/>
      <c r="N103" s="1157" t="s">
        <v>1140</v>
      </c>
      <c r="O103" s="1157"/>
      <c r="P103" s="1157"/>
      <c r="Q103" s="1165" t="s">
        <v>493</v>
      </c>
      <c r="R103" s="1165"/>
      <c r="S103" s="1165"/>
      <c r="T103" s="1165"/>
    </row>
    <row r="104" spans="1:20" ht="24" customHeight="1">
      <c r="A104" s="111"/>
      <c r="B104" s="1156" t="s">
        <v>1132</v>
      </c>
      <c r="C104" s="1156"/>
      <c r="D104" s="1156"/>
      <c r="E104" s="1156"/>
      <c r="F104" s="1161">
        <v>1</v>
      </c>
      <c r="G104" s="1162"/>
      <c r="H104" s="1167">
        <f>Elec!E40</f>
        <v>0</v>
      </c>
      <c r="I104" s="1167"/>
      <c r="J104" s="1167"/>
      <c r="K104" s="1156">
        <f>Elec!I40</f>
        <v>0</v>
      </c>
      <c r="L104" s="1156"/>
      <c r="M104" s="1156"/>
      <c r="N104" s="1159">
        <f>Elec!J40</f>
        <v>0</v>
      </c>
      <c r="O104" s="1159"/>
      <c r="P104" s="1159"/>
      <c r="Q104" s="1159" t="e">
        <f>Elec!K40</f>
        <v>#DIV/0!</v>
      </c>
      <c r="R104" s="1159"/>
      <c r="S104" s="1159"/>
      <c r="T104" s="1159"/>
    </row>
    <row r="105" spans="1:20" ht="24" customHeight="1">
      <c r="A105" s="111"/>
      <c r="B105" s="1158" t="s">
        <v>1133</v>
      </c>
      <c r="C105" s="1158"/>
      <c r="D105" s="1158"/>
      <c r="E105" s="1158"/>
      <c r="F105" s="1163">
        <v>1</v>
      </c>
      <c r="G105" s="1164"/>
      <c r="H105" s="1168">
        <f>Elec!E41</f>
        <v>0</v>
      </c>
      <c r="I105" s="1168"/>
      <c r="J105" s="1168"/>
      <c r="K105" s="1158">
        <f>Elec!I41</f>
        <v>0</v>
      </c>
      <c r="L105" s="1158"/>
      <c r="M105" s="1158"/>
      <c r="N105" s="1160">
        <f>Elec!J41</f>
        <v>0</v>
      </c>
      <c r="O105" s="1160"/>
      <c r="P105" s="1160"/>
      <c r="Q105" s="1160" t="e">
        <f>Elec!K41</f>
        <v>#DIV/0!</v>
      </c>
      <c r="R105" s="1160"/>
      <c r="S105" s="1160"/>
      <c r="T105" s="1160"/>
    </row>
    <row r="106" spans="1:20" ht="24" customHeight="1">
      <c r="A106" s="111"/>
      <c r="B106" s="1156" t="s">
        <v>1132</v>
      </c>
      <c r="C106" s="1156"/>
      <c r="D106" s="1156"/>
      <c r="E106" s="1156"/>
      <c r="F106" s="1161">
        <v>2</v>
      </c>
      <c r="G106" s="1162"/>
      <c r="H106" s="1167">
        <f>H104</f>
        <v>0</v>
      </c>
      <c r="I106" s="1167"/>
      <c r="J106" s="1167"/>
      <c r="K106" s="1156">
        <f>Elec!I45</f>
        <v>0</v>
      </c>
      <c r="L106" s="1156"/>
      <c r="M106" s="1156"/>
      <c r="N106" s="1159">
        <f>Elec!J45</f>
        <v>0</v>
      </c>
      <c r="O106" s="1159"/>
      <c r="P106" s="1159"/>
      <c r="Q106" s="1159" t="e">
        <f>Elec!K45</f>
        <v>#DIV/0!</v>
      </c>
      <c r="R106" s="1159"/>
      <c r="S106" s="1159"/>
      <c r="T106" s="1159"/>
    </row>
    <row r="107" spans="1:20" ht="24" customHeight="1">
      <c r="A107" s="111"/>
      <c r="B107" s="1158" t="s">
        <v>1133</v>
      </c>
      <c r="C107" s="1158"/>
      <c r="D107" s="1158"/>
      <c r="E107" s="1158"/>
      <c r="F107" s="1163">
        <v>2</v>
      </c>
      <c r="G107" s="1164"/>
      <c r="H107" s="1168">
        <f>H105</f>
        <v>0</v>
      </c>
      <c r="I107" s="1168"/>
      <c r="J107" s="1168"/>
      <c r="K107" s="1158">
        <f>Elec!I46</f>
        <v>0</v>
      </c>
      <c r="L107" s="1158"/>
      <c r="M107" s="1158"/>
      <c r="N107" s="1160">
        <f>Elec!J46</f>
        <v>0</v>
      </c>
      <c r="O107" s="1160"/>
      <c r="P107" s="1160"/>
      <c r="Q107" s="1160" t="e">
        <f>Elec!K46</f>
        <v>#DIV/0!</v>
      </c>
      <c r="R107" s="1160"/>
      <c r="S107" s="1160"/>
      <c r="T107" s="1160"/>
    </row>
    <row r="108" spans="1:20" ht="15" customHeight="1">
      <c r="A108" s="111"/>
      <c r="B108" s="178"/>
      <c r="C108" s="783"/>
      <c r="D108" s="783"/>
      <c r="E108" s="783"/>
      <c r="F108" s="783"/>
      <c r="G108" s="783"/>
      <c r="H108" s="783"/>
      <c r="I108" s="783"/>
      <c r="J108" s="783"/>
      <c r="K108" s="783"/>
      <c r="L108" s="783"/>
      <c r="M108" s="783"/>
      <c r="N108" s="783"/>
      <c r="O108" s="783"/>
      <c r="P108" s="783"/>
      <c r="Q108" s="783"/>
      <c r="R108" s="783"/>
      <c r="S108" s="783"/>
      <c r="T108" s="783"/>
    </row>
    <row r="109" spans="1:20" ht="33.950000000000003" customHeight="1">
      <c r="A109" s="111" t="s">
        <v>362</v>
      </c>
      <c r="B109" s="1134" t="s">
        <v>851</v>
      </c>
      <c r="C109" s="1134"/>
      <c r="D109" s="1134"/>
      <c r="E109" s="1134"/>
      <c r="F109" s="1134"/>
      <c r="G109" s="1134"/>
      <c r="H109" s="1134"/>
      <c r="I109" s="1134"/>
      <c r="J109" s="1134"/>
      <c r="K109" s="1134"/>
      <c r="L109" s="1134"/>
      <c r="M109" s="1134"/>
      <c r="N109" s="1134"/>
      <c r="O109" s="1134"/>
      <c r="P109" s="1134"/>
      <c r="Q109" s="1134"/>
      <c r="R109" s="1134"/>
      <c r="S109" s="1134"/>
      <c r="T109" s="1134"/>
    </row>
    <row r="110" spans="1:20" ht="15" customHeight="1"/>
    <row r="111" spans="1:20" ht="15.75">
      <c r="A111" s="112" t="s">
        <v>476</v>
      </c>
      <c r="B111" s="159"/>
      <c r="C111" s="158"/>
      <c r="D111" s="158"/>
      <c r="E111" s="158"/>
      <c r="F111" s="158"/>
      <c r="G111" s="158"/>
      <c r="H111" s="158"/>
      <c r="I111" s="158"/>
      <c r="J111" s="158"/>
      <c r="K111" s="158"/>
      <c r="L111" s="158"/>
      <c r="M111" s="158"/>
      <c r="N111" s="158"/>
      <c r="O111" s="158"/>
      <c r="P111" s="158"/>
      <c r="Q111" s="158"/>
      <c r="R111" s="158"/>
      <c r="S111" s="158"/>
    </row>
    <row r="112" spans="1:20" s="174" customFormat="1" ht="48.6" customHeight="1">
      <c r="A112" s="174" t="s">
        <v>362</v>
      </c>
      <c r="B112" s="1140" t="s">
        <v>847</v>
      </c>
      <c r="C112" s="1140"/>
      <c r="D112" s="1140"/>
      <c r="E112" s="1140"/>
      <c r="F112" s="1140"/>
      <c r="G112" s="1140"/>
      <c r="H112" s="1140"/>
      <c r="I112" s="1140"/>
      <c r="J112" s="1140"/>
      <c r="K112" s="1140"/>
      <c r="L112" s="1140"/>
      <c r="M112" s="1140"/>
      <c r="N112" s="1140"/>
      <c r="O112" s="1140"/>
      <c r="P112" s="1140"/>
      <c r="Q112" s="1140"/>
      <c r="R112" s="1140"/>
      <c r="S112" s="1140"/>
      <c r="T112" s="1140"/>
    </row>
    <row r="113" spans="1:20" ht="63.75" customHeight="1">
      <c r="A113" s="174" t="s">
        <v>362</v>
      </c>
      <c r="B113" s="1140" t="str">
        <f>"For example, after an exposure the electrometer reads 1.0 nominal nC when using chamber "&amp;Client!B29&amp;" serial number "&amp;Client!B30&amp;" to measure absorbed dose to water in a Co-60 beam with the '"&amp;Elec!A13&amp;"' range and using the internal timer. The calibration coefficient for this chamber is " &amp;Co!G21&amp;" mGy/nC. "</f>
        <v xml:space="preserve">For example, after an exposure the electrometer reads 1.0 nominal nC when using chamber IBA FC65-G serial number 457 to measure absorbed dose to water in a Co-60 beam with the '' range and using the internal timer. The calibration coefficient for this chamber is 0.00 mGy/nC. </v>
      </c>
      <c r="C113" s="1140"/>
      <c r="D113" s="1140"/>
      <c r="E113" s="1140"/>
      <c r="F113" s="1140"/>
      <c r="G113" s="1140"/>
      <c r="H113" s="1140"/>
      <c r="I113" s="1140"/>
      <c r="J113" s="1140"/>
      <c r="K113" s="1140"/>
      <c r="L113" s="1140"/>
      <c r="M113" s="1140"/>
      <c r="N113" s="1140"/>
      <c r="O113" s="1140"/>
      <c r="P113" s="1140"/>
      <c r="Q113" s="1140"/>
      <c r="R113" s="1140"/>
      <c r="S113" s="1140"/>
      <c r="T113" s="1140"/>
    </row>
    <row r="114" spans="1:20" ht="15.75">
      <c r="B114" s="154"/>
      <c r="C114" s="154"/>
      <c r="D114" s="154"/>
      <c r="E114" s="154"/>
      <c r="F114" s="154"/>
      <c r="G114" s="154"/>
      <c r="H114" s="154"/>
      <c r="I114" s="154"/>
      <c r="J114" s="154"/>
      <c r="K114" s="154"/>
      <c r="L114" s="154"/>
      <c r="M114" s="154"/>
      <c r="N114" s="154"/>
      <c r="O114" s="154"/>
      <c r="P114" s="154"/>
      <c r="Q114" s="154"/>
      <c r="R114" s="158"/>
      <c r="S114" s="158"/>
      <c r="T114" s="158"/>
    </row>
    <row r="115" spans="1:20" ht="15" customHeight="1">
      <c r="A115" s="111"/>
      <c r="B115" s="782"/>
      <c r="C115" s="175" t="s">
        <v>477</v>
      </c>
      <c r="D115" s="782" t="s">
        <v>448</v>
      </c>
      <c r="E115" s="1141" t="str">
        <f>"1.0 (nominal nC) x "&amp;Elec!F13&amp;" (nC / nominal nC) x "&amp;Co!G21&amp;" (mGy/nC)"</f>
        <v>1.0 (nominal nC) x 0.000 (nC / nominal nC) x 0.00 (mGy/nC)</v>
      </c>
      <c r="F115" s="1141"/>
      <c r="G115" s="1141"/>
      <c r="H115" s="1141"/>
      <c r="I115" s="1141"/>
      <c r="J115" s="1141"/>
      <c r="K115" s="1141"/>
      <c r="L115" s="1141"/>
      <c r="M115" s="1141"/>
      <c r="N115" s="1141"/>
      <c r="O115" s="1141"/>
      <c r="P115" s="1141"/>
      <c r="Q115" s="1141"/>
      <c r="R115" s="1141"/>
      <c r="S115" s="1141"/>
      <c r="T115" s="1141"/>
    </row>
    <row r="116" spans="1:20" ht="15" customHeight="1">
      <c r="A116" s="111"/>
      <c r="B116" s="782"/>
      <c r="C116" s="782"/>
      <c r="D116" s="782"/>
      <c r="E116" s="782"/>
      <c r="F116" s="782"/>
      <c r="G116" s="782"/>
      <c r="H116" s="782"/>
      <c r="I116" s="782"/>
      <c r="J116" s="782"/>
      <c r="K116" s="782"/>
      <c r="L116" s="782"/>
      <c r="M116" s="782"/>
      <c r="N116" s="782"/>
      <c r="O116" s="782"/>
      <c r="P116" s="782"/>
      <c r="Q116" s="782"/>
      <c r="R116" s="158"/>
      <c r="S116" s="158"/>
      <c r="T116" s="158"/>
    </row>
    <row r="117" spans="1:20" ht="15" customHeight="1">
      <c r="A117" s="112"/>
      <c r="B117" s="782"/>
      <c r="C117" s="782"/>
      <c r="D117" s="782" t="s">
        <v>448</v>
      </c>
      <c r="E117" s="458" t="str">
        <f>TEXT(Elec!$H$13*Co!$N$41,"0.00")&amp;" mGy"</f>
        <v>0.00 mGy</v>
      </c>
      <c r="F117" s="426"/>
      <c r="G117" s="154"/>
      <c r="H117" s="154"/>
      <c r="I117" s="154"/>
      <c r="J117" s="154"/>
      <c r="K117" s="154"/>
      <c r="L117" s="154"/>
      <c r="M117" s="154"/>
      <c r="N117" s="154"/>
      <c r="O117" s="154"/>
      <c r="P117" s="154"/>
      <c r="Q117" s="154"/>
      <c r="R117" s="154"/>
      <c r="S117" s="154"/>
      <c r="T117" s="154"/>
    </row>
    <row r="118" spans="1:20" ht="15" customHeight="1">
      <c r="A118" s="112"/>
      <c r="B118" s="832"/>
      <c r="C118" s="832"/>
      <c r="D118" s="832"/>
      <c r="E118" s="458"/>
      <c r="F118" s="426"/>
      <c r="G118" s="154"/>
      <c r="H118" s="154"/>
      <c r="I118" s="154"/>
      <c r="J118" s="154"/>
      <c r="K118" s="154"/>
      <c r="L118" s="154"/>
      <c r="M118" s="154"/>
      <c r="N118" s="154"/>
      <c r="O118" s="154"/>
      <c r="P118" s="154"/>
      <c r="Q118" s="154"/>
      <c r="R118" s="154"/>
      <c r="S118" s="154"/>
      <c r="T118" s="154"/>
    </row>
    <row r="119" spans="1:20" ht="15" customHeight="1">
      <c r="A119" s="111"/>
      <c r="B119" s="782"/>
      <c r="C119" s="782"/>
      <c r="D119" s="782"/>
      <c r="E119" s="782"/>
      <c r="F119" s="782"/>
      <c r="G119" s="782"/>
      <c r="H119" s="782"/>
      <c r="I119" s="782"/>
      <c r="J119" s="782"/>
      <c r="K119" s="782"/>
      <c r="L119" s="782"/>
      <c r="M119" s="782"/>
      <c r="N119" s="782"/>
      <c r="O119" s="782"/>
      <c r="P119" s="782"/>
      <c r="Q119" s="782"/>
      <c r="R119" s="158"/>
      <c r="S119" s="158"/>
      <c r="T119" s="158"/>
    </row>
    <row r="120" spans="1:20" ht="15" customHeight="1">
      <c r="A120" s="112" t="s">
        <v>478</v>
      </c>
      <c r="B120" s="782"/>
      <c r="C120" s="782"/>
      <c r="D120" s="782"/>
      <c r="E120" s="782"/>
      <c r="F120" s="782"/>
      <c r="G120" s="782"/>
      <c r="H120" s="782"/>
      <c r="I120" s="782"/>
      <c r="J120" s="782"/>
      <c r="K120" s="782"/>
      <c r="L120" s="782"/>
      <c r="M120" s="782"/>
      <c r="N120" s="782"/>
      <c r="O120" s="782"/>
      <c r="P120" s="782"/>
      <c r="Q120" s="782"/>
      <c r="R120" s="158"/>
      <c r="S120" s="158"/>
      <c r="T120" s="160"/>
    </row>
    <row r="121" spans="1:20" ht="35.25" customHeight="1">
      <c r="A121" s="176" t="s">
        <v>479</v>
      </c>
      <c r="B121" s="1140" t="s">
        <v>1208</v>
      </c>
      <c r="C121" s="1140"/>
      <c r="D121" s="1140"/>
      <c r="E121" s="1140"/>
      <c r="F121" s="1140"/>
      <c r="G121" s="1140"/>
      <c r="H121" s="1140"/>
      <c r="I121" s="1140"/>
      <c r="J121" s="1140"/>
      <c r="K121" s="1140"/>
      <c r="L121" s="1140"/>
      <c r="M121" s="1140"/>
      <c r="N121" s="1140"/>
      <c r="O121" s="1140"/>
      <c r="P121" s="1140"/>
      <c r="Q121" s="1140"/>
      <c r="R121" s="1140"/>
      <c r="S121" s="1140"/>
      <c r="T121" s="1140"/>
    </row>
    <row r="122" spans="1:20" ht="15.75" hidden="1">
      <c r="A122" s="111"/>
      <c r="B122" s="154"/>
      <c r="C122" s="154"/>
      <c r="D122" s="154"/>
      <c r="E122" s="154"/>
      <c r="F122" s="154"/>
      <c r="G122" s="154"/>
      <c r="H122" s="154"/>
      <c r="I122" s="154"/>
      <c r="J122" s="154"/>
      <c r="K122" s="154"/>
      <c r="L122" s="154"/>
      <c r="M122" s="154"/>
      <c r="N122" s="154"/>
      <c r="O122" s="154"/>
      <c r="P122" s="154"/>
      <c r="Q122" s="154"/>
    </row>
    <row r="123" spans="1:20" ht="15.75">
      <c r="A123" s="111"/>
      <c r="B123" s="154"/>
      <c r="C123" s="154"/>
      <c r="D123" s="154"/>
      <c r="E123" s="154"/>
      <c r="F123" s="154"/>
      <c r="G123" s="154"/>
      <c r="H123" s="154"/>
      <c r="I123" s="154"/>
      <c r="J123" s="154"/>
      <c r="K123" s="154"/>
      <c r="L123" s="154"/>
      <c r="M123" s="154"/>
      <c r="N123" s="154"/>
      <c r="O123" s="154"/>
      <c r="P123" s="154"/>
      <c r="Q123" s="154"/>
      <c r="T123" s="357"/>
    </row>
    <row r="124" spans="1:20" ht="15" customHeight="1">
      <c r="T124" s="443"/>
    </row>
    <row r="125" spans="1:20" ht="15" customHeight="1">
      <c r="A125" s="420" t="str">
        <f>"Calibration No.: "&amp;$T$12</f>
        <v>Calibration No.: CAL11957/01</v>
      </c>
      <c r="B125" s="421"/>
      <c r="C125" s="421"/>
      <c r="D125" s="421"/>
      <c r="E125" s="421"/>
      <c r="F125" s="421"/>
      <c r="G125" s="421"/>
      <c r="H125" s="421"/>
      <c r="I125" s="422" t="str">
        <f>$G$31</f>
        <v>0</v>
      </c>
      <c r="J125" s="421"/>
      <c r="K125" s="421"/>
      <c r="L125" s="421"/>
      <c r="M125" s="421"/>
      <c r="N125" s="420" t="s">
        <v>360</v>
      </c>
      <c r="O125" s="423"/>
      <c r="P125" s="423"/>
      <c r="Q125" s="423"/>
      <c r="R125" s="423"/>
      <c r="S125" s="423"/>
      <c r="T125" s="423" t="s">
        <v>1116</v>
      </c>
    </row>
    <row r="135" spans="1:20" ht="31.5" customHeight="1">
      <c r="A135" s="1148" t="s">
        <v>459</v>
      </c>
      <c r="B135" s="1148"/>
      <c r="C135" s="1148"/>
      <c r="D135" s="1148"/>
      <c r="E135" s="1148"/>
      <c r="F135" s="1148"/>
      <c r="G135" s="1148"/>
      <c r="H135" s="1148"/>
      <c r="I135" s="1148"/>
      <c r="J135" s="1148"/>
      <c r="K135" s="1148"/>
      <c r="L135" s="1148"/>
      <c r="M135" s="1148"/>
      <c r="N135" s="1148"/>
      <c r="O135" s="1148"/>
      <c r="P135" s="1148"/>
      <c r="Q135" s="1148"/>
      <c r="R135" s="1148"/>
      <c r="S135" s="1148"/>
      <c r="T135" s="1148"/>
    </row>
    <row r="136" spans="1:20" ht="15" customHeight="1">
      <c r="A136" s="785"/>
      <c r="B136" s="785"/>
      <c r="C136" s="785"/>
      <c r="D136" s="785"/>
      <c r="E136" s="785"/>
      <c r="F136" s="785"/>
      <c r="G136" s="785"/>
      <c r="H136" s="785"/>
      <c r="I136" s="785"/>
      <c r="J136" s="785" t="s">
        <v>1113</v>
      </c>
      <c r="K136" s="785"/>
      <c r="L136" s="785"/>
      <c r="M136" s="785"/>
      <c r="N136" s="785"/>
      <c r="O136" s="785"/>
      <c r="P136" s="785"/>
      <c r="Q136" s="785"/>
      <c r="R136" s="785"/>
      <c r="S136" s="785"/>
      <c r="T136" s="785"/>
    </row>
    <row r="137" spans="1:20" ht="15" customHeight="1">
      <c r="A137" s="96"/>
      <c r="B137" s="96"/>
      <c r="C137" s="96"/>
      <c r="D137" s="96"/>
      <c r="E137" s="96"/>
      <c r="F137" s="96"/>
      <c r="G137" s="96"/>
      <c r="H137" s="96"/>
      <c r="I137" s="96"/>
      <c r="J137" s="96"/>
      <c r="K137" s="96"/>
      <c r="L137" s="96"/>
      <c r="M137" s="96"/>
      <c r="N137" s="96"/>
      <c r="O137" s="96"/>
      <c r="P137" s="96"/>
      <c r="Q137" s="96"/>
    </row>
    <row r="138" spans="1:20" s="451" customFormat="1" ht="21" customHeight="1">
      <c r="A138" s="446" t="s">
        <v>2</v>
      </c>
      <c r="B138" s="447"/>
      <c r="C138" s="447"/>
      <c r="D138" s="447"/>
      <c r="E138" s="447"/>
      <c r="F138" s="448"/>
      <c r="G138" s="426" t="str">
        <f>$G$18</f>
        <v>De-identified for distribution</v>
      </c>
      <c r="H138" s="447"/>
      <c r="I138" s="447"/>
      <c r="J138" s="447"/>
      <c r="K138" s="447"/>
      <c r="L138" s="447"/>
      <c r="M138" s="447"/>
      <c r="N138" s="447"/>
      <c r="O138" s="447"/>
      <c r="P138" s="447"/>
      <c r="Q138" s="447"/>
      <c r="R138" s="449"/>
      <c r="S138" s="448"/>
      <c r="T138" s="450"/>
    </row>
    <row r="139" spans="1:20" s="451" customFormat="1" ht="21" customHeight="1">
      <c r="A139" s="446" t="s">
        <v>107</v>
      </c>
      <c r="B139" s="447"/>
      <c r="C139" s="447"/>
      <c r="D139" s="447"/>
      <c r="E139" s="447"/>
      <c r="F139" s="448"/>
      <c r="G139" s="447" t="str">
        <f>Client!$AF$13</f>
        <v xml:space="preserve">, serial number </v>
      </c>
      <c r="H139" s="447"/>
      <c r="I139" s="447"/>
      <c r="J139" s="447"/>
      <c r="K139" s="447"/>
      <c r="L139" s="447"/>
      <c r="M139" s="447"/>
      <c r="N139" s="447"/>
      <c r="O139" s="447"/>
      <c r="P139" s="447"/>
      <c r="Q139" s="447"/>
      <c r="R139" s="449"/>
      <c r="S139" s="448"/>
      <c r="T139" s="450"/>
    </row>
    <row r="140" spans="1:20" s="451" customFormat="1" ht="21" customHeight="1">
      <c r="A140" s="447" t="s">
        <v>480</v>
      </c>
      <c r="B140" s="447"/>
      <c r="C140" s="447"/>
      <c r="D140" s="447"/>
      <c r="E140" s="447"/>
      <c r="F140" s="448"/>
      <c r="G140" s="426">
        <f>Client!$B$18</f>
        <v>0</v>
      </c>
      <c r="H140" s="447"/>
      <c r="I140" s="447"/>
      <c r="J140" s="447"/>
      <c r="K140" s="447"/>
      <c r="L140" s="447"/>
      <c r="M140" s="447"/>
      <c r="N140" s="447"/>
      <c r="O140" s="447"/>
      <c r="P140" s="447"/>
      <c r="Q140" s="447"/>
      <c r="R140" s="449"/>
      <c r="S140" s="448"/>
      <c r="T140" s="450"/>
    </row>
    <row r="141" spans="1:20" s="451" customFormat="1" ht="21" customHeight="1">
      <c r="A141" s="447" t="s">
        <v>822</v>
      </c>
      <c r="B141" s="447"/>
      <c r="C141" s="447"/>
      <c r="D141" s="447"/>
      <c r="E141" s="447"/>
      <c r="F141" s="447"/>
      <c r="G141" s="447">
        <f>Elec!$B$20</f>
        <v>0</v>
      </c>
      <c r="H141" s="447"/>
      <c r="I141" s="447"/>
      <c r="J141" s="447"/>
      <c r="K141" s="447"/>
      <c r="L141" s="447"/>
      <c r="M141" s="447"/>
      <c r="N141" s="447"/>
      <c r="O141" s="447"/>
      <c r="P141" s="447"/>
      <c r="Q141" s="447"/>
      <c r="R141" s="449"/>
      <c r="S141" s="448"/>
      <c r="T141" s="450"/>
    </row>
    <row r="142" spans="1:20" s="451" customFormat="1" ht="21" customHeight="1">
      <c r="A142" s="447" t="s">
        <v>373</v>
      </c>
      <c r="B142" s="447"/>
      <c r="C142" s="447"/>
      <c r="D142" s="447"/>
      <c r="E142" s="447"/>
      <c r="F142" s="448"/>
      <c r="G142" s="447" t="str">
        <f>Client!$Q$13</f>
        <v>Positive (Central Electrode Negative)</v>
      </c>
      <c r="H142" s="447"/>
      <c r="I142" s="447"/>
      <c r="J142" s="447"/>
      <c r="K142" s="447"/>
      <c r="L142" s="447"/>
      <c r="M142" s="447"/>
      <c r="N142" s="447"/>
      <c r="O142" s="447"/>
      <c r="P142" s="447"/>
      <c r="Q142" s="447"/>
      <c r="R142" s="449"/>
      <c r="S142" s="448"/>
      <c r="T142" s="450"/>
    </row>
    <row r="143" spans="1:20" s="451" customFormat="1" ht="21" customHeight="1">
      <c r="A143" s="447" t="s">
        <v>481</v>
      </c>
      <c r="B143" s="447"/>
      <c r="C143" s="447"/>
      <c r="D143" s="447"/>
      <c r="E143" s="447"/>
      <c r="F143" s="448"/>
      <c r="G143" s="447" t="s">
        <v>597</v>
      </c>
      <c r="H143" s="447"/>
      <c r="I143" s="447"/>
      <c r="J143" s="447"/>
      <c r="K143" s="447"/>
      <c r="L143" s="447"/>
      <c r="M143" s="447"/>
      <c r="N143" s="447"/>
      <c r="O143" s="447"/>
      <c r="P143" s="447"/>
      <c r="Q143" s="447"/>
      <c r="R143" s="449"/>
      <c r="S143" s="448"/>
      <c r="T143" s="450"/>
    </row>
    <row r="144" spans="1:20" s="451" customFormat="1" ht="21" customHeight="1">
      <c r="A144" s="447" t="s">
        <v>813</v>
      </c>
      <c r="B144" s="447"/>
      <c r="C144" s="447"/>
      <c r="D144" s="447"/>
      <c r="E144" s="447"/>
      <c r="F144" s="448"/>
      <c r="G144" s="426">
        <f xml:space="preserve"> Elec!$B$21</f>
        <v>0</v>
      </c>
      <c r="H144" s="447"/>
      <c r="I144" s="447"/>
      <c r="J144" s="447"/>
      <c r="K144" s="447"/>
      <c r="L144" s="447"/>
      <c r="M144" s="447"/>
      <c r="N144" s="447"/>
      <c r="O144" s="447"/>
      <c r="P144" s="447"/>
      <c r="Q144" s="447"/>
      <c r="R144" s="449"/>
      <c r="S144" s="448"/>
      <c r="T144" s="450"/>
    </row>
    <row r="145" spans="1:20" s="451" customFormat="1" ht="21" customHeight="1">
      <c r="A145" s="447" t="s">
        <v>386</v>
      </c>
      <c r="B145" s="448"/>
      <c r="C145" s="447"/>
      <c r="D145" s="447"/>
      <c r="E145" s="447"/>
      <c r="F145" s="448"/>
      <c r="G145" s="447" t="str">
        <f>ElecRep2Ch!G25</f>
        <v>0</v>
      </c>
      <c r="H145" s="447"/>
      <c r="I145" s="447"/>
      <c r="J145" s="447"/>
      <c r="K145" s="447"/>
      <c r="L145" s="447"/>
      <c r="M145" s="447"/>
      <c r="N145" s="447"/>
      <c r="O145" s="447"/>
      <c r="P145" s="447"/>
      <c r="Q145" s="447"/>
      <c r="R145" s="449"/>
      <c r="S145" s="448"/>
      <c r="T145" s="450"/>
    </row>
    <row r="146" spans="1:20" s="451" customFormat="1" ht="21" customHeight="1">
      <c r="A146" s="452" t="s">
        <v>387</v>
      </c>
      <c r="B146" s="452"/>
      <c r="C146" s="452"/>
      <c r="D146" s="452"/>
      <c r="E146" s="452"/>
      <c r="F146" s="452"/>
      <c r="G146" s="452"/>
      <c r="H146" s="452"/>
      <c r="I146" s="447"/>
      <c r="J146" s="447"/>
      <c r="K146" s="447"/>
      <c r="L146" s="447"/>
      <c r="M146" s="447"/>
      <c r="N146" s="447"/>
      <c r="O146" s="447"/>
      <c r="P146" s="447"/>
      <c r="Q146" s="447"/>
      <c r="R146" s="449"/>
      <c r="S146" s="448"/>
      <c r="T146" s="450"/>
    </row>
    <row r="147" spans="1:20" ht="10.5" customHeight="1">
      <c r="A147" s="206"/>
      <c r="B147" s="206"/>
      <c r="C147" s="206"/>
      <c r="D147" s="206"/>
      <c r="E147" s="206"/>
      <c r="F147" s="36"/>
      <c r="G147" s="206"/>
      <c r="H147" s="206"/>
      <c r="I147" s="206"/>
      <c r="J147" s="206"/>
      <c r="K147" s="206"/>
      <c r="L147" s="206"/>
      <c r="M147" s="206"/>
      <c r="N147" s="206"/>
      <c r="O147" s="206"/>
      <c r="P147" s="206"/>
      <c r="Q147" s="206"/>
      <c r="R147" s="207"/>
      <c r="S147" s="36"/>
      <c r="T147" s="9"/>
    </row>
    <row r="148" spans="1:20" ht="10.5" customHeight="1">
      <c r="A148" s="206"/>
      <c r="B148" s="36"/>
      <c r="C148" s="206"/>
      <c r="D148" s="206"/>
      <c r="E148" s="206"/>
      <c r="F148" s="36"/>
      <c r="G148" s="9"/>
      <c r="H148" s="206"/>
      <c r="I148" s="206"/>
      <c r="J148" s="206"/>
      <c r="K148" s="206"/>
      <c r="L148" s="206"/>
      <c r="M148" s="206"/>
      <c r="N148" s="206"/>
      <c r="O148" s="206"/>
      <c r="P148" s="206"/>
      <c r="Q148" s="206"/>
      <c r="R148" s="207"/>
      <c r="S148" s="36"/>
      <c r="T148" s="9"/>
    </row>
    <row r="149" spans="1:20" ht="15.75">
      <c r="A149" s="91"/>
      <c r="B149" s="91"/>
      <c r="C149" s="91"/>
      <c r="D149" s="91"/>
      <c r="E149" s="91"/>
      <c r="F149" s="91"/>
      <c r="G149" s="91"/>
      <c r="H149" s="91"/>
      <c r="I149" s="91"/>
      <c r="J149" s="161" t="s">
        <v>1124</v>
      </c>
      <c r="K149" s="91"/>
      <c r="L149" s="91"/>
      <c r="M149" s="91"/>
      <c r="N149" s="91"/>
      <c r="O149" s="91"/>
      <c r="P149" s="91"/>
      <c r="Q149" s="91"/>
      <c r="R149" s="97"/>
    </row>
    <row r="150" spans="1:20" ht="45.75" customHeight="1">
      <c r="A150" s="1091" t="s">
        <v>483</v>
      </c>
      <c r="B150" s="1091"/>
      <c r="C150" s="1091"/>
      <c r="D150" s="1091"/>
      <c r="E150" s="1091"/>
      <c r="F150" s="1091"/>
      <c r="G150" s="1096" t="s">
        <v>484</v>
      </c>
      <c r="H150" s="1096"/>
      <c r="I150" s="1096"/>
      <c r="J150" s="1087" t="s">
        <v>1245</v>
      </c>
      <c r="K150" s="1088"/>
      <c r="L150" s="1089"/>
      <c r="M150" s="1150" t="s">
        <v>1246</v>
      </c>
      <c r="N150" s="1151"/>
      <c r="O150" s="1151"/>
      <c r="P150" s="1152"/>
      <c r="Q150" s="1153" t="s">
        <v>1247</v>
      </c>
      <c r="R150" s="1154"/>
      <c r="S150" s="1154"/>
      <c r="T150" s="1155"/>
    </row>
    <row r="151" spans="1:20" ht="15" customHeight="1">
      <c r="A151" s="1103"/>
      <c r="B151" s="1104"/>
      <c r="C151" s="1104"/>
      <c r="D151" s="1104"/>
      <c r="E151" s="1104"/>
      <c r="F151" s="1105"/>
      <c r="G151" s="1097"/>
      <c r="H151" s="1098"/>
      <c r="I151" s="1099"/>
      <c r="J151" s="1100" t="s">
        <v>1241</v>
      </c>
      <c r="K151" s="1101"/>
      <c r="L151" s="1102"/>
      <c r="M151" s="1103" t="s">
        <v>1243</v>
      </c>
      <c r="N151" s="1104"/>
      <c r="O151" s="1104"/>
      <c r="P151" s="1105"/>
      <c r="Q151" s="1106" t="s">
        <v>140</v>
      </c>
      <c r="R151" s="1107"/>
      <c r="S151" s="1107"/>
      <c r="T151" s="1108"/>
    </row>
    <row r="152" spans="1:20" ht="20.25" customHeight="1">
      <c r="A152" s="1092">
        <f>Elec!$A$13</f>
        <v>0</v>
      </c>
      <c r="B152" s="1092"/>
      <c r="C152" s="1092"/>
      <c r="D152" s="1092"/>
      <c r="E152" s="1092"/>
      <c r="F152" s="1092"/>
      <c r="G152" s="1090" t="str">
        <f>IF(LEFT(Elec!$B$13,6)="Intern","Internal","External")</f>
        <v>External</v>
      </c>
      <c r="H152" s="1090"/>
      <c r="I152" s="1090"/>
      <c r="J152" s="1090">
        <f>Elec!$C$13</f>
        <v>0</v>
      </c>
      <c r="K152" s="1090"/>
      <c r="L152" s="1090"/>
      <c r="M152" s="1149" t="str">
        <f>Elec!$F$13</f>
        <v>0.000</v>
      </c>
      <c r="N152" s="1149"/>
      <c r="O152" s="1149"/>
      <c r="P152" s="1149"/>
      <c r="Q152" s="1149">
        <v>0.3</v>
      </c>
      <c r="R152" s="1149"/>
      <c r="S152" s="1149"/>
      <c r="T152" s="1149"/>
    </row>
    <row r="153" spans="1:20" ht="20.25" customHeight="1">
      <c r="A153" s="1092">
        <f>Elec!$A$14</f>
        <v>0</v>
      </c>
      <c r="B153" s="1092"/>
      <c r="C153" s="1092"/>
      <c r="D153" s="1092"/>
      <c r="E153" s="1092"/>
      <c r="F153" s="1092"/>
      <c r="G153" s="1090" t="str">
        <f>IF(LEFT(Elec!$B$14,6)="Intern","Internal","External")</f>
        <v>External</v>
      </c>
      <c r="H153" s="1090"/>
      <c r="I153" s="1090"/>
      <c r="J153" s="1090">
        <f>Elec!$C$14</f>
        <v>0</v>
      </c>
      <c r="K153" s="1090"/>
      <c r="L153" s="1090"/>
      <c r="M153" s="1149" t="str">
        <f>Elec!$F$14</f>
        <v>0.000</v>
      </c>
      <c r="N153" s="1149"/>
      <c r="O153" s="1149"/>
      <c r="P153" s="1149"/>
      <c r="Q153" s="1149">
        <v>0.3</v>
      </c>
      <c r="R153" s="1149"/>
      <c r="S153" s="1149"/>
      <c r="T153" s="1149"/>
    </row>
    <row r="154" spans="1:20" ht="20.25" customHeight="1">
      <c r="A154" s="1093">
        <f>Elec!$A$15</f>
        <v>0</v>
      </c>
      <c r="B154" s="1094"/>
      <c r="C154" s="1094"/>
      <c r="D154" s="1094"/>
      <c r="E154" s="1094"/>
      <c r="F154" s="1095"/>
      <c r="G154" s="1084" t="str">
        <f>IF(LEFT(Elec!$B$15,6)="Intern","Internal","External")</f>
        <v>External</v>
      </c>
      <c r="H154" s="1085"/>
      <c r="I154" s="1086"/>
      <c r="J154" s="1084">
        <f>Elec!$C$15</f>
        <v>0</v>
      </c>
      <c r="K154" s="1085"/>
      <c r="L154" s="1086"/>
      <c r="M154" s="1137" t="str">
        <f>Elec!$F$15</f>
        <v>0.000</v>
      </c>
      <c r="N154" s="1138"/>
      <c r="O154" s="1138"/>
      <c r="P154" s="1139"/>
      <c r="Q154" s="1137">
        <v>0.3</v>
      </c>
      <c r="R154" s="1138"/>
      <c r="S154" s="1138"/>
      <c r="T154" s="1139"/>
    </row>
    <row r="155" spans="1:20" ht="20.25" customHeight="1">
      <c r="A155" s="1093">
        <f>Elec!$A$16</f>
        <v>0</v>
      </c>
      <c r="B155" s="1094"/>
      <c r="C155" s="1094"/>
      <c r="D155" s="1094"/>
      <c r="E155" s="1094"/>
      <c r="F155" s="1095"/>
      <c r="G155" s="1084" t="str">
        <f>IF(LEFT(Elec!$B$16,6)="Intern","Internal","External")</f>
        <v>External</v>
      </c>
      <c r="H155" s="1085"/>
      <c r="I155" s="1086"/>
      <c r="J155" s="1084">
        <f>Elec!$C$16</f>
        <v>0</v>
      </c>
      <c r="K155" s="1085"/>
      <c r="L155" s="1086"/>
      <c r="M155" s="1137" t="str">
        <f>Elec!$F$16</f>
        <v>0.000</v>
      </c>
      <c r="N155" s="1138"/>
      <c r="O155" s="1138"/>
      <c r="P155" s="1139"/>
      <c r="Q155" s="1137">
        <v>0.3</v>
      </c>
      <c r="R155" s="1138"/>
      <c r="S155" s="1138"/>
      <c r="T155" s="1139"/>
    </row>
    <row r="156" spans="1:20" ht="20.25" customHeight="1">
      <c r="A156" s="1093">
        <f>Elec!$A$17</f>
        <v>0</v>
      </c>
      <c r="B156" s="1094"/>
      <c r="C156" s="1094"/>
      <c r="D156" s="1094"/>
      <c r="E156" s="1094"/>
      <c r="F156" s="1095"/>
      <c r="G156" s="1084" t="str">
        <f>IF(LEFT(Elec!$B$17,6)="Intern","Internal","External")</f>
        <v>External</v>
      </c>
      <c r="H156" s="1085"/>
      <c r="I156" s="1086"/>
      <c r="J156" s="1084">
        <f>Elec!$C$17</f>
        <v>0</v>
      </c>
      <c r="K156" s="1085"/>
      <c r="L156" s="1086"/>
      <c r="M156" s="1137" t="str">
        <f>Elec!$F$17</f>
        <v>0.000</v>
      </c>
      <c r="N156" s="1138"/>
      <c r="O156" s="1138"/>
      <c r="P156" s="1139"/>
      <c r="Q156" s="1137">
        <v>0.3</v>
      </c>
      <c r="R156" s="1138"/>
      <c r="S156" s="1138"/>
      <c r="T156" s="1139"/>
    </row>
    <row r="157" spans="1:20" ht="20.25" customHeight="1">
      <c r="A157" s="1093">
        <f>Elec!$A$18</f>
        <v>0</v>
      </c>
      <c r="B157" s="1094"/>
      <c r="C157" s="1094"/>
      <c r="D157" s="1094"/>
      <c r="E157" s="1094"/>
      <c r="F157" s="1095"/>
      <c r="G157" s="1084" t="str">
        <f>IF(LEFT(Elec!$B$18,6)="Intern","Internal","External")</f>
        <v>External</v>
      </c>
      <c r="H157" s="1085"/>
      <c r="I157" s="1086"/>
      <c r="J157" s="1084">
        <f>Elec!$C$18</f>
        <v>0</v>
      </c>
      <c r="K157" s="1085"/>
      <c r="L157" s="1086"/>
      <c r="M157" s="1137" t="str">
        <f>Elec!$F$18</f>
        <v>0.000</v>
      </c>
      <c r="N157" s="1138"/>
      <c r="O157" s="1138"/>
      <c r="P157" s="1139"/>
      <c r="Q157" s="1137">
        <v>0.3</v>
      </c>
      <c r="R157" s="1138"/>
      <c r="S157" s="1138"/>
      <c r="T157" s="1139"/>
    </row>
    <row r="158" spans="1:20" s="111" customFormat="1" ht="34.15" customHeight="1">
      <c r="A158" s="1133" t="s">
        <v>482</v>
      </c>
      <c r="B158" s="1133"/>
      <c r="C158" s="1133"/>
      <c r="D158" s="1133"/>
      <c r="E158" s="1133"/>
      <c r="F158" s="1133"/>
      <c r="G158" s="1133"/>
      <c r="H158" s="1133"/>
      <c r="I158" s="1133"/>
      <c r="J158" s="1133"/>
      <c r="K158" s="1133"/>
      <c r="L158" s="1133"/>
      <c r="M158" s="1133"/>
      <c r="N158" s="1133"/>
      <c r="O158" s="1133"/>
      <c r="P158" s="1133"/>
      <c r="Q158" s="1133"/>
      <c r="R158" s="1133"/>
      <c r="S158" s="1133"/>
      <c r="T158" s="1133"/>
    </row>
    <row r="159" spans="1:20" s="111" customFormat="1" ht="34.15" customHeight="1">
      <c r="A159" s="1133" t="s">
        <v>849</v>
      </c>
      <c r="B159" s="1133"/>
      <c r="C159" s="1133"/>
      <c r="D159" s="1133"/>
      <c r="E159" s="1133"/>
      <c r="F159" s="1133"/>
      <c r="G159" s="1133"/>
      <c r="H159" s="1133"/>
      <c r="I159" s="1133"/>
      <c r="J159" s="1133"/>
      <c r="K159" s="1133"/>
      <c r="L159" s="1133"/>
      <c r="M159" s="1133"/>
      <c r="N159" s="1133"/>
      <c r="O159" s="1133"/>
      <c r="P159" s="1133"/>
      <c r="Q159" s="1133"/>
      <c r="R159" s="1133"/>
      <c r="S159" s="1133"/>
      <c r="T159" s="1133"/>
    </row>
    <row r="160" spans="1:20" s="111" customFormat="1" ht="15" customHeight="1">
      <c r="A160" s="784"/>
      <c r="B160" s="784"/>
      <c r="C160" s="784"/>
      <c r="D160" s="784"/>
      <c r="E160" s="784"/>
      <c r="F160" s="784"/>
      <c r="G160" s="784"/>
      <c r="H160" s="784"/>
      <c r="I160" s="784"/>
      <c r="J160" s="784"/>
      <c r="K160" s="784"/>
      <c r="L160" s="784"/>
      <c r="M160" s="784"/>
      <c r="N160" s="784"/>
      <c r="O160" s="784"/>
      <c r="P160" s="784"/>
      <c r="Q160" s="784"/>
      <c r="R160" s="784"/>
      <c r="S160" s="784"/>
      <c r="T160" s="784"/>
    </row>
    <row r="161" spans="1:20" s="111" customFormat="1" ht="15" customHeight="1">
      <c r="A161" s="784"/>
      <c r="B161" s="784"/>
      <c r="C161" s="784"/>
      <c r="D161" s="784"/>
      <c r="E161" s="784"/>
      <c r="F161" s="784"/>
      <c r="G161" s="784"/>
      <c r="H161" s="784"/>
      <c r="I161" s="784"/>
      <c r="J161" s="784"/>
      <c r="K161" s="784"/>
      <c r="L161" s="784"/>
      <c r="M161" s="784"/>
      <c r="N161" s="784"/>
      <c r="O161" s="784"/>
      <c r="P161" s="784"/>
      <c r="Q161" s="784"/>
      <c r="R161" s="784"/>
      <c r="S161" s="784"/>
      <c r="T161" s="784"/>
    </row>
    <row r="162" spans="1:20" s="111" customFormat="1" ht="15" customHeight="1">
      <c r="A162" s="784"/>
      <c r="B162" s="784"/>
      <c r="C162" s="784"/>
      <c r="D162" s="784"/>
      <c r="E162" s="784"/>
      <c r="F162" s="784"/>
      <c r="G162" s="784"/>
      <c r="H162" s="784"/>
      <c r="I162" s="784"/>
      <c r="J162" s="784"/>
      <c r="K162" s="784"/>
      <c r="L162" s="784"/>
      <c r="M162" s="784"/>
      <c r="N162" s="784"/>
      <c r="O162" s="784"/>
      <c r="P162" s="784"/>
      <c r="Q162" s="784"/>
      <c r="R162" s="784"/>
      <c r="S162" s="784"/>
      <c r="T162" s="784"/>
    </row>
    <row r="163" spans="1:20" s="111" customFormat="1" ht="15" customHeight="1">
      <c r="A163" s="784"/>
      <c r="B163" s="784"/>
      <c r="C163" s="784"/>
      <c r="D163" s="784"/>
      <c r="E163" s="784"/>
      <c r="F163" s="784"/>
      <c r="G163" s="784"/>
      <c r="H163" s="784"/>
      <c r="I163" s="784"/>
      <c r="J163" s="784"/>
      <c r="K163" s="784"/>
      <c r="L163" s="784"/>
      <c r="M163" s="784"/>
      <c r="N163" s="784"/>
      <c r="O163" s="784"/>
      <c r="P163" s="784"/>
      <c r="Q163" s="784"/>
      <c r="R163" s="784"/>
      <c r="S163" s="784"/>
      <c r="T163" s="784"/>
    </row>
    <row r="164" spans="1:20" ht="15">
      <c r="A164" s="91"/>
      <c r="B164" s="91"/>
      <c r="C164" s="91"/>
      <c r="D164" s="91"/>
      <c r="E164" s="91"/>
      <c r="F164" s="91"/>
      <c r="G164" s="91"/>
      <c r="H164" s="91"/>
      <c r="I164" s="91"/>
      <c r="J164" s="91"/>
      <c r="K164" s="91"/>
      <c r="L164" s="177"/>
      <c r="M164" s="177"/>
      <c r="N164" s="177"/>
      <c r="O164" s="177"/>
      <c r="P164" s="177"/>
      <c r="Q164" s="177"/>
      <c r="R164" s="137"/>
      <c r="S164" s="39"/>
    </row>
    <row r="165" spans="1:20" ht="9" customHeight="1">
      <c r="A165" s="91"/>
      <c r="B165" s="91"/>
      <c r="C165" s="91"/>
      <c r="D165" s="91"/>
      <c r="E165" s="91"/>
      <c r="F165" s="91"/>
      <c r="G165" s="91"/>
      <c r="H165" s="91"/>
      <c r="I165" s="91"/>
      <c r="J165" s="91"/>
      <c r="K165" s="91"/>
      <c r="L165" s="177"/>
      <c r="M165" s="91"/>
      <c r="N165" s="91"/>
      <c r="O165" s="91"/>
      <c r="P165" s="91"/>
      <c r="Q165" s="91"/>
      <c r="R165" s="91"/>
      <c r="S165" s="97"/>
    </row>
    <row r="166" spans="1:20" ht="15">
      <c r="A166" s="91"/>
      <c r="B166" s="91"/>
      <c r="C166" s="91"/>
      <c r="D166" s="91"/>
      <c r="E166" s="91"/>
      <c r="F166" s="91"/>
      <c r="G166" s="91"/>
      <c r="H166" s="91"/>
      <c r="I166" s="91"/>
      <c r="J166" s="91"/>
      <c r="K166" s="91"/>
      <c r="L166" s="177"/>
      <c r="M166" s="467" t="str">
        <f>"Calibrated by "&amp;Client!$B$23</f>
        <v xml:space="preserve">Calibrated by </v>
      </c>
      <c r="N166" s="467"/>
      <c r="O166" s="467"/>
      <c r="P166" s="467"/>
      <c r="Q166" s="467"/>
      <c r="R166" s="467"/>
      <c r="S166" s="117"/>
      <c r="T166" s="48"/>
    </row>
    <row r="167" spans="1:20" ht="15">
      <c r="A167" s="91"/>
      <c r="B167" s="91"/>
      <c r="C167" s="91"/>
      <c r="D167" s="91"/>
      <c r="E167" s="91"/>
      <c r="F167" s="91"/>
      <c r="G167" s="91"/>
      <c r="H167" s="91"/>
      <c r="I167" s="91"/>
      <c r="J167" s="91"/>
      <c r="K167" s="91"/>
      <c r="L167" s="177"/>
      <c r="M167" s="177"/>
      <c r="N167" s="177"/>
      <c r="O167" s="177"/>
      <c r="P167" s="177"/>
      <c r="Q167" s="177"/>
      <c r="R167" s="137"/>
      <c r="S167" s="39"/>
    </row>
    <row r="168" spans="1:20" ht="15">
      <c r="A168" s="91"/>
      <c r="B168" s="91"/>
      <c r="C168" s="91"/>
      <c r="D168" s="91"/>
      <c r="E168" s="91"/>
      <c r="F168" s="91"/>
      <c r="G168" s="91"/>
      <c r="H168" s="91"/>
      <c r="I168" s="91"/>
      <c r="J168" s="91"/>
      <c r="K168" s="91"/>
      <c r="L168" s="177"/>
      <c r="M168" s="177"/>
      <c r="N168" s="177"/>
      <c r="O168" s="177"/>
      <c r="P168" s="177"/>
      <c r="Q168" s="177"/>
      <c r="R168" s="137"/>
      <c r="S168" s="39"/>
    </row>
    <row r="169" spans="1:20" ht="15">
      <c r="A169" s="91"/>
      <c r="B169" s="91"/>
      <c r="C169" s="91"/>
      <c r="D169" s="91"/>
      <c r="E169" s="91"/>
      <c r="F169" s="91"/>
      <c r="G169" s="91"/>
      <c r="H169" s="91"/>
      <c r="I169" s="91"/>
      <c r="J169" s="91"/>
      <c r="K169" s="91"/>
      <c r="L169" s="91"/>
      <c r="M169" s="91"/>
      <c r="N169" s="91"/>
      <c r="O169" s="91"/>
      <c r="P169" s="91"/>
      <c r="Q169" s="91"/>
      <c r="R169" s="97"/>
    </row>
    <row r="170" spans="1:20">
      <c r="A170" s="420" t="str">
        <f>"Calibration No.: "&amp;$T$12</f>
        <v>Calibration No.: CAL11957/01</v>
      </c>
      <c r="B170" s="421"/>
      <c r="C170" s="421"/>
      <c r="D170" s="421"/>
      <c r="E170" s="421"/>
      <c r="F170" s="421"/>
      <c r="G170" s="421"/>
      <c r="H170" s="421"/>
      <c r="I170" s="422" t="str">
        <f>$G$31</f>
        <v>0</v>
      </c>
      <c r="J170" s="421"/>
      <c r="K170" s="421"/>
      <c r="L170" s="421"/>
      <c r="M170" s="421"/>
      <c r="N170" s="420" t="s">
        <v>360</v>
      </c>
      <c r="O170" s="423"/>
      <c r="P170" s="423"/>
      <c r="Q170" s="423"/>
      <c r="R170" s="423"/>
      <c r="S170" s="423"/>
      <c r="T170" s="423" t="s">
        <v>1115</v>
      </c>
    </row>
    <row r="180" spans="1:20" ht="31.5" customHeight="1">
      <c r="A180" s="1148" t="s">
        <v>459</v>
      </c>
      <c r="B180" s="1148"/>
      <c r="C180" s="1148"/>
      <c r="D180" s="1148"/>
      <c r="E180" s="1148"/>
      <c r="F180" s="1148"/>
      <c r="G180" s="1148"/>
      <c r="H180" s="1148"/>
      <c r="I180" s="1148"/>
      <c r="J180" s="1148"/>
      <c r="K180" s="1148"/>
      <c r="L180" s="1148"/>
      <c r="M180" s="1148"/>
      <c r="N180" s="1148"/>
      <c r="O180" s="1148"/>
      <c r="P180" s="1148"/>
      <c r="Q180" s="1148"/>
      <c r="R180" s="1148"/>
      <c r="S180" s="1148"/>
      <c r="T180" s="1148"/>
    </row>
    <row r="181" spans="1:20" ht="15" customHeight="1">
      <c r="A181" s="785"/>
      <c r="B181" s="785"/>
      <c r="C181" s="785"/>
      <c r="D181" s="785"/>
      <c r="E181" s="785"/>
      <c r="F181" s="785"/>
      <c r="G181" s="785"/>
      <c r="H181" s="785"/>
      <c r="I181" s="785"/>
      <c r="J181" s="785" t="s">
        <v>1114</v>
      </c>
      <c r="K181" s="785"/>
      <c r="L181" s="785"/>
      <c r="M181" s="785"/>
      <c r="N181" s="785"/>
      <c r="O181" s="785"/>
      <c r="P181" s="785"/>
      <c r="Q181" s="785"/>
      <c r="R181" s="785"/>
      <c r="S181" s="785"/>
      <c r="T181" s="785"/>
    </row>
    <row r="182" spans="1:20" ht="15" customHeight="1">
      <c r="A182" s="96"/>
      <c r="B182" s="96"/>
      <c r="C182" s="96"/>
      <c r="D182" s="96"/>
      <c r="E182" s="96"/>
      <c r="F182" s="96"/>
      <c r="G182" s="96"/>
      <c r="H182" s="96"/>
      <c r="I182" s="96"/>
      <c r="J182" s="96"/>
      <c r="K182" s="96"/>
      <c r="L182" s="96"/>
      <c r="M182" s="96"/>
      <c r="N182" s="96"/>
      <c r="O182" s="96"/>
      <c r="P182" s="96"/>
      <c r="Q182" s="96"/>
    </row>
    <row r="183" spans="1:20" ht="21" customHeight="1">
      <c r="A183" s="446" t="s">
        <v>2</v>
      </c>
      <c r="B183" s="447"/>
      <c r="C183" s="447"/>
      <c r="D183" s="447"/>
      <c r="E183" s="447"/>
      <c r="F183" s="448"/>
      <c r="G183" s="426" t="str">
        <f>$G$18</f>
        <v>De-identified for distribution</v>
      </c>
      <c r="H183" s="447"/>
      <c r="I183" s="447"/>
      <c r="J183" s="447"/>
      <c r="K183" s="447"/>
      <c r="L183" s="447"/>
      <c r="M183" s="447"/>
      <c r="N183" s="447"/>
      <c r="O183" s="447"/>
      <c r="P183" s="447"/>
      <c r="Q183" s="447"/>
      <c r="R183" s="449"/>
      <c r="S183" s="448"/>
      <c r="T183" s="450"/>
    </row>
    <row r="184" spans="1:20" ht="21" customHeight="1">
      <c r="A184" s="446" t="s">
        <v>107</v>
      </c>
      <c r="B184" s="447"/>
      <c r="C184" s="447"/>
      <c r="D184" s="447"/>
      <c r="E184" s="447"/>
      <c r="F184" s="448"/>
      <c r="G184" s="447" t="str">
        <f>Client!$AF$13</f>
        <v xml:space="preserve">, serial number </v>
      </c>
      <c r="H184" s="447"/>
      <c r="I184" s="447"/>
      <c r="J184" s="447"/>
      <c r="K184" s="447"/>
      <c r="L184" s="447"/>
      <c r="M184" s="447"/>
      <c r="N184" s="447"/>
      <c r="O184" s="447"/>
      <c r="P184" s="447"/>
      <c r="Q184" s="447"/>
      <c r="R184" s="449"/>
      <c r="S184" s="448"/>
      <c r="T184" s="450"/>
    </row>
    <row r="185" spans="1:20" ht="21" customHeight="1">
      <c r="A185" s="447" t="s">
        <v>480</v>
      </c>
      <c r="B185" s="447"/>
      <c r="C185" s="447"/>
      <c r="D185" s="447"/>
      <c r="E185" s="447"/>
      <c r="F185" s="448"/>
      <c r="G185" s="426">
        <f>Client!$B$18</f>
        <v>0</v>
      </c>
      <c r="H185" s="447"/>
      <c r="I185" s="447"/>
      <c r="J185" s="447"/>
      <c r="K185" s="447"/>
      <c r="L185" s="447"/>
      <c r="M185" s="447"/>
      <c r="N185" s="447"/>
      <c r="O185" s="447"/>
      <c r="P185" s="447"/>
      <c r="Q185" s="447"/>
      <c r="R185" s="449"/>
      <c r="S185" s="448"/>
      <c r="T185" s="450"/>
    </row>
    <row r="186" spans="1:20" ht="21" customHeight="1">
      <c r="A186" s="447" t="s">
        <v>822</v>
      </c>
      <c r="B186" s="447"/>
      <c r="C186" s="447"/>
      <c r="D186" s="447"/>
      <c r="E186" s="447"/>
      <c r="F186" s="447"/>
      <c r="G186" s="447">
        <f>Elec!$B$20</f>
        <v>0</v>
      </c>
      <c r="H186" s="447"/>
      <c r="I186" s="447"/>
      <c r="J186" s="447"/>
      <c r="K186" s="447"/>
      <c r="L186" s="447"/>
      <c r="M186" s="447"/>
      <c r="N186" s="447"/>
      <c r="O186" s="447"/>
      <c r="P186" s="447"/>
      <c r="Q186" s="447"/>
      <c r="R186" s="449"/>
      <c r="S186" s="448"/>
      <c r="T186" s="450"/>
    </row>
    <row r="187" spans="1:20" ht="21" customHeight="1">
      <c r="A187" s="447" t="s">
        <v>373</v>
      </c>
      <c r="B187" s="447"/>
      <c r="C187" s="447"/>
      <c r="D187" s="447"/>
      <c r="E187" s="447"/>
      <c r="F187" s="448"/>
      <c r="G187" s="447" t="str">
        <f>Client!$Q$13</f>
        <v>Positive (Central Electrode Negative)</v>
      </c>
      <c r="H187" s="447"/>
      <c r="I187" s="447"/>
      <c r="J187" s="447"/>
      <c r="K187" s="447"/>
      <c r="L187" s="447"/>
      <c r="M187" s="447"/>
      <c r="N187" s="447"/>
      <c r="O187" s="447"/>
      <c r="P187" s="447"/>
      <c r="Q187" s="447"/>
      <c r="R187" s="449"/>
      <c r="S187" s="448"/>
      <c r="T187" s="450"/>
    </row>
    <row r="188" spans="1:20" ht="21" customHeight="1">
      <c r="A188" s="447" t="s">
        <v>481</v>
      </c>
      <c r="B188" s="447"/>
      <c r="C188" s="447"/>
      <c r="D188" s="447"/>
      <c r="E188" s="447"/>
      <c r="F188" s="448"/>
      <c r="G188" s="447" t="s">
        <v>1142</v>
      </c>
      <c r="H188" s="447"/>
      <c r="I188" s="447"/>
      <c r="J188" s="447"/>
      <c r="K188" s="447"/>
      <c r="L188" s="447"/>
      <c r="M188" s="447"/>
      <c r="N188" s="447"/>
      <c r="O188" s="447"/>
      <c r="P188" s="447"/>
      <c r="Q188" s="447"/>
      <c r="R188" s="449"/>
      <c r="S188" s="448"/>
      <c r="T188" s="450"/>
    </row>
    <row r="189" spans="1:20" ht="21" customHeight="1">
      <c r="A189" s="447" t="s">
        <v>813</v>
      </c>
      <c r="B189" s="447"/>
      <c r="C189" s="447"/>
      <c r="D189" s="447"/>
      <c r="E189" s="447"/>
      <c r="F189" s="448"/>
      <c r="G189" s="426">
        <f xml:space="preserve"> Elec!$B$21</f>
        <v>0</v>
      </c>
      <c r="H189" s="447"/>
      <c r="I189" s="447"/>
      <c r="J189" s="447"/>
      <c r="K189" s="447"/>
      <c r="L189" s="447"/>
      <c r="M189" s="447"/>
      <c r="N189" s="447"/>
      <c r="O189" s="447"/>
      <c r="P189" s="447"/>
      <c r="Q189" s="447"/>
      <c r="R189" s="449"/>
      <c r="S189" s="448"/>
      <c r="T189" s="450"/>
    </row>
    <row r="190" spans="1:20" ht="21" customHeight="1">
      <c r="A190" s="447" t="s">
        <v>386</v>
      </c>
      <c r="B190" s="448"/>
      <c r="C190" s="447"/>
      <c r="D190" s="447"/>
      <c r="E190" s="447"/>
      <c r="F190" s="448"/>
      <c r="G190" s="447" t="str">
        <f>ElecRep2Ch!G25</f>
        <v>0</v>
      </c>
      <c r="H190" s="447"/>
      <c r="I190" s="447"/>
      <c r="J190" s="447"/>
      <c r="K190" s="447"/>
      <c r="L190" s="447"/>
      <c r="M190" s="447"/>
      <c r="N190" s="447"/>
      <c r="O190" s="447"/>
      <c r="P190" s="447"/>
      <c r="Q190" s="447"/>
      <c r="R190" s="449"/>
      <c r="S190" s="448"/>
      <c r="T190" s="450"/>
    </row>
    <row r="191" spans="1:20" ht="21" customHeight="1">
      <c r="A191" s="452" t="s">
        <v>387</v>
      </c>
      <c r="B191" s="452"/>
      <c r="C191" s="452"/>
      <c r="D191" s="452"/>
      <c r="E191" s="452"/>
      <c r="F191" s="452"/>
      <c r="G191" s="452"/>
      <c r="H191" s="452"/>
      <c r="I191" s="447"/>
      <c r="J191" s="447"/>
      <c r="K191" s="447"/>
      <c r="L191" s="447"/>
      <c r="M191" s="447"/>
      <c r="N191" s="447"/>
      <c r="O191" s="447"/>
      <c r="P191" s="447"/>
      <c r="Q191" s="447"/>
      <c r="R191" s="449"/>
      <c r="S191" s="448"/>
      <c r="T191" s="450"/>
    </row>
    <row r="192" spans="1:20" ht="10.5" customHeight="1">
      <c r="A192" s="206"/>
      <c r="B192" s="206"/>
      <c r="C192" s="206"/>
      <c r="D192" s="206"/>
      <c r="E192" s="206"/>
      <c r="F192" s="36"/>
      <c r="G192" s="206"/>
      <c r="H192" s="206"/>
      <c r="I192" s="206"/>
      <c r="J192" s="206"/>
      <c r="K192" s="206"/>
      <c r="L192" s="206"/>
      <c r="M192" s="206"/>
      <c r="N192" s="206"/>
      <c r="O192" s="206"/>
      <c r="P192" s="206"/>
      <c r="Q192" s="206"/>
      <c r="R192" s="207"/>
      <c r="S192" s="36"/>
      <c r="T192" s="9"/>
    </row>
    <row r="193" spans="1:20" ht="10.5" customHeight="1">
      <c r="A193" s="206"/>
      <c r="B193" s="36"/>
      <c r="C193" s="206"/>
      <c r="D193" s="206"/>
      <c r="E193" s="206"/>
      <c r="F193" s="36"/>
      <c r="G193" s="9"/>
      <c r="H193" s="206"/>
      <c r="I193" s="206"/>
      <c r="J193" s="206"/>
      <c r="K193" s="206"/>
      <c r="L193" s="206"/>
      <c r="M193" s="206"/>
      <c r="N193" s="206"/>
      <c r="O193" s="206"/>
      <c r="P193" s="206"/>
      <c r="Q193" s="206"/>
      <c r="R193" s="207"/>
      <c r="S193" s="36"/>
      <c r="T193" s="9"/>
    </row>
    <row r="194" spans="1:20" ht="15.75">
      <c r="A194" s="91"/>
      <c r="B194" s="91"/>
      <c r="C194" s="91"/>
      <c r="D194" s="91"/>
      <c r="E194" s="91"/>
      <c r="F194" s="91"/>
      <c r="G194" s="91"/>
      <c r="H194" s="91"/>
      <c r="I194" s="91"/>
      <c r="J194" s="161" t="s">
        <v>1123</v>
      </c>
      <c r="K194" s="91"/>
      <c r="L194" s="91"/>
      <c r="M194" s="91"/>
      <c r="N194" s="91"/>
      <c r="O194" s="91"/>
      <c r="P194" s="91"/>
      <c r="Q194" s="91"/>
      <c r="R194" s="97"/>
    </row>
    <row r="195" spans="1:20" ht="40.5" customHeight="1">
      <c r="A195" s="1091" t="s">
        <v>483</v>
      </c>
      <c r="B195" s="1091"/>
      <c r="C195" s="1091"/>
      <c r="D195" s="1091"/>
      <c r="E195" s="1091"/>
      <c r="F195" s="1091"/>
      <c r="G195" s="1096" t="s">
        <v>484</v>
      </c>
      <c r="H195" s="1096"/>
      <c r="I195" s="1096"/>
      <c r="J195" s="1087" t="s">
        <v>1245</v>
      </c>
      <c r="K195" s="1088"/>
      <c r="L195" s="1089"/>
      <c r="M195" s="1150" t="s">
        <v>1246</v>
      </c>
      <c r="N195" s="1151"/>
      <c r="O195" s="1151"/>
      <c r="P195" s="1152"/>
      <c r="Q195" s="1153" t="s">
        <v>1248</v>
      </c>
      <c r="R195" s="1154"/>
      <c r="S195" s="1154"/>
      <c r="T195" s="1155"/>
    </row>
    <row r="196" spans="1:20" ht="20.25" customHeight="1">
      <c r="A196" s="1103"/>
      <c r="B196" s="1104"/>
      <c r="C196" s="1104"/>
      <c r="D196" s="1104"/>
      <c r="E196" s="1104"/>
      <c r="F196" s="1105"/>
      <c r="G196" s="1097"/>
      <c r="H196" s="1098"/>
      <c r="I196" s="1099"/>
      <c r="J196" s="1100" t="s">
        <v>1241</v>
      </c>
      <c r="K196" s="1101"/>
      <c r="L196" s="1102"/>
      <c r="M196" s="1103" t="s">
        <v>1243</v>
      </c>
      <c r="N196" s="1104"/>
      <c r="O196" s="1104"/>
      <c r="P196" s="1105"/>
      <c r="Q196" s="1106" t="s">
        <v>140</v>
      </c>
      <c r="R196" s="1107"/>
      <c r="S196" s="1107"/>
      <c r="T196" s="1108"/>
    </row>
    <row r="197" spans="1:20" ht="20.25" customHeight="1">
      <c r="A197" s="1092">
        <f>Elec!$K$13</f>
        <v>0</v>
      </c>
      <c r="B197" s="1092"/>
      <c r="C197" s="1092"/>
      <c r="D197" s="1092"/>
      <c r="E197" s="1092"/>
      <c r="F197" s="1092"/>
      <c r="G197" s="1090" t="str">
        <f>IF(LEFT(Elec!$L$13,6)="Intern","Internal","External")</f>
        <v>External</v>
      </c>
      <c r="H197" s="1090"/>
      <c r="I197" s="1090"/>
      <c r="J197" s="1090">
        <f>Elec!$M$13</f>
        <v>0</v>
      </c>
      <c r="K197" s="1090"/>
      <c r="L197" s="1090"/>
      <c r="M197" s="1149" t="str">
        <f>Elec!$P$13</f>
        <v>0.000</v>
      </c>
      <c r="N197" s="1149"/>
      <c r="O197" s="1149"/>
      <c r="P197" s="1149"/>
      <c r="Q197" s="1149">
        <v>0.3</v>
      </c>
      <c r="R197" s="1149"/>
      <c r="S197" s="1149"/>
      <c r="T197" s="1149"/>
    </row>
    <row r="198" spans="1:20" ht="20.25" customHeight="1">
      <c r="A198" s="1092">
        <f>Elec!$K$14</f>
        <v>0</v>
      </c>
      <c r="B198" s="1092"/>
      <c r="C198" s="1092"/>
      <c r="D198" s="1092"/>
      <c r="E198" s="1092"/>
      <c r="F198" s="1092"/>
      <c r="G198" s="1090" t="str">
        <f>IF(LEFT(Elec!$L$14,6)="Intern","Internal","External")</f>
        <v>External</v>
      </c>
      <c r="H198" s="1090"/>
      <c r="I198" s="1090"/>
      <c r="J198" s="1090">
        <f>Elec!$M$14</f>
        <v>0</v>
      </c>
      <c r="K198" s="1090"/>
      <c r="L198" s="1090"/>
      <c r="M198" s="1149" t="str">
        <f>Elec!$P$14</f>
        <v>0.000</v>
      </c>
      <c r="N198" s="1149"/>
      <c r="O198" s="1149"/>
      <c r="P198" s="1149"/>
      <c r="Q198" s="1149">
        <v>0.3</v>
      </c>
      <c r="R198" s="1149"/>
      <c r="S198" s="1149"/>
      <c r="T198" s="1149"/>
    </row>
    <row r="199" spans="1:20" ht="20.25" customHeight="1">
      <c r="A199" s="1093">
        <f>Elec!$K$15</f>
        <v>0</v>
      </c>
      <c r="B199" s="1094"/>
      <c r="C199" s="1094"/>
      <c r="D199" s="1094"/>
      <c r="E199" s="1094"/>
      <c r="F199" s="1095"/>
      <c r="G199" s="1084" t="str">
        <f>IF(LEFT(Elec!$L$15,6)="Intern","Internal","External")</f>
        <v>External</v>
      </c>
      <c r="H199" s="1085"/>
      <c r="I199" s="1086"/>
      <c r="J199" s="1084">
        <f>Elec!$M$15</f>
        <v>0</v>
      </c>
      <c r="K199" s="1085"/>
      <c r="L199" s="1086"/>
      <c r="M199" s="1137" t="str">
        <f>Elec!$P$15</f>
        <v>0.000</v>
      </c>
      <c r="N199" s="1138"/>
      <c r="O199" s="1138"/>
      <c r="P199" s="1139"/>
      <c r="Q199" s="1137">
        <v>0.3</v>
      </c>
      <c r="R199" s="1138"/>
      <c r="S199" s="1138"/>
      <c r="T199" s="1139"/>
    </row>
    <row r="200" spans="1:20" ht="20.25" customHeight="1">
      <c r="A200" s="1093">
        <f>Elec!$K$16</f>
        <v>0</v>
      </c>
      <c r="B200" s="1094"/>
      <c r="C200" s="1094"/>
      <c r="D200" s="1094"/>
      <c r="E200" s="1094"/>
      <c r="F200" s="1095"/>
      <c r="G200" s="1084" t="str">
        <f>IF(LEFT(Elec!$L$16,6)="Intern","Internal","External")</f>
        <v>External</v>
      </c>
      <c r="H200" s="1085"/>
      <c r="I200" s="1086"/>
      <c r="J200" s="1084">
        <f>Elec!$M$16</f>
        <v>0</v>
      </c>
      <c r="K200" s="1085"/>
      <c r="L200" s="1086"/>
      <c r="M200" s="1137" t="str">
        <f>Elec!$P$16</f>
        <v>0.000</v>
      </c>
      <c r="N200" s="1138"/>
      <c r="O200" s="1138"/>
      <c r="P200" s="1139"/>
      <c r="Q200" s="1137">
        <v>0.3</v>
      </c>
      <c r="R200" s="1138"/>
      <c r="S200" s="1138"/>
      <c r="T200" s="1139"/>
    </row>
    <row r="201" spans="1:20" ht="20.25" customHeight="1">
      <c r="A201" s="1093">
        <f>Elec!$K$17</f>
        <v>0</v>
      </c>
      <c r="B201" s="1094"/>
      <c r="C201" s="1094"/>
      <c r="D201" s="1094"/>
      <c r="E201" s="1094"/>
      <c r="F201" s="1095"/>
      <c r="G201" s="1084" t="str">
        <f>IF(LEFT(Elec!$L$17,6)="Intern","Internal","External")</f>
        <v>External</v>
      </c>
      <c r="H201" s="1085"/>
      <c r="I201" s="1086"/>
      <c r="J201" s="1084">
        <f>Elec!$M$17</f>
        <v>0</v>
      </c>
      <c r="K201" s="1085"/>
      <c r="L201" s="1086"/>
      <c r="M201" s="1137" t="str">
        <f>Elec!$P$17</f>
        <v>0.000</v>
      </c>
      <c r="N201" s="1138"/>
      <c r="O201" s="1138"/>
      <c r="P201" s="1139"/>
      <c r="Q201" s="1137">
        <v>0.3</v>
      </c>
      <c r="R201" s="1138"/>
      <c r="S201" s="1138"/>
      <c r="T201" s="1139"/>
    </row>
    <row r="202" spans="1:20" ht="34.35" customHeight="1">
      <c r="A202" s="1093">
        <f>Elec!$K$18</f>
        <v>0</v>
      </c>
      <c r="B202" s="1094"/>
      <c r="C202" s="1094"/>
      <c r="D202" s="1094"/>
      <c r="E202" s="1094"/>
      <c r="F202" s="1095"/>
      <c r="G202" s="1084" t="str">
        <f>IF(LEFT(Elec!$L$18,6)="Intern","Internal","External")</f>
        <v>External</v>
      </c>
      <c r="H202" s="1085"/>
      <c r="I202" s="1086"/>
      <c r="J202" s="1084">
        <f>Elec!$M$18</f>
        <v>0</v>
      </c>
      <c r="K202" s="1085"/>
      <c r="L202" s="1086"/>
      <c r="M202" s="1137" t="str">
        <f>Elec!$P$18</f>
        <v>0.000</v>
      </c>
      <c r="N202" s="1138"/>
      <c r="O202" s="1138"/>
      <c r="P202" s="1139"/>
      <c r="Q202" s="1137">
        <v>0.3</v>
      </c>
      <c r="R202" s="1138"/>
      <c r="S202" s="1138"/>
      <c r="T202" s="1139"/>
    </row>
    <row r="203" spans="1:20" ht="34.35" customHeight="1">
      <c r="A203" s="1133" t="s">
        <v>482</v>
      </c>
      <c r="B203" s="1133"/>
      <c r="C203" s="1133"/>
      <c r="D203" s="1133"/>
      <c r="E203" s="1133"/>
      <c r="F203" s="1133"/>
      <c r="G203" s="1133"/>
      <c r="H203" s="1133"/>
      <c r="I203" s="1133"/>
      <c r="J203" s="1133"/>
      <c r="K203" s="1133"/>
      <c r="L203" s="1133"/>
      <c r="M203" s="1133"/>
      <c r="N203" s="1133"/>
      <c r="O203" s="1133"/>
      <c r="P203" s="1133"/>
      <c r="Q203" s="1133"/>
      <c r="R203" s="1133"/>
      <c r="S203" s="1133"/>
      <c r="T203" s="1133"/>
    </row>
    <row r="204" spans="1:20" ht="15" customHeight="1">
      <c r="A204" s="1133" t="s">
        <v>849</v>
      </c>
      <c r="B204" s="1133"/>
      <c r="C204" s="1133"/>
      <c r="D204" s="1133"/>
      <c r="E204" s="1133"/>
      <c r="F204" s="1133"/>
      <c r="G204" s="1133"/>
      <c r="H204" s="1133"/>
      <c r="I204" s="1133"/>
      <c r="J204" s="1133"/>
      <c r="K204" s="1133"/>
      <c r="L204" s="1133"/>
      <c r="M204" s="1133"/>
      <c r="N204" s="1133"/>
      <c r="O204" s="1133"/>
      <c r="P204" s="1133"/>
      <c r="Q204" s="1133"/>
      <c r="R204" s="1133"/>
      <c r="S204" s="1133"/>
      <c r="T204" s="1133"/>
    </row>
    <row r="205" spans="1:20" ht="15" customHeight="1">
      <c r="A205" s="784"/>
      <c r="B205" s="784"/>
      <c r="C205" s="784"/>
      <c r="D205" s="784"/>
      <c r="E205" s="784"/>
      <c r="F205" s="784"/>
      <c r="G205" s="784"/>
      <c r="H205" s="784"/>
      <c r="I205" s="784"/>
      <c r="J205" s="784"/>
      <c r="K205" s="784"/>
      <c r="L205" s="784"/>
      <c r="M205" s="784"/>
      <c r="N205" s="784"/>
      <c r="O205" s="784"/>
      <c r="P205" s="784"/>
      <c r="Q205" s="784"/>
      <c r="R205" s="784"/>
      <c r="S205" s="784"/>
      <c r="T205" s="784"/>
    </row>
    <row r="206" spans="1:20" ht="15" customHeight="1">
      <c r="A206" s="784"/>
      <c r="B206" s="784"/>
      <c r="C206" s="784"/>
      <c r="D206" s="784"/>
      <c r="E206" s="784"/>
      <c r="F206" s="784"/>
      <c r="G206" s="784"/>
      <c r="H206" s="784"/>
      <c r="I206" s="784"/>
      <c r="J206" s="784"/>
      <c r="K206" s="784"/>
      <c r="L206" s="784"/>
      <c r="M206" s="784"/>
      <c r="N206" s="784"/>
      <c r="O206" s="784"/>
      <c r="P206" s="784"/>
      <c r="Q206" s="784"/>
      <c r="R206" s="784"/>
      <c r="S206" s="784"/>
      <c r="T206" s="784"/>
    </row>
    <row r="207" spans="1:20" ht="15" customHeight="1">
      <c r="A207" s="784"/>
      <c r="B207" s="784"/>
      <c r="C207" s="784"/>
      <c r="D207" s="784"/>
      <c r="E207" s="784"/>
      <c r="F207" s="784"/>
      <c r="G207" s="784"/>
      <c r="H207" s="784"/>
      <c r="I207" s="784"/>
      <c r="J207" s="784"/>
      <c r="K207" s="784"/>
      <c r="L207" s="784"/>
      <c r="M207" s="784"/>
      <c r="N207" s="784"/>
      <c r="O207" s="784"/>
      <c r="P207" s="784"/>
      <c r="Q207" s="784"/>
      <c r="R207" s="784"/>
      <c r="S207" s="784"/>
      <c r="T207" s="784"/>
    </row>
    <row r="208" spans="1:20" ht="15" customHeight="1">
      <c r="A208" s="784"/>
      <c r="B208" s="784"/>
      <c r="C208" s="784"/>
      <c r="D208" s="784"/>
      <c r="E208" s="784"/>
      <c r="F208" s="784"/>
      <c r="G208" s="784"/>
      <c r="H208" s="784"/>
      <c r="I208" s="784"/>
      <c r="J208" s="784"/>
      <c r="K208" s="784"/>
      <c r="L208" s="784"/>
      <c r="M208" s="784"/>
      <c r="N208" s="784"/>
      <c r="O208" s="784"/>
      <c r="P208" s="784"/>
      <c r="Q208" s="784"/>
      <c r="R208" s="784"/>
      <c r="S208" s="784"/>
      <c r="T208" s="784"/>
    </row>
    <row r="209" spans="1:20" ht="9" customHeight="1">
      <c r="A209" s="91"/>
      <c r="B209" s="91"/>
      <c r="C209" s="91"/>
      <c r="D209" s="91"/>
      <c r="E209" s="91"/>
      <c r="F209" s="91"/>
      <c r="G209" s="91"/>
      <c r="H209" s="91"/>
      <c r="I209" s="91"/>
      <c r="J209" s="91"/>
      <c r="K209" s="91"/>
      <c r="L209" s="177"/>
      <c r="M209" s="177"/>
      <c r="N209" s="177"/>
      <c r="O209" s="177"/>
      <c r="P209" s="177"/>
      <c r="Q209" s="177"/>
      <c r="R209" s="137"/>
      <c r="S209" s="39"/>
    </row>
    <row r="210" spans="1:20" ht="15" customHeight="1">
      <c r="A210" s="91"/>
      <c r="B210" s="91"/>
      <c r="C210" s="91"/>
      <c r="D210" s="91"/>
      <c r="E210" s="91"/>
      <c r="F210" s="91"/>
      <c r="G210" s="91"/>
      <c r="H210" s="91"/>
      <c r="I210" s="91"/>
      <c r="J210" s="91"/>
      <c r="K210" s="91"/>
      <c r="L210" s="177"/>
      <c r="M210" s="467" t="str">
        <f>"Calibrated by "&amp;Client!$B$23</f>
        <v xml:space="preserve">Calibrated by </v>
      </c>
      <c r="N210" s="467"/>
      <c r="O210" s="467"/>
      <c r="P210" s="467"/>
      <c r="Q210" s="467"/>
      <c r="R210" s="467"/>
      <c r="S210" s="117"/>
      <c r="T210" s="48"/>
    </row>
    <row r="211" spans="1:20" ht="15" customHeight="1">
      <c r="A211" s="91"/>
      <c r="B211" s="91"/>
      <c r="C211" s="91"/>
      <c r="D211" s="91"/>
      <c r="E211" s="91"/>
      <c r="F211" s="91"/>
      <c r="G211" s="91"/>
      <c r="H211" s="91"/>
      <c r="I211" s="91"/>
      <c r="J211" s="91"/>
      <c r="K211" s="91"/>
      <c r="L211" s="177"/>
      <c r="M211" s="177"/>
      <c r="N211" s="177"/>
      <c r="O211" s="177"/>
      <c r="P211" s="177"/>
      <c r="Q211" s="177"/>
      <c r="R211" s="137"/>
      <c r="S211" s="39"/>
    </row>
    <row r="212" spans="1:20" ht="15" customHeight="1">
      <c r="A212" s="91"/>
      <c r="B212" s="91"/>
      <c r="C212" s="91"/>
      <c r="D212" s="91"/>
      <c r="E212" s="91"/>
      <c r="F212" s="91"/>
      <c r="G212" s="91"/>
      <c r="H212" s="91"/>
      <c r="I212" s="91"/>
      <c r="J212" s="91"/>
      <c r="K212" s="91"/>
      <c r="L212" s="177"/>
      <c r="M212" s="177"/>
      <c r="N212" s="177"/>
      <c r="O212" s="177"/>
      <c r="P212" s="177"/>
      <c r="Q212" s="177"/>
      <c r="R212" s="137"/>
      <c r="S212" s="39"/>
    </row>
    <row r="213" spans="1:20" ht="15" customHeight="1">
      <c r="A213" s="91"/>
      <c r="B213" s="91"/>
      <c r="C213" s="91"/>
      <c r="D213" s="91"/>
      <c r="E213" s="91"/>
      <c r="F213" s="91"/>
      <c r="G213" s="91"/>
      <c r="H213" s="91"/>
      <c r="I213" s="91"/>
      <c r="J213" s="91"/>
      <c r="K213" s="91"/>
      <c r="L213" s="177"/>
      <c r="M213" s="177"/>
      <c r="N213" s="177"/>
      <c r="O213" s="177"/>
      <c r="P213" s="177"/>
      <c r="Q213" s="177"/>
      <c r="R213" s="137"/>
      <c r="S213" s="39"/>
    </row>
    <row r="214" spans="1:20" ht="15" customHeight="1">
      <c r="A214" s="91"/>
      <c r="B214" s="91"/>
      <c r="C214" s="91"/>
      <c r="D214" s="91"/>
      <c r="E214" s="91"/>
      <c r="F214" s="91"/>
      <c r="G214" s="91"/>
      <c r="H214" s="91"/>
      <c r="I214" s="91"/>
      <c r="J214" s="91"/>
      <c r="K214" s="91"/>
      <c r="L214" s="91"/>
      <c r="M214" s="91"/>
      <c r="N214" s="91"/>
      <c r="O214" s="91"/>
      <c r="P214" s="91"/>
      <c r="Q214" s="91"/>
      <c r="R214" s="97"/>
    </row>
    <row r="215" spans="1:20" ht="12.75" customHeight="1">
      <c r="A215" s="420" t="str">
        <f>"Calibration No.: "&amp;$T$12</f>
        <v>Calibration No.: CAL11957/01</v>
      </c>
      <c r="B215" s="421"/>
      <c r="C215" s="421"/>
      <c r="D215" s="421"/>
      <c r="E215" s="421"/>
      <c r="F215" s="421"/>
      <c r="G215" s="421"/>
      <c r="H215" s="421"/>
      <c r="I215" s="422" t="str">
        <f>$G$31</f>
        <v>0</v>
      </c>
      <c r="J215" s="421"/>
      <c r="K215" s="421"/>
      <c r="L215" s="421"/>
      <c r="M215" s="421"/>
      <c r="N215" s="420" t="s">
        <v>360</v>
      </c>
      <c r="O215" s="423"/>
      <c r="P215" s="423"/>
      <c r="Q215" s="423"/>
      <c r="R215" s="423"/>
      <c r="S215" s="423"/>
      <c r="T215" s="423" t="s">
        <v>1141</v>
      </c>
    </row>
    <row r="216" spans="1:20">
      <c r="A216" s="97"/>
      <c r="B216" s="97"/>
      <c r="C216" s="97"/>
      <c r="D216" s="97"/>
      <c r="E216" s="97"/>
      <c r="F216" s="97"/>
      <c r="G216" s="97"/>
      <c r="H216" s="97"/>
      <c r="I216" s="97"/>
      <c r="J216" s="97"/>
      <c r="K216" s="97"/>
      <c r="L216" s="97"/>
      <c r="M216" s="97"/>
      <c r="N216" s="97"/>
      <c r="O216" s="97"/>
      <c r="P216" s="97"/>
      <c r="Q216" s="97"/>
      <c r="R216" s="97"/>
    </row>
    <row r="217" spans="1:20">
      <c r="A217" s="97"/>
      <c r="B217" s="97"/>
      <c r="C217" s="97"/>
      <c r="D217" s="97"/>
      <c r="E217" s="97"/>
      <c r="F217" s="97"/>
      <c r="G217" s="97"/>
      <c r="H217" s="97"/>
      <c r="I217" s="97"/>
      <c r="J217" s="97"/>
      <c r="K217" s="97"/>
      <c r="L217" s="97"/>
      <c r="M217" s="97"/>
      <c r="N217" s="97"/>
      <c r="O217" s="97"/>
      <c r="P217" s="97"/>
      <c r="Q217" s="97"/>
      <c r="R217" s="97"/>
    </row>
    <row r="218" spans="1:20">
      <c r="A218" s="97"/>
      <c r="B218" s="97"/>
      <c r="C218" s="97"/>
      <c r="D218" s="97"/>
      <c r="E218" s="97"/>
      <c r="F218" s="97"/>
      <c r="G218" s="97"/>
      <c r="H218" s="97"/>
      <c r="I218" s="97"/>
      <c r="J218" s="97"/>
      <c r="K218" s="97"/>
      <c r="L218" s="97"/>
      <c r="M218" s="97"/>
      <c r="N218" s="97"/>
      <c r="O218" s="97"/>
      <c r="P218" s="97"/>
      <c r="Q218" s="97"/>
      <c r="R218" s="97"/>
    </row>
    <row r="219" spans="1:20">
      <c r="A219" s="97"/>
      <c r="B219" s="97"/>
      <c r="C219" s="97"/>
      <c r="D219" s="97"/>
      <c r="E219" s="97"/>
      <c r="F219" s="97"/>
      <c r="G219" s="97"/>
      <c r="H219" s="97"/>
      <c r="I219" s="97"/>
      <c r="J219" s="97"/>
      <c r="K219" s="97"/>
      <c r="L219" s="97"/>
      <c r="M219" s="97"/>
      <c r="N219" s="97"/>
      <c r="O219" s="97"/>
      <c r="P219" s="97"/>
      <c r="Q219" s="97"/>
      <c r="R219" s="97"/>
    </row>
    <row r="220" spans="1:20">
      <c r="A220" s="97"/>
      <c r="B220" s="97"/>
      <c r="C220" s="97"/>
      <c r="D220" s="97"/>
      <c r="E220" s="97"/>
      <c r="F220" s="97"/>
      <c r="G220" s="97"/>
      <c r="H220" s="97"/>
      <c r="I220" s="97"/>
      <c r="J220" s="97"/>
      <c r="K220" s="97"/>
      <c r="L220" s="97"/>
      <c r="M220" s="97"/>
      <c r="N220" s="97"/>
      <c r="O220" s="97"/>
      <c r="P220" s="97"/>
      <c r="Q220" s="97"/>
      <c r="R220" s="97"/>
    </row>
    <row r="221" spans="1:20">
      <c r="A221" s="97"/>
      <c r="B221" s="97"/>
      <c r="C221" s="97"/>
      <c r="D221" s="97"/>
      <c r="E221" s="97"/>
      <c r="F221" s="97"/>
      <c r="G221" s="97"/>
      <c r="H221" s="97"/>
      <c r="I221" s="97"/>
      <c r="J221" s="97"/>
      <c r="K221" s="97"/>
      <c r="L221" s="97"/>
      <c r="M221" s="97"/>
      <c r="N221" s="97"/>
      <c r="O221" s="97"/>
      <c r="P221" s="97"/>
      <c r="Q221" s="97"/>
      <c r="R221" s="97"/>
    </row>
    <row r="222" spans="1:20">
      <c r="A222" s="97"/>
      <c r="B222" s="97"/>
      <c r="C222" s="97"/>
      <c r="D222" s="97"/>
      <c r="E222" s="97"/>
      <c r="F222" s="97"/>
      <c r="G222" s="97"/>
      <c r="H222" s="97"/>
      <c r="I222" s="97"/>
      <c r="J222" s="97"/>
      <c r="K222" s="97"/>
      <c r="L222" s="97"/>
      <c r="M222" s="97"/>
      <c r="N222" s="97"/>
      <c r="O222" s="97"/>
      <c r="P222" s="97"/>
      <c r="Q222" s="97"/>
      <c r="R222" s="97"/>
    </row>
    <row r="223" spans="1:20">
      <c r="A223" s="97"/>
      <c r="B223" s="97"/>
      <c r="C223" s="97"/>
      <c r="D223" s="97"/>
      <c r="E223" s="97"/>
      <c r="F223" s="97"/>
      <c r="G223" s="97"/>
      <c r="H223" s="97"/>
      <c r="I223" s="97"/>
      <c r="J223" s="97"/>
      <c r="K223" s="97"/>
      <c r="L223" s="97"/>
      <c r="M223" s="97"/>
      <c r="N223" s="97"/>
      <c r="O223" s="97"/>
      <c r="P223" s="97"/>
      <c r="Q223" s="97"/>
      <c r="R223" s="97"/>
    </row>
    <row r="224" spans="1:20">
      <c r="A224" s="97"/>
      <c r="B224" s="97"/>
      <c r="C224" s="97"/>
      <c r="D224" s="97"/>
      <c r="E224" s="97"/>
      <c r="F224" s="97"/>
      <c r="G224" s="97"/>
      <c r="H224" s="97"/>
      <c r="I224" s="97"/>
      <c r="J224" s="97"/>
      <c r="K224" s="97"/>
      <c r="L224" s="97"/>
      <c r="M224" s="97"/>
      <c r="N224" s="97"/>
      <c r="O224" s="97"/>
      <c r="P224" s="97"/>
      <c r="Q224" s="97"/>
      <c r="R224" s="97"/>
    </row>
    <row r="225" spans="1:18">
      <c r="A225" s="97"/>
      <c r="B225" s="97"/>
      <c r="C225" s="97"/>
      <c r="D225" s="97"/>
      <c r="E225" s="97"/>
      <c r="F225" s="97"/>
      <c r="G225" s="97"/>
      <c r="H225" s="97"/>
      <c r="I225" s="97"/>
      <c r="J225" s="97"/>
      <c r="K225" s="97"/>
      <c r="L225" s="97"/>
      <c r="M225" s="97"/>
      <c r="N225" s="97"/>
      <c r="O225" s="97"/>
      <c r="P225" s="97"/>
      <c r="Q225" s="97"/>
      <c r="R225" s="97"/>
    </row>
    <row r="226" spans="1:18">
      <c r="A226" s="97"/>
      <c r="B226" s="97"/>
      <c r="C226" s="97"/>
      <c r="D226" s="97"/>
      <c r="E226" s="97"/>
      <c r="F226" s="97"/>
      <c r="G226" s="97"/>
      <c r="H226" s="97"/>
      <c r="I226" s="97"/>
      <c r="J226" s="97"/>
      <c r="K226" s="97"/>
      <c r="L226" s="97"/>
      <c r="M226" s="97"/>
      <c r="N226" s="97"/>
      <c r="O226" s="97"/>
      <c r="P226" s="97"/>
      <c r="Q226" s="97"/>
      <c r="R226" s="97"/>
    </row>
    <row r="227" spans="1:18">
      <c r="A227" s="97"/>
      <c r="B227" s="97"/>
      <c r="C227" s="97"/>
      <c r="D227" s="97"/>
      <c r="E227" s="97"/>
      <c r="F227" s="97"/>
      <c r="G227" s="97"/>
      <c r="H227" s="97"/>
      <c r="I227" s="97"/>
      <c r="J227" s="97"/>
      <c r="K227" s="97"/>
      <c r="L227" s="97"/>
      <c r="M227" s="97"/>
      <c r="N227" s="97"/>
      <c r="O227" s="97"/>
      <c r="P227" s="97"/>
      <c r="Q227" s="97"/>
      <c r="R227" s="97"/>
    </row>
    <row r="228" spans="1:18">
      <c r="A228" s="97"/>
      <c r="B228" s="97"/>
      <c r="C228" s="97"/>
      <c r="D228" s="97"/>
      <c r="E228" s="97"/>
      <c r="F228" s="97"/>
      <c r="G228" s="97"/>
      <c r="H228" s="97"/>
      <c r="I228" s="97"/>
      <c r="J228" s="97"/>
      <c r="K228" s="97"/>
      <c r="L228" s="97"/>
      <c r="M228" s="97"/>
      <c r="N228" s="97"/>
      <c r="O228" s="97"/>
      <c r="P228" s="97"/>
      <c r="Q228" s="97"/>
      <c r="R228" s="97"/>
    </row>
    <row r="229" spans="1:18">
      <c r="A229" s="97"/>
      <c r="B229" s="97"/>
      <c r="C229" s="97"/>
      <c r="D229" s="97"/>
      <c r="E229" s="97"/>
      <c r="F229" s="97"/>
      <c r="G229" s="97"/>
      <c r="H229" s="97"/>
      <c r="I229" s="97"/>
      <c r="J229" s="97"/>
      <c r="K229" s="97"/>
      <c r="L229" s="97"/>
      <c r="M229" s="97"/>
      <c r="N229" s="97"/>
      <c r="O229" s="97"/>
      <c r="P229" s="97"/>
      <c r="Q229" s="97"/>
      <c r="R229" s="97"/>
    </row>
    <row r="230" spans="1:18">
      <c r="A230" s="97"/>
      <c r="B230" s="97"/>
      <c r="C230" s="97"/>
      <c r="D230" s="97"/>
      <c r="E230" s="97"/>
      <c r="F230" s="97"/>
      <c r="G230" s="97"/>
      <c r="H230" s="97"/>
      <c r="I230" s="97"/>
      <c r="J230" s="97"/>
      <c r="K230" s="97"/>
      <c r="L230" s="97"/>
      <c r="M230" s="97"/>
      <c r="N230" s="97"/>
      <c r="O230" s="97"/>
      <c r="P230" s="97"/>
      <c r="Q230" s="97"/>
      <c r="R230" s="97"/>
    </row>
    <row r="231" spans="1:18">
      <c r="A231" s="97"/>
      <c r="B231" s="97"/>
      <c r="C231" s="97"/>
      <c r="D231" s="97"/>
      <c r="E231" s="97"/>
      <c r="F231" s="97"/>
      <c r="G231" s="97"/>
      <c r="H231" s="97"/>
      <c r="I231" s="97"/>
      <c r="J231" s="97"/>
      <c r="K231" s="97"/>
      <c r="L231" s="97"/>
      <c r="M231" s="97"/>
      <c r="N231" s="97"/>
      <c r="O231" s="97"/>
      <c r="P231" s="97"/>
      <c r="Q231" s="97"/>
      <c r="R231" s="97"/>
    </row>
    <row r="232" spans="1:18">
      <c r="A232" s="97"/>
      <c r="B232" s="97"/>
      <c r="C232" s="97"/>
      <c r="D232" s="97"/>
      <c r="E232" s="97"/>
      <c r="F232" s="97"/>
      <c r="G232" s="97"/>
      <c r="H232" s="97"/>
      <c r="I232" s="97"/>
      <c r="J232" s="97"/>
      <c r="K232" s="97"/>
      <c r="L232" s="97"/>
      <c r="M232" s="97"/>
      <c r="N232" s="97"/>
      <c r="O232" s="97"/>
      <c r="P232" s="97"/>
      <c r="Q232" s="97"/>
      <c r="R232" s="97"/>
    </row>
    <row r="233" spans="1:18">
      <c r="A233" s="97"/>
      <c r="B233" s="97"/>
      <c r="C233" s="97"/>
      <c r="D233" s="97"/>
      <c r="E233" s="97"/>
      <c r="F233" s="97"/>
      <c r="G233" s="97"/>
      <c r="H233" s="97"/>
      <c r="I233" s="97"/>
      <c r="J233" s="97"/>
      <c r="K233" s="97"/>
      <c r="L233" s="97"/>
      <c r="M233" s="97"/>
      <c r="N233" s="97"/>
      <c r="O233" s="97"/>
      <c r="P233" s="97"/>
      <c r="Q233" s="97"/>
      <c r="R233" s="97"/>
    </row>
    <row r="234" spans="1:18">
      <c r="A234" s="97"/>
      <c r="B234" s="97"/>
      <c r="C234" s="97"/>
      <c r="D234" s="97"/>
      <c r="E234" s="97"/>
      <c r="F234" s="97"/>
      <c r="G234" s="97"/>
      <c r="H234" s="97"/>
      <c r="I234" s="97"/>
      <c r="J234" s="97"/>
      <c r="K234" s="97"/>
      <c r="L234" s="97"/>
      <c r="M234" s="97"/>
      <c r="N234" s="97"/>
      <c r="O234" s="97"/>
      <c r="P234" s="97"/>
      <c r="Q234" s="97"/>
      <c r="R234" s="97"/>
    </row>
    <row r="235" spans="1:18">
      <c r="A235" s="97"/>
      <c r="B235" s="97"/>
      <c r="C235" s="97"/>
      <c r="D235" s="97"/>
      <c r="E235" s="97"/>
      <c r="F235" s="97"/>
      <c r="G235" s="97"/>
      <c r="H235" s="97"/>
      <c r="I235" s="97"/>
      <c r="J235" s="97"/>
      <c r="K235" s="97"/>
      <c r="L235" s="97"/>
      <c r="M235" s="97"/>
      <c r="N235" s="97"/>
      <c r="O235" s="97"/>
      <c r="P235" s="97"/>
      <c r="Q235" s="97"/>
      <c r="R235" s="97"/>
    </row>
    <row r="236" spans="1:18">
      <c r="A236" s="97"/>
      <c r="B236" s="97"/>
      <c r="C236" s="97"/>
      <c r="D236" s="97"/>
      <c r="E236" s="97"/>
      <c r="F236" s="97"/>
      <c r="G236" s="97"/>
      <c r="H236" s="97"/>
      <c r="I236" s="97"/>
      <c r="J236" s="97"/>
      <c r="K236" s="97"/>
      <c r="L236" s="97"/>
      <c r="M236" s="97"/>
      <c r="N236" s="97"/>
      <c r="O236" s="97"/>
      <c r="P236" s="97"/>
      <c r="Q236" s="97"/>
      <c r="R236" s="97"/>
    </row>
    <row r="237" spans="1:18">
      <c r="A237" s="97"/>
      <c r="B237" s="97"/>
      <c r="C237" s="97"/>
      <c r="D237" s="97"/>
      <c r="E237" s="97"/>
      <c r="F237" s="97"/>
      <c r="G237" s="97"/>
      <c r="H237" s="97"/>
      <c r="I237" s="97"/>
      <c r="J237" s="97"/>
      <c r="K237" s="97"/>
      <c r="L237" s="97"/>
      <c r="M237" s="97"/>
      <c r="N237" s="97"/>
      <c r="O237" s="97"/>
      <c r="P237" s="97"/>
      <c r="Q237" s="97"/>
      <c r="R237" s="97"/>
    </row>
    <row r="238" spans="1:18">
      <c r="A238" s="97"/>
      <c r="B238" s="97"/>
      <c r="C238" s="97"/>
      <c r="D238" s="97"/>
      <c r="E238" s="97"/>
      <c r="F238" s="97"/>
      <c r="G238" s="97"/>
      <c r="H238" s="97"/>
      <c r="I238" s="97"/>
      <c r="J238" s="97"/>
      <c r="K238" s="97"/>
      <c r="L238" s="97"/>
      <c r="M238" s="97"/>
      <c r="N238" s="97"/>
      <c r="O238" s="97"/>
      <c r="P238" s="97"/>
      <c r="Q238" s="97"/>
      <c r="R238" s="97"/>
    </row>
    <row r="239" spans="1:18">
      <c r="A239" s="97"/>
      <c r="B239" s="97"/>
      <c r="C239" s="97"/>
      <c r="D239" s="97"/>
      <c r="E239" s="97"/>
      <c r="F239" s="97"/>
      <c r="G239" s="97"/>
      <c r="H239" s="97"/>
      <c r="I239" s="97"/>
      <c r="J239" s="97"/>
      <c r="K239" s="97"/>
      <c r="L239" s="97"/>
      <c r="M239" s="97"/>
      <c r="N239" s="97"/>
      <c r="O239" s="97"/>
      <c r="P239" s="97"/>
      <c r="Q239" s="97"/>
      <c r="R239" s="97"/>
    </row>
    <row r="240" spans="1:18">
      <c r="A240" s="97"/>
      <c r="B240" s="97"/>
      <c r="C240" s="97"/>
      <c r="D240" s="97"/>
      <c r="E240" s="97"/>
      <c r="F240" s="97"/>
      <c r="G240" s="97"/>
      <c r="H240" s="97"/>
      <c r="I240" s="97"/>
      <c r="J240" s="97"/>
      <c r="K240" s="97"/>
      <c r="L240" s="97"/>
      <c r="M240" s="97"/>
      <c r="N240" s="97"/>
      <c r="O240" s="97"/>
      <c r="P240" s="97"/>
      <c r="Q240" s="97"/>
      <c r="R240" s="97"/>
    </row>
    <row r="241" spans="1:18">
      <c r="A241" s="97"/>
      <c r="B241" s="97"/>
      <c r="C241" s="97"/>
      <c r="D241" s="97"/>
      <c r="E241" s="97"/>
      <c r="F241" s="97"/>
      <c r="G241" s="97"/>
      <c r="H241" s="97"/>
      <c r="I241" s="97"/>
      <c r="J241" s="97"/>
      <c r="K241" s="97"/>
      <c r="L241" s="97"/>
      <c r="M241" s="97"/>
      <c r="N241" s="97"/>
      <c r="O241" s="97"/>
      <c r="P241" s="97"/>
      <c r="Q241" s="97"/>
      <c r="R241" s="97"/>
    </row>
    <row r="242" spans="1:18">
      <c r="A242" s="97"/>
      <c r="B242" s="97"/>
      <c r="C242" s="97"/>
      <c r="D242" s="97"/>
      <c r="E242" s="97"/>
      <c r="F242" s="97"/>
      <c r="G242" s="97"/>
      <c r="H242" s="97"/>
      <c r="I242" s="97"/>
      <c r="J242" s="97"/>
      <c r="K242" s="97"/>
      <c r="L242" s="97"/>
      <c r="M242" s="97"/>
      <c r="N242" s="97"/>
      <c r="O242" s="97"/>
      <c r="P242" s="97"/>
      <c r="Q242" s="97"/>
      <c r="R242" s="97"/>
    </row>
    <row r="243" spans="1:18">
      <c r="A243" s="97"/>
      <c r="B243" s="97"/>
      <c r="C243" s="97"/>
      <c r="D243" s="97"/>
      <c r="E243" s="97"/>
      <c r="F243" s="97"/>
      <c r="G243" s="97"/>
      <c r="H243" s="97"/>
      <c r="I243" s="97"/>
      <c r="J243" s="97"/>
      <c r="K243" s="97"/>
      <c r="L243" s="97"/>
      <c r="M243" s="97"/>
      <c r="N243" s="97"/>
      <c r="O243" s="97"/>
      <c r="P243" s="97"/>
      <c r="Q243" s="97"/>
      <c r="R243" s="97"/>
    </row>
    <row r="244" spans="1:18">
      <c r="A244" s="97"/>
      <c r="B244" s="97"/>
      <c r="C244" s="97"/>
      <c r="D244" s="97"/>
      <c r="E244" s="97"/>
      <c r="F244" s="97"/>
      <c r="G244" s="97"/>
      <c r="H244" s="97"/>
      <c r="I244" s="97"/>
      <c r="J244" s="97"/>
      <c r="K244" s="97"/>
      <c r="L244" s="97"/>
      <c r="M244" s="97"/>
      <c r="N244" s="97"/>
      <c r="O244" s="97"/>
      <c r="P244" s="97"/>
      <c r="Q244" s="97"/>
      <c r="R244" s="97"/>
    </row>
    <row r="245" spans="1:18">
      <c r="A245" s="97"/>
      <c r="B245" s="97"/>
      <c r="C245" s="97"/>
      <c r="D245" s="97"/>
      <c r="E245" s="97"/>
      <c r="F245" s="97"/>
      <c r="G245" s="97"/>
      <c r="H245" s="97"/>
      <c r="I245" s="97"/>
      <c r="J245" s="97"/>
      <c r="K245" s="97"/>
      <c r="L245" s="97"/>
      <c r="M245" s="97"/>
      <c r="N245" s="97"/>
      <c r="O245" s="97"/>
      <c r="P245" s="97"/>
      <c r="Q245" s="97"/>
      <c r="R245" s="97"/>
    </row>
    <row r="246" spans="1:18">
      <c r="A246" s="97"/>
      <c r="B246" s="97"/>
      <c r="C246" s="97"/>
      <c r="D246" s="97"/>
      <c r="E246" s="97"/>
      <c r="F246" s="97"/>
      <c r="G246" s="97"/>
      <c r="H246" s="97"/>
      <c r="I246" s="97"/>
      <c r="J246" s="97"/>
      <c r="K246" s="97"/>
      <c r="L246" s="97"/>
      <c r="M246" s="97"/>
      <c r="N246" s="97"/>
      <c r="O246" s="97"/>
      <c r="P246" s="97"/>
      <c r="Q246" s="97"/>
      <c r="R246" s="97"/>
    </row>
    <row r="247" spans="1:18">
      <c r="A247" s="97"/>
      <c r="B247" s="97"/>
      <c r="C247" s="97"/>
      <c r="D247" s="97"/>
      <c r="E247" s="97"/>
      <c r="F247" s="97"/>
      <c r="G247" s="97"/>
      <c r="H247" s="97"/>
      <c r="I247" s="97"/>
      <c r="J247" s="97"/>
      <c r="K247" s="97"/>
      <c r="L247" s="97"/>
      <c r="M247" s="97"/>
      <c r="N247" s="97"/>
      <c r="O247" s="97"/>
      <c r="P247" s="97"/>
      <c r="Q247" s="97"/>
      <c r="R247" s="97"/>
    </row>
    <row r="248" spans="1:18">
      <c r="A248" s="97"/>
      <c r="B248" s="97"/>
      <c r="C248" s="97"/>
      <c r="D248" s="97"/>
      <c r="E248" s="97"/>
      <c r="F248" s="97"/>
      <c r="G248" s="97"/>
      <c r="H248" s="97"/>
      <c r="I248" s="97"/>
      <c r="J248" s="97"/>
      <c r="K248" s="97"/>
      <c r="L248" s="97"/>
      <c r="M248" s="97"/>
      <c r="N248" s="97"/>
      <c r="O248" s="97"/>
      <c r="P248" s="97"/>
      <c r="Q248" s="97"/>
      <c r="R248" s="97"/>
    </row>
    <row r="249" spans="1:18">
      <c r="A249" s="97"/>
      <c r="B249" s="97"/>
      <c r="C249" s="97"/>
      <c r="D249" s="97"/>
      <c r="E249" s="97"/>
      <c r="F249" s="97"/>
      <c r="G249" s="97"/>
      <c r="H249" s="97"/>
      <c r="I249" s="97"/>
      <c r="J249" s="97"/>
      <c r="K249" s="97"/>
      <c r="L249" s="97"/>
      <c r="M249" s="97"/>
      <c r="N249" s="97"/>
      <c r="O249" s="97"/>
      <c r="P249" s="97"/>
      <c r="Q249" s="97"/>
      <c r="R249" s="97"/>
    </row>
    <row r="250" spans="1:18">
      <c r="A250" s="97"/>
      <c r="B250" s="97"/>
      <c r="C250" s="97"/>
      <c r="D250" s="97"/>
      <c r="E250" s="97"/>
      <c r="F250" s="97"/>
      <c r="G250" s="97"/>
      <c r="H250" s="97"/>
      <c r="I250" s="97"/>
      <c r="J250" s="97"/>
      <c r="K250" s="97"/>
      <c r="L250" s="97"/>
      <c r="M250" s="97"/>
      <c r="N250" s="97"/>
      <c r="O250" s="97"/>
      <c r="P250" s="97"/>
      <c r="Q250" s="97"/>
      <c r="R250" s="97"/>
    </row>
    <row r="251" spans="1:18">
      <c r="A251" s="97"/>
      <c r="B251" s="97"/>
      <c r="C251" s="97"/>
      <c r="D251" s="97"/>
      <c r="E251" s="97"/>
      <c r="F251" s="97"/>
      <c r="G251" s="97"/>
      <c r="H251" s="97"/>
      <c r="I251" s="97"/>
      <c r="J251" s="97"/>
      <c r="K251" s="97"/>
      <c r="L251" s="97"/>
      <c r="M251" s="97"/>
      <c r="N251" s="97"/>
      <c r="O251" s="97"/>
      <c r="P251" s="97"/>
      <c r="Q251" s="97"/>
      <c r="R251" s="97"/>
    </row>
    <row r="252" spans="1:18">
      <c r="A252" s="97"/>
      <c r="B252" s="97"/>
      <c r="C252" s="97"/>
      <c r="D252" s="97"/>
      <c r="E252" s="97"/>
      <c r="F252" s="97"/>
      <c r="G252" s="97"/>
      <c r="H252" s="97"/>
      <c r="I252" s="97"/>
      <c r="J252" s="97"/>
      <c r="K252" s="97"/>
      <c r="L252" s="97"/>
      <c r="M252" s="97"/>
      <c r="N252" s="97"/>
      <c r="O252" s="97"/>
      <c r="P252" s="97"/>
      <c r="Q252" s="97"/>
      <c r="R252" s="97"/>
    </row>
    <row r="253" spans="1:18">
      <c r="A253" s="97"/>
      <c r="B253" s="97"/>
      <c r="C253" s="97"/>
      <c r="D253" s="97"/>
      <c r="E253" s="97"/>
      <c r="F253" s="97"/>
      <c r="G253" s="97"/>
      <c r="H253" s="97"/>
      <c r="I253" s="97"/>
      <c r="J253" s="97"/>
      <c r="K253" s="97"/>
      <c r="L253" s="97"/>
      <c r="M253" s="97"/>
      <c r="N253" s="97"/>
      <c r="O253" s="97"/>
      <c r="P253" s="97"/>
      <c r="Q253" s="97"/>
      <c r="R253" s="97"/>
    </row>
    <row r="254" spans="1:18">
      <c r="A254" s="97"/>
      <c r="B254" s="97"/>
      <c r="C254" s="97"/>
      <c r="D254" s="97"/>
      <c r="E254" s="97"/>
      <c r="F254" s="97"/>
      <c r="G254" s="97"/>
      <c r="H254" s="97"/>
      <c r="I254" s="97"/>
      <c r="J254" s="97"/>
      <c r="K254" s="97"/>
      <c r="L254" s="97"/>
      <c r="M254" s="97"/>
      <c r="N254" s="97"/>
      <c r="O254" s="97"/>
      <c r="P254" s="97"/>
      <c r="Q254" s="97"/>
      <c r="R254" s="97"/>
    </row>
    <row r="255" spans="1:18">
      <c r="A255" s="97"/>
      <c r="B255" s="97"/>
      <c r="C255" s="97"/>
      <c r="D255" s="97"/>
      <c r="E255" s="97"/>
      <c r="F255" s="97"/>
      <c r="G255" s="97"/>
      <c r="H255" s="97"/>
      <c r="I255" s="97"/>
      <c r="J255" s="97"/>
      <c r="K255" s="97"/>
      <c r="L255" s="97"/>
      <c r="M255" s="97"/>
      <c r="N255" s="97"/>
      <c r="O255" s="97"/>
      <c r="P255" s="97"/>
      <c r="Q255" s="97"/>
      <c r="R255" s="97"/>
    </row>
    <row r="256" spans="1:18">
      <c r="A256" s="97"/>
      <c r="B256" s="97"/>
      <c r="C256" s="97"/>
      <c r="D256" s="97"/>
      <c r="E256" s="97"/>
      <c r="F256" s="97"/>
      <c r="G256" s="97"/>
      <c r="H256" s="97"/>
      <c r="I256" s="97"/>
      <c r="J256" s="97"/>
      <c r="K256" s="97"/>
      <c r="L256" s="97"/>
      <c r="M256" s="97"/>
      <c r="N256" s="97"/>
      <c r="O256" s="97"/>
      <c r="P256" s="97"/>
      <c r="Q256" s="97"/>
      <c r="R256" s="97"/>
    </row>
    <row r="257" spans="1:18">
      <c r="A257" s="97"/>
      <c r="B257" s="97"/>
      <c r="C257" s="97"/>
      <c r="D257" s="97"/>
      <c r="E257" s="97"/>
      <c r="F257" s="97"/>
      <c r="G257" s="97"/>
      <c r="H257" s="97"/>
      <c r="I257" s="97"/>
      <c r="J257" s="97"/>
      <c r="K257" s="97"/>
      <c r="L257" s="97"/>
      <c r="M257" s="97"/>
      <c r="N257" s="97"/>
      <c r="O257" s="97"/>
      <c r="P257" s="97"/>
      <c r="Q257" s="97"/>
      <c r="R257" s="97"/>
    </row>
    <row r="258" spans="1:18">
      <c r="A258" s="97"/>
      <c r="B258" s="97"/>
      <c r="C258" s="97"/>
      <c r="D258" s="97"/>
      <c r="E258" s="97"/>
      <c r="F258" s="97"/>
      <c r="G258" s="97"/>
      <c r="H258" s="97"/>
      <c r="I258" s="97"/>
      <c r="J258" s="97"/>
      <c r="K258" s="97"/>
      <c r="L258" s="97"/>
      <c r="M258" s="97"/>
      <c r="N258" s="97"/>
      <c r="O258" s="97"/>
      <c r="P258" s="97"/>
      <c r="Q258" s="97"/>
      <c r="R258" s="97"/>
    </row>
    <row r="259" spans="1:18">
      <c r="A259" s="97"/>
      <c r="B259" s="97"/>
      <c r="C259" s="97"/>
      <c r="D259" s="97"/>
      <c r="E259" s="97"/>
      <c r="F259" s="97"/>
      <c r="G259" s="97"/>
      <c r="H259" s="97"/>
      <c r="I259" s="97"/>
      <c r="J259" s="97"/>
      <c r="K259" s="97"/>
      <c r="L259" s="97"/>
      <c r="M259" s="97"/>
      <c r="N259" s="97"/>
      <c r="O259" s="97"/>
      <c r="P259" s="97"/>
      <c r="Q259" s="97"/>
      <c r="R259" s="97"/>
    </row>
    <row r="260" spans="1:18">
      <c r="A260" s="97"/>
      <c r="B260" s="97"/>
      <c r="C260" s="97"/>
      <c r="D260" s="97"/>
      <c r="E260" s="97"/>
      <c r="F260" s="97"/>
      <c r="G260" s="97"/>
      <c r="H260" s="97"/>
      <c r="I260" s="97"/>
      <c r="J260" s="97"/>
      <c r="K260" s="97"/>
      <c r="L260" s="97"/>
      <c r="M260" s="97"/>
      <c r="N260" s="97"/>
      <c r="O260" s="97"/>
      <c r="P260" s="97"/>
      <c r="Q260" s="97"/>
      <c r="R260" s="97"/>
    </row>
    <row r="261" spans="1:18">
      <c r="A261" s="97"/>
      <c r="B261" s="97"/>
      <c r="C261" s="97"/>
      <c r="D261" s="97"/>
      <c r="E261" s="97"/>
      <c r="F261" s="97"/>
      <c r="G261" s="97"/>
      <c r="H261" s="97"/>
      <c r="I261" s="97"/>
      <c r="J261" s="97"/>
      <c r="K261" s="97"/>
      <c r="L261" s="97"/>
      <c r="M261" s="97"/>
      <c r="N261" s="97"/>
      <c r="O261" s="97"/>
      <c r="P261" s="97"/>
      <c r="Q261" s="97"/>
      <c r="R261" s="97"/>
    </row>
    <row r="262" spans="1:18">
      <c r="A262" s="97"/>
      <c r="B262" s="97"/>
      <c r="C262" s="97"/>
      <c r="D262" s="97"/>
      <c r="E262" s="97"/>
      <c r="F262" s="97"/>
      <c r="G262" s="97"/>
      <c r="H262" s="97"/>
      <c r="I262" s="97"/>
      <c r="J262" s="97"/>
      <c r="K262" s="97"/>
      <c r="L262" s="97"/>
      <c r="M262" s="97"/>
      <c r="N262" s="97"/>
      <c r="O262" s="97"/>
      <c r="P262" s="97"/>
      <c r="Q262" s="97"/>
      <c r="R262" s="97"/>
    </row>
    <row r="263" spans="1:18">
      <c r="A263" s="97"/>
      <c r="B263" s="97"/>
      <c r="C263" s="97"/>
      <c r="D263" s="97"/>
      <c r="E263" s="97"/>
      <c r="F263" s="97"/>
      <c r="G263" s="97"/>
      <c r="H263" s="97"/>
      <c r="I263" s="97"/>
      <c r="J263" s="97"/>
      <c r="K263" s="97"/>
      <c r="L263" s="97"/>
      <c r="M263" s="97"/>
      <c r="N263" s="97"/>
      <c r="O263" s="97"/>
      <c r="P263" s="97"/>
      <c r="Q263" s="97"/>
      <c r="R263" s="97"/>
    </row>
    <row r="264" spans="1:18">
      <c r="A264" s="97"/>
      <c r="B264" s="97"/>
      <c r="C264" s="97"/>
      <c r="D264" s="97"/>
      <c r="E264" s="97"/>
      <c r="F264" s="97"/>
      <c r="G264" s="97"/>
      <c r="H264" s="97"/>
      <c r="I264" s="97"/>
      <c r="J264" s="97"/>
      <c r="K264" s="97"/>
      <c r="L264" s="97"/>
      <c r="M264" s="97"/>
      <c r="N264" s="97"/>
      <c r="O264" s="97"/>
      <c r="P264" s="97"/>
      <c r="Q264" s="97"/>
      <c r="R264" s="97"/>
    </row>
    <row r="265" spans="1:18">
      <c r="A265" s="97"/>
      <c r="B265" s="97"/>
      <c r="C265" s="97"/>
      <c r="D265" s="97"/>
      <c r="E265" s="97"/>
      <c r="F265" s="97"/>
      <c r="G265" s="97"/>
      <c r="H265" s="97"/>
      <c r="I265" s="97"/>
      <c r="J265" s="97"/>
      <c r="K265" s="97"/>
      <c r="L265" s="97"/>
      <c r="M265" s="97"/>
      <c r="N265" s="97"/>
      <c r="O265" s="97"/>
      <c r="P265" s="97"/>
      <c r="Q265" s="97"/>
      <c r="R265" s="97"/>
    </row>
    <row r="266" spans="1:18">
      <c r="A266" s="97"/>
      <c r="B266" s="97"/>
      <c r="C266" s="97"/>
      <c r="D266" s="97"/>
      <c r="E266" s="97"/>
      <c r="F266" s="97"/>
      <c r="G266" s="97"/>
      <c r="H266" s="97"/>
      <c r="I266" s="97"/>
      <c r="J266" s="97"/>
      <c r="K266" s="97"/>
      <c r="L266" s="97"/>
      <c r="M266" s="97"/>
      <c r="N266" s="97"/>
      <c r="O266" s="97"/>
      <c r="P266" s="97"/>
      <c r="Q266" s="97"/>
      <c r="R266" s="97"/>
    </row>
    <row r="267" spans="1:18">
      <c r="A267" s="97"/>
      <c r="B267" s="97"/>
      <c r="C267" s="97"/>
      <c r="D267" s="97"/>
      <c r="E267" s="97"/>
      <c r="F267" s="97"/>
      <c r="G267" s="97"/>
      <c r="H267" s="97"/>
      <c r="I267" s="97"/>
      <c r="J267" s="97"/>
      <c r="K267" s="97"/>
      <c r="L267" s="97"/>
      <c r="M267" s="97"/>
      <c r="N267" s="97"/>
      <c r="O267" s="97"/>
      <c r="P267" s="97"/>
      <c r="Q267" s="97"/>
      <c r="R267" s="97"/>
    </row>
    <row r="268" spans="1:18">
      <c r="A268" s="97"/>
      <c r="B268" s="97"/>
      <c r="C268" s="97"/>
      <c r="D268" s="97"/>
      <c r="E268" s="97"/>
      <c r="F268" s="97"/>
      <c r="G268" s="97"/>
      <c r="H268" s="97"/>
      <c r="I268" s="97"/>
      <c r="J268" s="97"/>
      <c r="K268" s="97"/>
      <c r="L268" s="97"/>
      <c r="M268" s="97"/>
      <c r="N268" s="97"/>
      <c r="O268" s="97"/>
      <c r="P268" s="97"/>
      <c r="Q268" s="97"/>
      <c r="R268" s="97"/>
    </row>
    <row r="269" spans="1:18">
      <c r="A269" s="97"/>
      <c r="B269" s="97"/>
      <c r="C269" s="97"/>
      <c r="D269" s="97"/>
      <c r="E269" s="97"/>
      <c r="F269" s="97"/>
      <c r="G269" s="97"/>
      <c r="H269" s="97"/>
      <c r="I269" s="97"/>
      <c r="J269" s="97"/>
      <c r="K269" s="97"/>
      <c r="L269" s="97"/>
      <c r="M269" s="97"/>
      <c r="N269" s="97"/>
      <c r="O269" s="97"/>
      <c r="P269" s="97"/>
      <c r="Q269" s="97"/>
      <c r="R269" s="97"/>
    </row>
    <row r="270" spans="1:18">
      <c r="A270" s="97"/>
      <c r="B270" s="97"/>
      <c r="C270" s="97"/>
      <c r="D270" s="97"/>
      <c r="E270" s="97"/>
      <c r="F270" s="97"/>
      <c r="G270" s="97"/>
      <c r="H270" s="97"/>
      <c r="I270" s="97"/>
      <c r="J270" s="97"/>
      <c r="K270" s="97"/>
      <c r="L270" s="97"/>
      <c r="M270" s="97"/>
      <c r="N270" s="97"/>
      <c r="O270" s="97"/>
      <c r="P270" s="97"/>
      <c r="Q270" s="97"/>
      <c r="R270" s="97"/>
    </row>
    <row r="271" spans="1:18">
      <c r="A271" s="97"/>
      <c r="B271" s="97"/>
      <c r="C271" s="97"/>
      <c r="D271" s="97"/>
      <c r="E271" s="97"/>
      <c r="F271" s="97"/>
      <c r="G271" s="97"/>
      <c r="H271" s="97"/>
      <c r="I271" s="97"/>
      <c r="J271" s="97"/>
      <c r="K271" s="97"/>
      <c r="L271" s="97"/>
      <c r="M271" s="97"/>
      <c r="N271" s="97"/>
      <c r="O271" s="97"/>
      <c r="P271" s="97"/>
      <c r="Q271" s="97"/>
      <c r="R271" s="97"/>
    </row>
    <row r="272" spans="1:18">
      <c r="A272" s="97"/>
      <c r="B272" s="97"/>
      <c r="C272" s="97"/>
      <c r="D272" s="97"/>
      <c r="E272" s="97"/>
      <c r="F272" s="97"/>
      <c r="G272" s="97"/>
      <c r="H272" s="97"/>
      <c r="I272" s="97"/>
      <c r="J272" s="97"/>
      <c r="K272" s="97"/>
      <c r="L272" s="97"/>
      <c r="M272" s="97"/>
      <c r="N272" s="97"/>
      <c r="O272" s="97"/>
      <c r="P272" s="97"/>
      <c r="Q272" s="97"/>
      <c r="R272" s="97"/>
    </row>
    <row r="273" spans="1:18">
      <c r="A273" s="97"/>
      <c r="B273" s="97"/>
      <c r="C273" s="97"/>
      <c r="D273" s="97"/>
      <c r="E273" s="97"/>
      <c r="F273" s="97"/>
      <c r="G273" s="97"/>
      <c r="H273" s="97"/>
      <c r="I273" s="97"/>
      <c r="J273" s="97"/>
      <c r="K273" s="97"/>
      <c r="L273" s="97"/>
      <c r="M273" s="97"/>
      <c r="N273" s="97"/>
      <c r="O273" s="97"/>
      <c r="P273" s="97"/>
      <c r="Q273" s="97"/>
      <c r="R273" s="97"/>
    </row>
    <row r="274" spans="1:18">
      <c r="A274" s="97"/>
      <c r="B274" s="97"/>
      <c r="C274" s="97"/>
      <c r="D274" s="97"/>
      <c r="E274" s="97"/>
      <c r="F274" s="97"/>
      <c r="G274" s="97"/>
      <c r="H274" s="97"/>
      <c r="I274" s="97"/>
      <c r="J274" s="97"/>
      <c r="K274" s="97"/>
      <c r="L274" s="97"/>
      <c r="M274" s="97"/>
      <c r="N274" s="97"/>
      <c r="O274" s="97"/>
      <c r="P274" s="97"/>
      <c r="Q274" s="97"/>
      <c r="R274" s="97"/>
    </row>
    <row r="275" spans="1:18">
      <c r="A275" s="97"/>
      <c r="B275" s="97"/>
      <c r="C275" s="97"/>
      <c r="D275" s="97"/>
      <c r="E275" s="97"/>
      <c r="F275" s="97"/>
      <c r="G275" s="97"/>
      <c r="H275" s="97"/>
      <c r="I275" s="97"/>
      <c r="J275" s="97"/>
      <c r="K275" s="97"/>
      <c r="L275" s="97"/>
      <c r="M275" s="97"/>
      <c r="N275" s="97"/>
      <c r="O275" s="97"/>
      <c r="P275" s="97"/>
      <c r="Q275" s="97"/>
      <c r="R275" s="97"/>
    </row>
    <row r="276" spans="1:18">
      <c r="A276" s="97"/>
      <c r="B276" s="97"/>
      <c r="C276" s="97"/>
      <c r="D276" s="97"/>
      <c r="E276" s="97"/>
      <c r="F276" s="97"/>
      <c r="G276" s="97"/>
      <c r="H276" s="97"/>
      <c r="I276" s="97"/>
      <c r="J276" s="97"/>
      <c r="K276" s="97"/>
      <c r="L276" s="97"/>
      <c r="M276" s="97"/>
      <c r="N276" s="97"/>
      <c r="O276" s="97"/>
      <c r="P276" s="97"/>
      <c r="Q276" s="97"/>
      <c r="R276" s="97"/>
    </row>
    <row r="277" spans="1:18">
      <c r="A277" s="97"/>
      <c r="B277" s="97"/>
      <c r="C277" s="97"/>
      <c r="D277" s="97"/>
      <c r="E277" s="97"/>
      <c r="F277" s="97"/>
      <c r="G277" s="97"/>
      <c r="H277" s="97"/>
      <c r="I277" s="97"/>
      <c r="J277" s="97"/>
      <c r="K277" s="97"/>
      <c r="L277" s="97"/>
      <c r="M277" s="97"/>
      <c r="N277" s="97"/>
      <c r="O277" s="97"/>
      <c r="P277" s="97"/>
      <c r="Q277" s="97"/>
      <c r="R277" s="97"/>
    </row>
    <row r="278" spans="1:18">
      <c r="A278" s="97"/>
      <c r="B278" s="97"/>
      <c r="C278" s="97"/>
      <c r="D278" s="97"/>
      <c r="E278" s="97"/>
      <c r="F278" s="97"/>
      <c r="G278" s="97"/>
      <c r="H278" s="97"/>
      <c r="I278" s="97"/>
      <c r="J278" s="97"/>
      <c r="K278" s="97"/>
      <c r="L278" s="97"/>
      <c r="M278" s="97"/>
      <c r="N278" s="97"/>
      <c r="O278" s="97"/>
      <c r="P278" s="97"/>
      <c r="Q278" s="97"/>
      <c r="R278" s="97"/>
    </row>
    <row r="279" spans="1:18">
      <c r="A279" s="97"/>
      <c r="B279" s="97"/>
      <c r="C279" s="97"/>
      <c r="D279" s="97"/>
      <c r="E279" s="97"/>
      <c r="F279" s="97"/>
      <c r="G279" s="97"/>
      <c r="H279" s="97"/>
      <c r="I279" s="97"/>
      <c r="J279" s="97"/>
      <c r="K279" s="97"/>
      <c r="L279" s="97"/>
      <c r="M279" s="97"/>
      <c r="N279" s="97"/>
      <c r="O279" s="97"/>
      <c r="P279" s="97"/>
      <c r="Q279" s="97"/>
      <c r="R279" s="97"/>
    </row>
    <row r="280" spans="1:18">
      <c r="A280" s="97"/>
      <c r="B280" s="97"/>
      <c r="C280" s="97"/>
      <c r="D280" s="97"/>
      <c r="E280" s="97"/>
      <c r="F280" s="97"/>
      <c r="G280" s="97"/>
      <c r="H280" s="97"/>
      <c r="I280" s="97"/>
      <c r="J280" s="97"/>
      <c r="K280" s="97"/>
      <c r="L280" s="97"/>
      <c r="M280" s="97"/>
      <c r="N280" s="97"/>
      <c r="O280" s="97"/>
      <c r="P280" s="97"/>
      <c r="Q280" s="97"/>
      <c r="R280" s="97"/>
    </row>
    <row r="281" spans="1:18">
      <c r="A281" s="97"/>
      <c r="B281" s="97"/>
      <c r="C281" s="97"/>
      <c r="D281" s="97"/>
      <c r="E281" s="97"/>
      <c r="F281" s="97"/>
      <c r="G281" s="97"/>
      <c r="H281" s="97"/>
      <c r="I281" s="97"/>
      <c r="J281" s="97"/>
      <c r="K281" s="97"/>
      <c r="L281" s="97"/>
      <c r="M281" s="97"/>
      <c r="N281" s="97"/>
      <c r="O281" s="97"/>
      <c r="P281" s="97"/>
      <c r="Q281" s="97"/>
      <c r="R281" s="97"/>
    </row>
    <row r="282" spans="1:18">
      <c r="A282" s="97"/>
      <c r="B282" s="97"/>
      <c r="C282" s="97"/>
      <c r="D282" s="97"/>
      <c r="E282" s="97"/>
      <c r="F282" s="97"/>
      <c r="G282" s="97"/>
      <c r="H282" s="97"/>
      <c r="I282" s="97"/>
      <c r="J282" s="97"/>
      <c r="K282" s="97"/>
      <c r="L282" s="97"/>
      <c r="M282" s="97"/>
      <c r="N282" s="97"/>
      <c r="O282" s="97"/>
      <c r="P282" s="97"/>
      <c r="Q282" s="97"/>
      <c r="R282" s="97"/>
    </row>
    <row r="283" spans="1:18">
      <c r="A283" s="97"/>
      <c r="B283" s="97"/>
      <c r="C283" s="97"/>
      <c r="D283" s="97"/>
      <c r="E283" s="97"/>
      <c r="F283" s="97"/>
      <c r="G283" s="97"/>
      <c r="H283" s="97"/>
      <c r="I283" s="97"/>
      <c r="J283" s="97"/>
      <c r="K283" s="97"/>
      <c r="L283" s="97"/>
      <c r="M283" s="97"/>
      <c r="N283" s="97"/>
      <c r="O283" s="97"/>
      <c r="P283" s="97"/>
      <c r="Q283" s="97"/>
      <c r="R283" s="97"/>
    </row>
    <row r="284" spans="1:18">
      <c r="A284" s="97"/>
      <c r="B284" s="97"/>
      <c r="C284" s="97"/>
      <c r="D284" s="97"/>
      <c r="E284" s="97"/>
      <c r="F284" s="97"/>
      <c r="G284" s="97"/>
      <c r="H284" s="97"/>
      <c r="I284" s="97"/>
      <c r="J284" s="97"/>
      <c r="K284" s="97"/>
      <c r="L284" s="97"/>
      <c r="M284" s="97"/>
      <c r="N284" s="97"/>
      <c r="O284" s="97"/>
      <c r="P284" s="97"/>
      <c r="Q284" s="97"/>
      <c r="R284" s="97"/>
    </row>
    <row r="285" spans="1:18">
      <c r="A285" s="97"/>
      <c r="B285" s="97"/>
      <c r="C285" s="97"/>
      <c r="D285" s="97"/>
      <c r="E285" s="97"/>
      <c r="F285" s="97"/>
      <c r="G285" s="97"/>
      <c r="H285" s="97"/>
      <c r="I285" s="97"/>
      <c r="J285" s="97"/>
      <c r="K285" s="97"/>
      <c r="L285" s="97"/>
      <c r="M285" s="97"/>
      <c r="N285" s="97"/>
      <c r="O285" s="97"/>
      <c r="P285" s="97"/>
      <c r="Q285" s="97"/>
      <c r="R285" s="97"/>
    </row>
    <row r="286" spans="1:18">
      <c r="A286" s="97"/>
      <c r="B286" s="97"/>
      <c r="C286" s="97"/>
      <c r="D286" s="97"/>
      <c r="E286" s="97"/>
      <c r="F286" s="97"/>
      <c r="G286" s="97"/>
      <c r="H286" s="97"/>
      <c r="I286" s="97"/>
      <c r="J286" s="97"/>
      <c r="K286" s="97"/>
      <c r="L286" s="97"/>
      <c r="M286" s="97"/>
      <c r="N286" s="97"/>
      <c r="O286" s="97"/>
      <c r="P286" s="97"/>
      <c r="Q286" s="97"/>
      <c r="R286" s="97"/>
    </row>
    <row r="287" spans="1:18">
      <c r="A287" s="97"/>
      <c r="B287" s="97"/>
      <c r="C287" s="97"/>
      <c r="D287" s="97"/>
      <c r="E287" s="97"/>
      <c r="F287" s="97"/>
      <c r="G287" s="97"/>
      <c r="H287" s="97"/>
      <c r="I287" s="97"/>
      <c r="J287" s="97"/>
      <c r="K287" s="97"/>
      <c r="L287" s="97"/>
      <c r="M287" s="97"/>
      <c r="N287" s="97"/>
      <c r="O287" s="97"/>
      <c r="P287" s="97"/>
      <c r="Q287" s="97"/>
      <c r="R287" s="97"/>
    </row>
    <row r="288" spans="1:18">
      <c r="A288" s="97"/>
      <c r="B288" s="97"/>
      <c r="C288" s="97"/>
      <c r="D288" s="97"/>
      <c r="E288" s="97"/>
      <c r="F288" s="97"/>
      <c r="G288" s="97"/>
      <c r="H288" s="97"/>
      <c r="I288" s="97"/>
      <c r="J288" s="97"/>
      <c r="K288" s="97"/>
      <c r="L288" s="97"/>
      <c r="M288" s="97"/>
      <c r="N288" s="97"/>
      <c r="O288" s="97"/>
      <c r="P288" s="97"/>
      <c r="Q288" s="97"/>
      <c r="R288" s="97"/>
    </row>
    <row r="289" spans="1:18">
      <c r="A289" s="97"/>
      <c r="B289" s="97"/>
      <c r="C289" s="97"/>
      <c r="D289" s="97"/>
      <c r="E289" s="97"/>
      <c r="F289" s="97"/>
      <c r="G289" s="97"/>
      <c r="H289" s="97"/>
      <c r="I289" s="97"/>
      <c r="J289" s="97"/>
      <c r="K289" s="97"/>
      <c r="L289" s="97"/>
      <c r="M289" s="97"/>
      <c r="N289" s="97"/>
      <c r="O289" s="97"/>
      <c r="P289" s="97"/>
      <c r="Q289" s="97"/>
      <c r="R289" s="97"/>
    </row>
    <row r="290" spans="1:18">
      <c r="A290" s="97"/>
      <c r="B290" s="97"/>
      <c r="C290" s="97"/>
      <c r="D290" s="97"/>
      <c r="E290" s="97"/>
      <c r="F290" s="97"/>
      <c r="G290" s="97"/>
      <c r="H290" s="97"/>
      <c r="I290" s="97"/>
      <c r="J290" s="97"/>
      <c r="K290" s="97"/>
      <c r="L290" s="97"/>
      <c r="M290" s="97"/>
      <c r="N290" s="97"/>
      <c r="O290" s="97"/>
      <c r="P290" s="97"/>
      <c r="Q290" s="97"/>
      <c r="R290" s="97"/>
    </row>
    <row r="291" spans="1:18">
      <c r="A291" s="97"/>
      <c r="B291" s="97"/>
      <c r="C291" s="97"/>
      <c r="D291" s="97"/>
      <c r="E291" s="97"/>
      <c r="F291" s="97"/>
      <c r="G291" s="97"/>
      <c r="H291" s="97"/>
      <c r="I291" s="97"/>
      <c r="J291" s="97"/>
      <c r="K291" s="97"/>
      <c r="L291" s="97"/>
      <c r="M291" s="97"/>
      <c r="N291" s="97"/>
      <c r="O291" s="97"/>
      <c r="P291" s="97"/>
      <c r="Q291" s="97"/>
      <c r="R291" s="97"/>
    </row>
    <row r="292" spans="1:18">
      <c r="A292" s="97"/>
      <c r="B292" s="97"/>
      <c r="C292" s="97"/>
      <c r="D292" s="97"/>
      <c r="E292" s="97"/>
      <c r="F292" s="97"/>
      <c r="G292" s="97"/>
      <c r="H292" s="97"/>
      <c r="I292" s="97"/>
      <c r="J292" s="97"/>
      <c r="K292" s="97"/>
      <c r="L292" s="97"/>
      <c r="M292" s="97"/>
      <c r="N292" s="97"/>
      <c r="O292" s="97"/>
      <c r="P292" s="97"/>
      <c r="Q292" s="97"/>
      <c r="R292" s="97"/>
    </row>
    <row r="293" spans="1:18">
      <c r="A293" s="97"/>
      <c r="B293" s="97"/>
      <c r="C293" s="97"/>
      <c r="D293" s="97"/>
      <c r="E293" s="97"/>
      <c r="F293" s="97"/>
      <c r="G293" s="97"/>
      <c r="H293" s="97"/>
      <c r="I293" s="97"/>
      <c r="J293" s="97"/>
      <c r="K293" s="97"/>
      <c r="L293" s="97"/>
      <c r="M293" s="97"/>
      <c r="N293" s="97"/>
      <c r="O293" s="97"/>
      <c r="P293" s="97"/>
      <c r="Q293" s="97"/>
      <c r="R293" s="97"/>
    </row>
    <row r="294" spans="1:18">
      <c r="A294" s="97"/>
      <c r="B294" s="97"/>
      <c r="C294" s="97"/>
      <c r="D294" s="97"/>
      <c r="E294" s="97"/>
      <c r="F294" s="97"/>
      <c r="G294" s="97"/>
      <c r="H294" s="97"/>
      <c r="I294" s="97"/>
      <c r="J294" s="97"/>
      <c r="K294" s="97"/>
      <c r="L294" s="97"/>
      <c r="M294" s="97"/>
      <c r="N294" s="97"/>
      <c r="O294" s="97"/>
      <c r="P294" s="97"/>
      <c r="Q294" s="97"/>
      <c r="R294" s="97"/>
    </row>
    <row r="295" spans="1:18">
      <c r="A295" s="97"/>
      <c r="B295" s="97"/>
      <c r="C295" s="97"/>
      <c r="D295" s="97"/>
      <c r="E295" s="97"/>
      <c r="F295" s="97"/>
      <c r="G295" s="97"/>
      <c r="H295" s="97"/>
      <c r="I295" s="97"/>
      <c r="J295" s="97"/>
      <c r="K295" s="97"/>
      <c r="L295" s="97"/>
      <c r="M295" s="97"/>
      <c r="N295" s="97"/>
      <c r="O295" s="97"/>
      <c r="P295" s="97"/>
      <c r="Q295" s="97"/>
      <c r="R295" s="97"/>
    </row>
    <row r="296" spans="1:18">
      <c r="A296" s="97"/>
      <c r="B296" s="97"/>
      <c r="C296" s="97"/>
      <c r="D296" s="97"/>
      <c r="E296" s="97"/>
      <c r="F296" s="97"/>
      <c r="G296" s="97"/>
      <c r="H296" s="97"/>
      <c r="I296" s="97"/>
      <c r="J296" s="97"/>
      <c r="K296" s="97"/>
      <c r="L296" s="97"/>
      <c r="M296" s="97"/>
      <c r="N296" s="97"/>
      <c r="O296" s="97"/>
      <c r="P296" s="97"/>
      <c r="Q296" s="97"/>
      <c r="R296" s="97"/>
    </row>
    <row r="297" spans="1:18">
      <c r="A297" s="97"/>
      <c r="B297" s="97"/>
      <c r="C297" s="97"/>
      <c r="D297" s="97"/>
      <c r="E297" s="97"/>
      <c r="F297" s="97"/>
      <c r="G297" s="97"/>
      <c r="H297" s="97"/>
      <c r="I297" s="97"/>
      <c r="J297" s="97"/>
      <c r="K297" s="97"/>
      <c r="L297" s="97"/>
      <c r="M297" s="97"/>
      <c r="N297" s="97"/>
      <c r="O297" s="97"/>
      <c r="P297" s="97"/>
      <c r="Q297" s="97"/>
      <c r="R297" s="97"/>
    </row>
    <row r="298" spans="1:18">
      <c r="A298" s="97"/>
      <c r="B298" s="97"/>
      <c r="C298" s="97"/>
      <c r="D298" s="97"/>
      <c r="E298" s="97"/>
      <c r="F298" s="97"/>
      <c r="G298" s="97"/>
      <c r="H298" s="97"/>
      <c r="I298" s="97"/>
      <c r="J298" s="97"/>
      <c r="K298" s="97"/>
      <c r="L298" s="97"/>
      <c r="M298" s="97"/>
      <c r="N298" s="97"/>
      <c r="O298" s="97"/>
      <c r="P298" s="97"/>
      <c r="Q298" s="97"/>
      <c r="R298" s="97"/>
    </row>
    <row r="299" spans="1:18">
      <c r="A299" s="97"/>
      <c r="B299" s="97"/>
      <c r="C299" s="97"/>
      <c r="D299" s="97"/>
      <c r="E299" s="97"/>
      <c r="F299" s="97"/>
      <c r="G299" s="97"/>
      <c r="H299" s="97"/>
      <c r="I299" s="97"/>
      <c r="J299" s="97"/>
      <c r="K299" s="97"/>
      <c r="L299" s="97"/>
      <c r="M299" s="97"/>
      <c r="N299" s="97"/>
      <c r="O299" s="97"/>
      <c r="P299" s="97"/>
      <c r="Q299" s="97"/>
      <c r="R299" s="97"/>
    </row>
    <row r="300" spans="1:18">
      <c r="A300" s="97"/>
      <c r="B300" s="97"/>
      <c r="C300" s="97"/>
      <c r="D300" s="97"/>
      <c r="E300" s="97"/>
      <c r="F300" s="97"/>
      <c r="G300" s="97"/>
      <c r="H300" s="97"/>
      <c r="I300" s="97"/>
      <c r="J300" s="97"/>
      <c r="K300" s="97"/>
      <c r="L300" s="97"/>
      <c r="M300" s="97"/>
      <c r="N300" s="97"/>
      <c r="O300" s="97"/>
      <c r="P300" s="97"/>
      <c r="Q300" s="97"/>
      <c r="R300" s="97"/>
    </row>
    <row r="301" spans="1:18">
      <c r="A301" s="97"/>
      <c r="B301" s="97"/>
      <c r="C301" s="97"/>
      <c r="D301" s="97"/>
      <c r="E301" s="97"/>
      <c r="F301" s="97"/>
      <c r="G301" s="97"/>
      <c r="H301" s="97"/>
      <c r="I301" s="97"/>
      <c r="J301" s="97"/>
      <c r="K301" s="97"/>
      <c r="L301" s="97"/>
      <c r="M301" s="97"/>
      <c r="N301" s="97"/>
      <c r="O301" s="97"/>
      <c r="P301" s="97"/>
      <c r="Q301" s="97"/>
      <c r="R301" s="97"/>
    </row>
    <row r="302" spans="1:18">
      <c r="A302" s="97"/>
      <c r="B302" s="97"/>
      <c r="C302" s="97"/>
      <c r="D302" s="97"/>
      <c r="E302" s="97"/>
      <c r="F302" s="97"/>
      <c r="G302" s="97"/>
      <c r="H302" s="97"/>
      <c r="I302" s="97"/>
      <c r="J302" s="97"/>
      <c r="K302" s="97"/>
      <c r="L302" s="97"/>
      <c r="M302" s="97"/>
      <c r="N302" s="97"/>
      <c r="O302" s="97"/>
      <c r="P302" s="97"/>
      <c r="Q302" s="97"/>
      <c r="R302" s="97"/>
    </row>
    <row r="303" spans="1:18">
      <c r="A303" s="97"/>
      <c r="B303" s="97"/>
      <c r="C303" s="97"/>
      <c r="D303" s="97"/>
      <c r="E303" s="97"/>
      <c r="F303" s="97"/>
      <c r="G303" s="97"/>
      <c r="H303" s="97"/>
      <c r="I303" s="97"/>
      <c r="J303" s="97"/>
      <c r="K303" s="97"/>
      <c r="L303" s="97"/>
      <c r="M303" s="97"/>
      <c r="N303" s="97"/>
      <c r="O303" s="97"/>
      <c r="P303" s="97"/>
      <c r="Q303" s="97"/>
      <c r="R303" s="97"/>
    </row>
    <row r="304" spans="1:18">
      <c r="A304" s="97"/>
      <c r="B304" s="97"/>
      <c r="C304" s="97"/>
      <c r="D304" s="97"/>
      <c r="E304" s="97"/>
      <c r="F304" s="97"/>
      <c r="G304" s="97"/>
      <c r="H304" s="97"/>
      <c r="I304" s="97"/>
      <c r="J304" s="97"/>
      <c r="K304" s="97"/>
      <c r="L304" s="97"/>
      <c r="M304" s="97"/>
      <c r="N304" s="97"/>
      <c r="O304" s="97"/>
      <c r="P304" s="97"/>
      <c r="Q304" s="97"/>
      <c r="R304" s="97"/>
    </row>
    <row r="305" spans="1:18">
      <c r="A305" s="97"/>
      <c r="B305" s="97"/>
      <c r="C305" s="97"/>
      <c r="D305" s="97"/>
      <c r="E305" s="97"/>
      <c r="F305" s="97"/>
      <c r="G305" s="97"/>
      <c r="H305" s="97"/>
      <c r="I305" s="97"/>
      <c r="J305" s="97"/>
      <c r="K305" s="97"/>
      <c r="L305" s="97"/>
      <c r="M305" s="97"/>
      <c r="N305" s="97"/>
      <c r="O305" s="97"/>
      <c r="P305" s="97"/>
      <c r="Q305" s="97"/>
      <c r="R305" s="97"/>
    </row>
    <row r="306" spans="1:18">
      <c r="A306" s="97"/>
      <c r="B306" s="97"/>
      <c r="C306" s="97"/>
      <c r="D306" s="97"/>
      <c r="E306" s="97"/>
      <c r="F306" s="97"/>
      <c r="G306" s="97"/>
      <c r="H306" s="97"/>
      <c r="I306" s="97"/>
      <c r="J306" s="97"/>
      <c r="K306" s="97"/>
      <c r="L306" s="97"/>
      <c r="M306" s="97"/>
      <c r="N306" s="97"/>
      <c r="O306" s="97"/>
      <c r="P306" s="97"/>
      <c r="Q306" s="97"/>
      <c r="R306" s="97"/>
    </row>
    <row r="307" spans="1:18">
      <c r="A307" s="97"/>
      <c r="B307" s="97"/>
      <c r="C307" s="97"/>
      <c r="D307" s="97"/>
      <c r="E307" s="97"/>
      <c r="F307" s="97"/>
      <c r="G307" s="97"/>
      <c r="H307" s="97"/>
      <c r="I307" s="97"/>
      <c r="J307" s="97"/>
      <c r="K307" s="97"/>
      <c r="L307" s="97"/>
      <c r="M307" s="97"/>
      <c r="N307" s="97"/>
      <c r="O307" s="97"/>
      <c r="P307" s="97"/>
      <c r="Q307" s="97"/>
      <c r="R307" s="97"/>
    </row>
    <row r="308" spans="1:18">
      <c r="A308" s="97"/>
      <c r="B308" s="97"/>
      <c r="C308" s="97"/>
      <c r="D308" s="97"/>
      <c r="E308" s="97"/>
      <c r="F308" s="97"/>
      <c r="G308" s="97"/>
      <c r="H308" s="97"/>
      <c r="I308" s="97"/>
      <c r="J308" s="97"/>
      <c r="K308" s="97"/>
      <c r="L308" s="97"/>
      <c r="M308" s="97"/>
      <c r="N308" s="97"/>
      <c r="O308" s="97"/>
      <c r="P308" s="97"/>
      <c r="Q308" s="97"/>
      <c r="R308" s="97"/>
    </row>
    <row r="309" spans="1:18">
      <c r="A309" s="97"/>
      <c r="B309" s="97"/>
      <c r="C309" s="97"/>
      <c r="D309" s="97"/>
      <c r="E309" s="97"/>
      <c r="F309" s="97"/>
      <c r="G309" s="97"/>
      <c r="H309" s="97"/>
      <c r="I309" s="97"/>
      <c r="J309" s="97"/>
      <c r="K309" s="97"/>
      <c r="L309" s="97"/>
      <c r="M309" s="97"/>
      <c r="N309" s="97"/>
      <c r="O309" s="97"/>
      <c r="P309" s="97"/>
      <c r="Q309" s="97"/>
      <c r="R309" s="97"/>
    </row>
    <row r="310" spans="1:18">
      <c r="A310" s="97"/>
      <c r="B310" s="97"/>
      <c r="C310" s="97"/>
      <c r="D310" s="97"/>
      <c r="E310" s="97"/>
      <c r="F310" s="97"/>
      <c r="G310" s="97"/>
      <c r="H310" s="97"/>
      <c r="I310" s="97"/>
      <c r="J310" s="97"/>
      <c r="K310" s="97"/>
      <c r="L310" s="97"/>
      <c r="M310" s="97"/>
      <c r="N310" s="97"/>
      <c r="O310" s="97"/>
      <c r="P310" s="97"/>
      <c r="Q310" s="97"/>
      <c r="R310" s="97"/>
    </row>
    <row r="311" spans="1:18">
      <c r="A311" s="97"/>
      <c r="B311" s="97"/>
      <c r="C311" s="97"/>
      <c r="D311" s="97"/>
      <c r="E311" s="97"/>
      <c r="F311" s="97"/>
      <c r="G311" s="97"/>
      <c r="H311" s="97"/>
      <c r="I311" s="97"/>
      <c r="J311" s="97"/>
      <c r="K311" s="97"/>
      <c r="L311" s="97"/>
      <c r="M311" s="97"/>
      <c r="N311" s="97"/>
      <c r="O311" s="97"/>
      <c r="P311" s="97"/>
      <c r="Q311" s="97"/>
      <c r="R311" s="97"/>
    </row>
    <row r="312" spans="1:18">
      <c r="A312" s="97"/>
      <c r="B312" s="97"/>
      <c r="C312" s="97"/>
      <c r="D312" s="97"/>
      <c r="E312" s="97"/>
      <c r="F312" s="97"/>
      <c r="G312" s="97"/>
      <c r="H312" s="97"/>
      <c r="I312" s="97"/>
      <c r="J312" s="97"/>
      <c r="K312" s="97"/>
      <c r="L312" s="97"/>
      <c r="M312" s="97"/>
      <c r="N312" s="97"/>
      <c r="O312" s="97"/>
      <c r="P312" s="97"/>
      <c r="Q312" s="97"/>
      <c r="R312" s="97"/>
    </row>
    <row r="313" spans="1:18">
      <c r="A313" s="97"/>
      <c r="B313" s="97"/>
      <c r="C313" s="97"/>
      <c r="D313" s="97"/>
      <c r="E313" s="97"/>
      <c r="F313" s="97"/>
      <c r="G313" s="97"/>
      <c r="H313" s="97"/>
      <c r="I313" s="97"/>
      <c r="J313" s="97"/>
      <c r="K313" s="97"/>
      <c r="L313" s="97"/>
      <c r="M313" s="97"/>
      <c r="N313" s="97"/>
      <c r="O313" s="97"/>
      <c r="P313" s="97"/>
      <c r="Q313" s="97"/>
      <c r="R313" s="97"/>
    </row>
    <row r="314" spans="1:18">
      <c r="A314" s="97"/>
      <c r="B314" s="97"/>
      <c r="C314" s="97"/>
      <c r="D314" s="97"/>
      <c r="E314" s="97"/>
      <c r="F314" s="97"/>
      <c r="G314" s="97"/>
      <c r="H314" s="97"/>
      <c r="I314" s="97"/>
      <c r="J314" s="97"/>
      <c r="K314" s="97"/>
      <c r="L314" s="97"/>
      <c r="M314" s="97"/>
      <c r="N314" s="97"/>
      <c r="O314" s="97"/>
      <c r="P314" s="97"/>
      <c r="Q314" s="97"/>
      <c r="R314" s="97"/>
    </row>
    <row r="315" spans="1:18">
      <c r="A315" s="97"/>
      <c r="B315" s="97"/>
      <c r="C315" s="97"/>
      <c r="D315" s="97"/>
      <c r="E315" s="97"/>
      <c r="F315" s="97"/>
      <c r="G315" s="97"/>
      <c r="H315" s="97"/>
      <c r="I315" s="97"/>
      <c r="J315" s="97"/>
      <c r="K315" s="97"/>
      <c r="L315" s="97"/>
      <c r="M315" s="97"/>
      <c r="N315" s="97"/>
      <c r="O315" s="97"/>
      <c r="P315" s="97"/>
      <c r="Q315" s="97"/>
      <c r="R315" s="97"/>
    </row>
    <row r="316" spans="1:18">
      <c r="A316" s="97"/>
      <c r="B316" s="97"/>
      <c r="C316" s="97"/>
      <c r="D316" s="97"/>
      <c r="E316" s="97"/>
      <c r="F316" s="97"/>
      <c r="G316" s="97"/>
      <c r="H316" s="97"/>
      <c r="I316" s="97"/>
      <c r="J316" s="97"/>
      <c r="K316" s="97"/>
      <c r="L316" s="97"/>
      <c r="M316" s="97"/>
      <c r="N316" s="97"/>
      <c r="O316" s="97"/>
      <c r="P316" s="97"/>
      <c r="Q316" s="97"/>
      <c r="R316" s="97"/>
    </row>
    <row r="317" spans="1:18">
      <c r="A317" s="97"/>
      <c r="B317" s="97"/>
      <c r="C317" s="97"/>
      <c r="D317" s="97"/>
      <c r="E317" s="97"/>
      <c r="F317" s="97"/>
      <c r="G317" s="97"/>
      <c r="H317" s="97"/>
      <c r="I317" s="97"/>
      <c r="J317" s="97"/>
      <c r="K317" s="97"/>
      <c r="L317" s="97"/>
      <c r="M317" s="97"/>
      <c r="N317" s="97"/>
      <c r="O317" s="97"/>
      <c r="P317" s="97"/>
      <c r="Q317" s="97"/>
      <c r="R317" s="97"/>
    </row>
    <row r="318" spans="1:18">
      <c r="A318" s="97"/>
      <c r="B318" s="97"/>
      <c r="C318" s="97"/>
      <c r="D318" s="97"/>
      <c r="E318" s="97"/>
      <c r="F318" s="97"/>
      <c r="G318" s="97"/>
      <c r="H318" s="97"/>
      <c r="I318" s="97"/>
      <c r="J318" s="97"/>
      <c r="K318" s="97"/>
      <c r="L318" s="97"/>
      <c r="M318" s="97"/>
      <c r="N318" s="97"/>
      <c r="O318" s="97"/>
      <c r="P318" s="97"/>
      <c r="Q318" s="97"/>
      <c r="R318" s="97"/>
    </row>
    <row r="319" spans="1:18">
      <c r="A319" s="97"/>
      <c r="B319" s="97"/>
      <c r="C319" s="97"/>
      <c r="D319" s="97"/>
      <c r="E319" s="97"/>
      <c r="F319" s="97"/>
      <c r="G319" s="97"/>
      <c r="H319" s="97"/>
      <c r="I319" s="97"/>
      <c r="J319" s="97"/>
      <c r="K319" s="97"/>
      <c r="L319" s="97"/>
      <c r="M319" s="97"/>
      <c r="N319" s="97"/>
      <c r="O319" s="97"/>
      <c r="P319" s="97"/>
      <c r="Q319" s="97"/>
      <c r="R319" s="97"/>
    </row>
    <row r="320" spans="1:18">
      <c r="A320" s="97"/>
      <c r="B320" s="97"/>
      <c r="C320" s="97"/>
      <c r="D320" s="97"/>
      <c r="E320" s="97"/>
      <c r="F320" s="97"/>
      <c r="G320" s="97"/>
      <c r="H320" s="97"/>
      <c r="I320" s="97"/>
      <c r="J320" s="97"/>
      <c r="K320" s="97"/>
      <c r="L320" s="97"/>
      <c r="M320" s="97"/>
      <c r="N320" s="97"/>
      <c r="O320" s="97"/>
      <c r="P320" s="97"/>
      <c r="Q320" s="97"/>
      <c r="R320" s="97"/>
    </row>
    <row r="321" spans="1:18">
      <c r="A321" s="97"/>
      <c r="B321" s="97"/>
      <c r="C321" s="97"/>
      <c r="D321" s="97"/>
      <c r="E321" s="97"/>
      <c r="F321" s="97"/>
      <c r="G321" s="97"/>
      <c r="H321" s="97"/>
      <c r="I321" s="97"/>
      <c r="J321" s="97"/>
      <c r="K321" s="97"/>
      <c r="L321" s="97"/>
      <c r="M321" s="97"/>
      <c r="N321" s="97"/>
      <c r="O321" s="97"/>
      <c r="P321" s="97"/>
      <c r="Q321" s="97"/>
      <c r="R321" s="97"/>
    </row>
    <row r="322" spans="1:18">
      <c r="A322" s="97"/>
      <c r="B322" s="97"/>
      <c r="C322" s="97"/>
      <c r="D322" s="97"/>
      <c r="E322" s="97"/>
      <c r="F322" s="97"/>
      <c r="G322" s="97"/>
      <c r="H322" s="97"/>
      <c r="I322" s="97"/>
      <c r="J322" s="97"/>
      <c r="K322" s="97"/>
      <c r="L322" s="97"/>
      <c r="M322" s="97"/>
      <c r="N322" s="97"/>
      <c r="O322" s="97"/>
      <c r="P322" s="97"/>
      <c r="Q322" s="97"/>
      <c r="R322" s="97"/>
    </row>
  </sheetData>
  <mergeCells count="144">
    <mergeCell ref="A6:T6"/>
    <mergeCell ref="A7:T7"/>
    <mergeCell ref="A8:T8"/>
    <mergeCell ref="A9:T9"/>
    <mergeCell ref="A14:T14"/>
    <mergeCell ref="A15:T15"/>
    <mergeCell ref="B78:T78"/>
    <mergeCell ref="B79:T79"/>
    <mergeCell ref="B80:T80"/>
    <mergeCell ref="T29:T41"/>
    <mergeCell ref="B83:T83"/>
    <mergeCell ref="B84:T84"/>
    <mergeCell ref="B85:T85"/>
    <mergeCell ref="A16:T16"/>
    <mergeCell ref="A59:T59"/>
    <mergeCell ref="B71:T71"/>
    <mergeCell ref="B74:T74"/>
    <mergeCell ref="B77:T77"/>
    <mergeCell ref="B109:T109"/>
    <mergeCell ref="O39:R39"/>
    <mergeCell ref="B112:T112"/>
    <mergeCell ref="B113:T113"/>
    <mergeCell ref="E115:T115"/>
    <mergeCell ref="B121:T121"/>
    <mergeCell ref="A135:T135"/>
    <mergeCell ref="B96:T96"/>
    <mergeCell ref="B97:T97"/>
    <mergeCell ref="B100:T100"/>
    <mergeCell ref="B102:T102"/>
    <mergeCell ref="Q103:T103"/>
    <mergeCell ref="N103:P103"/>
    <mergeCell ref="K103:M103"/>
    <mergeCell ref="H103:J103"/>
    <mergeCell ref="F103:G103"/>
    <mergeCell ref="H104:J104"/>
    <mergeCell ref="K104:M104"/>
    <mergeCell ref="K105:M105"/>
    <mergeCell ref="K106:M106"/>
    <mergeCell ref="H107:J107"/>
    <mergeCell ref="H105:J105"/>
    <mergeCell ref="H106:J106"/>
    <mergeCell ref="Q106:T106"/>
    <mergeCell ref="Q107:T107"/>
    <mergeCell ref="A150:F150"/>
    <mergeCell ref="G150:I150"/>
    <mergeCell ref="J150:L150"/>
    <mergeCell ref="M150:P150"/>
    <mergeCell ref="Q150:T150"/>
    <mergeCell ref="A152:F152"/>
    <mergeCell ref="G152:I152"/>
    <mergeCell ref="J152:L152"/>
    <mergeCell ref="M152:P152"/>
    <mergeCell ref="Q152:T152"/>
    <mergeCell ref="A151:F151"/>
    <mergeCell ref="G151:I151"/>
    <mergeCell ref="J151:L151"/>
    <mergeCell ref="M151:P151"/>
    <mergeCell ref="Q151:T151"/>
    <mergeCell ref="A153:F153"/>
    <mergeCell ref="G153:I153"/>
    <mergeCell ref="J153:L153"/>
    <mergeCell ref="M153:P153"/>
    <mergeCell ref="Q153:T153"/>
    <mergeCell ref="A154:F154"/>
    <mergeCell ref="G154:I154"/>
    <mergeCell ref="J154:L154"/>
    <mergeCell ref="M154:P154"/>
    <mergeCell ref="Q154:T154"/>
    <mergeCell ref="A155:F155"/>
    <mergeCell ref="G155:I155"/>
    <mergeCell ref="J155:L155"/>
    <mergeCell ref="M155:P155"/>
    <mergeCell ref="Q155:T155"/>
    <mergeCell ref="A156:F156"/>
    <mergeCell ref="G156:I156"/>
    <mergeCell ref="J156:L156"/>
    <mergeCell ref="M156:P156"/>
    <mergeCell ref="Q156:T156"/>
    <mergeCell ref="G195:I195"/>
    <mergeCell ref="J195:L195"/>
    <mergeCell ref="M195:P195"/>
    <mergeCell ref="Q195:T195"/>
    <mergeCell ref="A157:F157"/>
    <mergeCell ref="G157:I157"/>
    <mergeCell ref="J157:L157"/>
    <mergeCell ref="M157:P157"/>
    <mergeCell ref="Q157:T157"/>
    <mergeCell ref="A158:T158"/>
    <mergeCell ref="A197:F197"/>
    <mergeCell ref="G197:I197"/>
    <mergeCell ref="J197:L197"/>
    <mergeCell ref="M197:P197"/>
    <mergeCell ref="Q197:T197"/>
    <mergeCell ref="A198:F198"/>
    <mergeCell ref="G198:I198"/>
    <mergeCell ref="J198:L198"/>
    <mergeCell ref="M198:P198"/>
    <mergeCell ref="Q198:T198"/>
    <mergeCell ref="A203:T203"/>
    <mergeCell ref="Q202:T202"/>
    <mergeCell ref="A199:F199"/>
    <mergeCell ref="G199:I199"/>
    <mergeCell ref="J199:L199"/>
    <mergeCell ref="A204:T204"/>
    <mergeCell ref="A201:F201"/>
    <mergeCell ref="G201:I201"/>
    <mergeCell ref="J201:L201"/>
    <mergeCell ref="M201:P201"/>
    <mergeCell ref="Q201:T201"/>
    <mergeCell ref="A202:F202"/>
    <mergeCell ref="G202:I202"/>
    <mergeCell ref="J202:L202"/>
    <mergeCell ref="M202:P202"/>
    <mergeCell ref="M199:P199"/>
    <mergeCell ref="Q199:T199"/>
    <mergeCell ref="A200:F200"/>
    <mergeCell ref="G200:I200"/>
    <mergeCell ref="J200:L200"/>
    <mergeCell ref="M200:P200"/>
    <mergeCell ref="Q200:T200"/>
    <mergeCell ref="A196:F196"/>
    <mergeCell ref="G196:I196"/>
    <mergeCell ref="J196:L196"/>
    <mergeCell ref="M196:P196"/>
    <mergeCell ref="Q196:T196"/>
    <mergeCell ref="B104:E104"/>
    <mergeCell ref="B103:E103"/>
    <mergeCell ref="B105:E105"/>
    <mergeCell ref="B106:E106"/>
    <mergeCell ref="B107:E107"/>
    <mergeCell ref="Q104:T104"/>
    <mergeCell ref="Q105:T105"/>
    <mergeCell ref="K107:M107"/>
    <mergeCell ref="N104:P104"/>
    <mergeCell ref="N105:P105"/>
    <mergeCell ref="N106:P106"/>
    <mergeCell ref="N107:P107"/>
    <mergeCell ref="F104:G104"/>
    <mergeCell ref="F105:G105"/>
    <mergeCell ref="F106:G106"/>
    <mergeCell ref="F107:G107"/>
    <mergeCell ref="A159:T159"/>
    <mergeCell ref="A180:T180"/>
    <mergeCell ref="A195:F195"/>
  </mergeCells>
  <conditionalFormatting sqref="A154:T154">
    <cfRule type="expression" dxfId="104" priority="15" stopIfTrue="1">
      <formula>$A$154&lt;&gt;0</formula>
    </cfRule>
    <cfRule type="expression" dxfId="103" priority="16" stopIfTrue="1">
      <formula>$A$154=0</formula>
    </cfRule>
  </conditionalFormatting>
  <conditionalFormatting sqref="A155:T155">
    <cfRule type="expression" dxfId="102" priority="13" stopIfTrue="1">
      <formula>$A$155&lt;&gt;0</formula>
    </cfRule>
    <cfRule type="expression" dxfId="101" priority="14" stopIfTrue="1">
      <formula>$A$155=0</formula>
    </cfRule>
  </conditionalFormatting>
  <conditionalFormatting sqref="A156:T156">
    <cfRule type="expression" dxfId="100" priority="11" stopIfTrue="1">
      <formula>$A$156&lt;&gt;0</formula>
    </cfRule>
    <cfRule type="expression" dxfId="99" priority="12" stopIfTrue="1">
      <formula>$A$156=0</formula>
    </cfRule>
  </conditionalFormatting>
  <conditionalFormatting sqref="A157:T157">
    <cfRule type="expression" dxfId="98" priority="9" stopIfTrue="1">
      <formula>$A$157&lt;&gt;0</formula>
    </cfRule>
    <cfRule type="expression" dxfId="97" priority="10" stopIfTrue="1">
      <formula>$A$157=0</formula>
    </cfRule>
  </conditionalFormatting>
  <conditionalFormatting sqref="A199:T199">
    <cfRule type="expression" dxfId="96" priority="7" stopIfTrue="1">
      <formula>$A$199&lt;&gt;0</formula>
    </cfRule>
    <cfRule type="expression" dxfId="95" priority="8" stopIfTrue="1">
      <formula>$A$199=0</formula>
    </cfRule>
  </conditionalFormatting>
  <conditionalFormatting sqref="A200:T200">
    <cfRule type="expression" dxfId="94" priority="5" stopIfTrue="1">
      <formula>$A$200&lt;&gt;0</formula>
    </cfRule>
    <cfRule type="expression" dxfId="93" priority="6" stopIfTrue="1">
      <formula>$A$200=0</formula>
    </cfRule>
  </conditionalFormatting>
  <conditionalFormatting sqref="A201:T201">
    <cfRule type="expression" dxfId="92" priority="3" stopIfTrue="1">
      <formula>$A$201&lt;&gt;0</formula>
    </cfRule>
    <cfRule type="expression" dxfId="91" priority="4" stopIfTrue="1">
      <formula>$A$201=0</formula>
    </cfRule>
  </conditionalFormatting>
  <conditionalFormatting sqref="A202:T202">
    <cfRule type="expression" dxfId="90" priority="1" stopIfTrue="1">
      <formula>$A$202&lt;&gt;0</formula>
    </cfRule>
    <cfRule type="expression" dxfId="89" priority="2" stopIfTrue="1">
      <formula>$A$202=0</formula>
    </cfRule>
  </conditionalFormatting>
  <pageMargins left="0.62992125984251968" right="0.62992125984251968" top="0.35433070866141736" bottom="0.35433070866141736" header="0.31496062992125984" footer="0.31496062992125984"/>
  <pageSetup paperSize="9"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pageSetUpPr fitToPage="1"/>
  </sheetPr>
  <dimension ref="A1:V47"/>
  <sheetViews>
    <sheetView zoomScale="90" workbookViewId="0">
      <selection activeCell="N38" sqref="N38"/>
    </sheetView>
  </sheetViews>
  <sheetFormatPr defaultColWidth="9.140625" defaultRowHeight="12.75"/>
  <cols>
    <col min="1" max="1" width="26.85546875" style="323" customWidth="1"/>
    <col min="2" max="2" width="9.140625" style="56"/>
    <col min="3" max="6" width="14.28515625" style="56" customWidth="1"/>
    <col min="7" max="10" width="9.140625" style="56"/>
    <col min="11" max="11" width="14.140625" style="56" customWidth="1"/>
    <col min="12" max="12" width="10.140625" style="70" customWidth="1"/>
    <col min="13" max="13" width="15.28515625" style="70" customWidth="1"/>
    <col min="14" max="14" width="10.140625" style="70" customWidth="1"/>
    <col min="15" max="16384" width="9.140625" style="56"/>
  </cols>
  <sheetData>
    <row r="1" spans="1:22" s="511" customFormat="1" ht="15.75">
      <c r="A1" s="610" t="s">
        <v>123</v>
      </c>
      <c r="B1" s="611"/>
      <c r="C1" s="611"/>
      <c r="D1" s="57" t="str">
        <f>Intro!D4</f>
        <v>IRC-FORM-2100J (ARPANSA-FORM-1856)</v>
      </c>
      <c r="E1" s="56"/>
      <c r="F1" s="611"/>
      <c r="G1" s="611"/>
      <c r="L1" s="512"/>
      <c r="M1" s="512"/>
      <c r="N1" s="512"/>
    </row>
    <row r="2" spans="1:22" s="511" customFormat="1" ht="18.75">
      <c r="A2" s="641" t="s">
        <v>122</v>
      </c>
      <c r="D2" s="59" t="str">
        <f>Intro!D5</f>
        <v>23-Production</v>
      </c>
      <c r="E2" s="56"/>
      <c r="L2" s="512"/>
      <c r="M2" s="512"/>
      <c r="N2" s="512"/>
    </row>
    <row r="3" spans="1:22" s="69" customFormat="1" ht="15.6" customHeight="1">
      <c r="A3" s="510" t="s">
        <v>804</v>
      </c>
      <c r="D3" s="59" t="str">
        <f>Intro!B10</f>
        <v>Validated: Note yet</v>
      </c>
      <c r="E3" s="60"/>
      <c r="L3" s="60"/>
      <c r="M3" s="60"/>
      <c r="N3" s="60"/>
    </row>
    <row r="4" spans="1:22" ht="15.6" customHeight="1"/>
    <row r="5" spans="1:22" ht="15.75" customHeight="1">
      <c r="A5" s="598" t="str">
        <f>Client!B5</f>
        <v>CAL11957</v>
      </c>
      <c r="B5" s="599" t="str">
        <f>Client!B6</f>
        <v>De-identified for distribution</v>
      </c>
      <c r="C5" s="574"/>
      <c r="D5" s="574"/>
      <c r="E5" s="574"/>
      <c r="F5" s="600"/>
    </row>
    <row r="6" spans="1:22" ht="15.75" customHeight="1">
      <c r="A6" s="188" t="s">
        <v>27</v>
      </c>
      <c r="B6" s="1169" t="str">
        <f>Client!B29</f>
        <v>IBA FC65-G</v>
      </c>
      <c r="C6" s="1170"/>
      <c r="E6" s="70"/>
    </row>
    <row r="7" spans="1:22" ht="15.75" customHeight="1">
      <c r="A7" s="56" t="s">
        <v>28</v>
      </c>
      <c r="B7" s="1171" t="str">
        <f>Client!B30</f>
        <v>457</v>
      </c>
      <c r="C7" s="1081"/>
      <c r="D7" s="70"/>
      <c r="E7" s="70"/>
    </row>
    <row r="8" spans="1:22" ht="15.75" customHeight="1">
      <c r="A8" s="56"/>
      <c r="B8" s="907"/>
      <c r="C8" s="907"/>
      <c r="D8" s="70"/>
      <c r="E8" s="70"/>
      <c r="G8" s="907" t="s">
        <v>1367</v>
      </c>
      <c r="Q8" s="907" t="s">
        <v>1447</v>
      </c>
    </row>
    <row r="9" spans="1:22" ht="15.75" customHeight="1">
      <c r="A9" s="58" t="s">
        <v>827</v>
      </c>
      <c r="B9" s="593" t="str">
        <f>IF(COUNT(C9:E9)&gt;0,"ok","")</f>
        <v/>
      </c>
      <c r="C9" s="979"/>
      <c r="D9" s="980"/>
      <c r="E9" s="980"/>
      <c r="G9" s="907" t="s">
        <v>1365</v>
      </c>
      <c r="I9" s="928" t="str">
        <f>IF(OR(C9="",D17="",N22="-",N34="-",N37=""),"No","Yes")</f>
        <v>No</v>
      </c>
      <c r="P9" s="907" t="s">
        <v>1172</v>
      </c>
      <c r="Q9" s="978" t="str">
        <f>IF(MIN(C9:E9)&lt;30000,"",MIN(C9:E9))</f>
        <v/>
      </c>
      <c r="R9" s="981" t="str">
        <f>IF(MAX(C9:E9)&lt;30000,"",MAX(C9:E9))</f>
        <v/>
      </c>
    </row>
    <row r="10" spans="1:22" ht="15.75" customHeight="1">
      <c r="A10" s="58" t="s">
        <v>880</v>
      </c>
      <c r="B10" s="593" t="str">
        <f>IF(COUNT(C10:E10)&gt;0,"ok","")</f>
        <v/>
      </c>
      <c r="C10" s="979"/>
      <c r="D10" s="980"/>
      <c r="E10" s="980"/>
      <c r="G10" s="907" t="s">
        <v>1366</v>
      </c>
      <c r="I10" s="928" t="str">
        <f>IF(OR(C10="",D18="",N38=""),"No","Yes")</f>
        <v>No</v>
      </c>
      <c r="P10" s="907" t="s">
        <v>641</v>
      </c>
      <c r="Q10" s="978" t="str">
        <f>IF(MIN(C10:E10)&lt;30000,"",MIN(C10:E10))</f>
        <v/>
      </c>
      <c r="R10" s="981" t="str">
        <f t="shared" ref="R10" si="0">IF(MAX(C10:E10)&lt;30000,"",MAX(C10:E10))</f>
        <v/>
      </c>
    </row>
    <row r="11" spans="1:22" ht="15.75" customHeight="1">
      <c r="A11" s="56"/>
      <c r="G11" s="907" t="s">
        <v>1471</v>
      </c>
      <c r="I11" s="928" t="str">
        <f>IF(AND(I9="Yes",I10="Yes"),"Yes","No")</f>
        <v>No</v>
      </c>
    </row>
    <row r="12" spans="1:22" ht="15.75" customHeight="1"/>
    <row r="13" spans="1:22" ht="15.75" customHeight="1">
      <c r="A13" s="307" t="s">
        <v>1445</v>
      </c>
      <c r="B13" s="70"/>
      <c r="C13" s="288" t="s">
        <v>1</v>
      </c>
      <c r="D13" s="288" t="s">
        <v>2</v>
      </c>
      <c r="E13" s="288" t="s">
        <v>3</v>
      </c>
      <c r="K13" s="187" t="s">
        <v>1449</v>
      </c>
      <c r="O13" s="70"/>
      <c r="P13" s="70"/>
      <c r="Q13" s="70"/>
      <c r="R13" s="70"/>
      <c r="S13" s="70"/>
      <c r="T13" s="70"/>
      <c r="U13" s="70"/>
      <c r="V13" s="70"/>
    </row>
    <row r="14" spans="1:22" ht="15.75" customHeight="1">
      <c r="B14" s="70"/>
      <c r="C14" s="289" t="s">
        <v>4</v>
      </c>
      <c r="D14" s="289" t="s">
        <v>4</v>
      </c>
      <c r="E14" s="289">
        <f>C15</f>
        <v>0</v>
      </c>
      <c r="K14" s="70"/>
      <c r="M14" s="70" t="s">
        <v>534</v>
      </c>
      <c r="N14" s="60" t="s">
        <v>553</v>
      </c>
      <c r="O14" s="60" t="s">
        <v>164</v>
      </c>
      <c r="P14" s="70"/>
      <c r="Q14" s="70"/>
      <c r="R14" s="70"/>
      <c r="S14" s="70"/>
      <c r="T14" s="70"/>
      <c r="U14" s="70"/>
      <c r="V14" s="70"/>
    </row>
    <row r="15" spans="1:22" ht="15.75" customHeight="1">
      <c r="B15" s="593" t="s">
        <v>83</v>
      </c>
      <c r="C15" s="429"/>
      <c r="D15" s="530" t="str">
        <f>B7</f>
        <v>457</v>
      </c>
      <c r="E15" s="289" t="s">
        <v>5</v>
      </c>
      <c r="K15" s="70"/>
      <c r="M15" s="70" t="s">
        <v>535</v>
      </c>
      <c r="N15" s="60" t="s">
        <v>554</v>
      </c>
      <c r="O15" s="60" t="s">
        <v>551</v>
      </c>
      <c r="P15" s="70" t="s">
        <v>536</v>
      </c>
      <c r="Q15" s="70" t="s">
        <v>537</v>
      </c>
      <c r="R15" s="70" t="s">
        <v>538</v>
      </c>
      <c r="S15" s="70"/>
      <c r="T15" s="70" t="s">
        <v>539</v>
      </c>
      <c r="U15" s="70" t="s">
        <v>540</v>
      </c>
      <c r="V15" s="70"/>
    </row>
    <row r="16" spans="1:22" ht="15.75" customHeight="1">
      <c r="B16" s="70"/>
      <c r="C16" s="334" t="s">
        <v>0</v>
      </c>
      <c r="D16" s="334" t="s">
        <v>0</v>
      </c>
      <c r="E16" s="289" t="str">
        <f>D15</f>
        <v>457</v>
      </c>
      <c r="K16" s="70"/>
      <c r="M16" s="70" t="s">
        <v>541</v>
      </c>
      <c r="N16" s="70" t="s">
        <v>542</v>
      </c>
      <c r="O16" s="60" t="s">
        <v>552</v>
      </c>
      <c r="P16" s="70" t="s">
        <v>543</v>
      </c>
      <c r="Q16" s="70" t="s">
        <v>543</v>
      </c>
      <c r="R16" s="70" t="s">
        <v>543</v>
      </c>
      <c r="S16" s="70"/>
      <c r="T16" s="70"/>
      <c r="U16" s="70"/>
      <c r="V16" s="70"/>
    </row>
    <row r="17" spans="1:22" ht="15.75" customHeight="1">
      <c r="A17" s="601" t="s">
        <v>31</v>
      </c>
      <c r="B17" s="642" t="s">
        <v>113</v>
      </c>
      <c r="C17" s="454"/>
      <c r="D17" s="454"/>
      <c r="E17" s="290" t="e">
        <f>C17/D17</f>
        <v>#DIV/0!</v>
      </c>
      <c r="K17" s="188" t="s">
        <v>544</v>
      </c>
      <c r="M17" s="196" t="str">
        <f>Client!B33</f>
        <v>CEN</v>
      </c>
      <c r="N17" s="196">
        <f>Client!B31</f>
        <v>-242</v>
      </c>
      <c r="O17" s="196">
        <f>IF(M17="CEP",-ABS(N17),ABS(N17))</f>
        <v>242</v>
      </c>
      <c r="P17" s="453"/>
      <c r="Q17" s="453"/>
      <c r="R17" s="189" t="str">
        <f>IF(P17="","-",IF(Q17="","-",Q17-P17))</f>
        <v>-</v>
      </c>
      <c r="S17" s="70"/>
      <c r="T17" s="190">
        <f>IF(N18=0,"-",N17/N18)</f>
        <v>4.0333333333333332</v>
      </c>
      <c r="U17" s="191" t="str">
        <f>IF(R18="-","-",R17/R18)</f>
        <v>-</v>
      </c>
      <c r="V17" s="70"/>
    </row>
    <row r="18" spans="1:22" ht="15.75" customHeight="1" thickBot="1">
      <c r="A18" s="602" t="s">
        <v>30</v>
      </c>
      <c r="B18" s="643" t="s">
        <v>114</v>
      </c>
      <c r="C18" s="455"/>
      <c r="D18" s="455"/>
      <c r="E18" s="603" t="e">
        <f>C18/D18</f>
        <v>#DIV/0!</v>
      </c>
      <c r="K18" s="188" t="s">
        <v>545</v>
      </c>
      <c r="M18" s="196" t="str">
        <f>M17</f>
        <v>CEN</v>
      </c>
      <c r="N18" s="196">
        <f>Client!B32</f>
        <v>-60</v>
      </c>
      <c r="O18" s="196">
        <f>IF(M18="CEP",-ABS(N18),ABS(N18))</f>
        <v>60</v>
      </c>
      <c r="P18" s="453"/>
      <c r="Q18" s="453"/>
      <c r="R18" s="189" t="str">
        <f>IF(P18="","-",IF(Q18="","-",Q18-P18))</f>
        <v>-</v>
      </c>
      <c r="S18" s="70"/>
      <c r="T18" s="70"/>
      <c r="U18" s="70"/>
      <c r="V18" s="70"/>
    </row>
    <row r="19" spans="1:22" ht="15.75" customHeight="1" thickBot="1">
      <c r="A19" s="604" t="s">
        <v>120</v>
      </c>
      <c r="B19" s="605"/>
      <c r="C19" s="606" t="e">
        <f>C17/C18</f>
        <v>#DIV/0!</v>
      </c>
      <c r="D19" s="606" t="e">
        <f>D17/D18</f>
        <v>#DIV/0!</v>
      </c>
      <c r="E19" s="607" t="e">
        <f>C19/D19</f>
        <v>#DIV/0!</v>
      </c>
      <c r="K19" s="70"/>
      <c r="O19" s="70"/>
      <c r="P19" s="70"/>
      <c r="Q19" s="70"/>
      <c r="R19" s="70"/>
      <c r="S19" s="70"/>
      <c r="T19" s="70"/>
      <c r="U19" s="70"/>
      <c r="V19" s="70"/>
    </row>
    <row r="20" spans="1:22" ht="15.75" customHeight="1">
      <c r="C20" s="341" t="s">
        <v>72</v>
      </c>
      <c r="D20" s="341" t="s">
        <v>73</v>
      </c>
      <c r="E20" s="341" t="s">
        <v>74</v>
      </c>
      <c r="K20" s="70"/>
      <c r="M20" s="188" t="s">
        <v>546</v>
      </c>
      <c r="N20" s="188"/>
      <c r="O20" s="188"/>
      <c r="P20" s="70"/>
      <c r="Q20" s="70"/>
      <c r="R20" s="70"/>
      <c r="S20" s="70"/>
      <c r="T20" s="70"/>
      <c r="U20" s="70"/>
      <c r="V20" s="70"/>
    </row>
    <row r="21" spans="1:22" ht="15.75" customHeight="1">
      <c r="A21" s="343"/>
      <c r="D21" s="608"/>
      <c r="F21" s="60" t="s">
        <v>495</v>
      </c>
      <c r="G21" s="189" t="str">
        <f>TEXT(D17,"0.00")</f>
        <v>0.00</v>
      </c>
      <c r="K21" s="70"/>
      <c r="O21" s="70"/>
      <c r="P21" s="70"/>
      <c r="Q21" s="70"/>
      <c r="R21" s="70"/>
      <c r="S21" s="70"/>
      <c r="T21" s="70"/>
      <c r="U21" s="70"/>
      <c r="V21" s="70"/>
    </row>
    <row r="22" spans="1:22" ht="15.75" customHeight="1">
      <c r="K22" s="70"/>
      <c r="M22" s="192" t="s">
        <v>547</v>
      </c>
      <c r="N22" s="193" t="str">
        <f>IF(T17="-","-",IF(U17="-","-",(T17^2-1)/(T17^2-U17)))</f>
        <v>-</v>
      </c>
      <c r="O22" s="70"/>
      <c r="P22" s="70"/>
      <c r="Q22" s="70"/>
      <c r="R22" s="70"/>
      <c r="S22" s="70"/>
      <c r="T22" s="70"/>
      <c r="U22" s="70"/>
      <c r="V22" s="70"/>
    </row>
    <row r="23" spans="1:22" ht="15.75" customHeight="1">
      <c r="A23" s="307" t="s">
        <v>1446</v>
      </c>
      <c r="B23" s="70"/>
      <c r="C23" s="288" t="s">
        <v>6</v>
      </c>
      <c r="D23" s="288" t="s">
        <v>39</v>
      </c>
      <c r="E23" s="288" t="s">
        <v>3</v>
      </c>
      <c r="K23" s="70"/>
      <c r="O23" s="70"/>
      <c r="P23" s="70"/>
      <c r="Q23" s="70"/>
      <c r="R23" s="70"/>
      <c r="S23" s="70"/>
      <c r="T23" s="70"/>
      <c r="U23" s="70"/>
      <c r="V23" s="70"/>
    </row>
    <row r="24" spans="1:22" ht="15.75" customHeight="1">
      <c r="B24" s="70"/>
      <c r="C24" s="289" t="s">
        <v>8</v>
      </c>
      <c r="D24" s="289" t="s">
        <v>8</v>
      </c>
      <c r="E24" s="289">
        <f>C25</f>
        <v>0</v>
      </c>
      <c r="K24" s="70"/>
      <c r="O24" s="70"/>
      <c r="P24" s="70"/>
      <c r="Q24" s="70"/>
      <c r="R24" s="70"/>
      <c r="S24" s="70"/>
      <c r="T24" s="70"/>
      <c r="U24" s="70"/>
      <c r="V24" s="70"/>
    </row>
    <row r="25" spans="1:22" ht="15.75" customHeight="1">
      <c r="B25" s="593" t="s">
        <v>32</v>
      </c>
      <c r="C25" s="429"/>
      <c r="D25" s="289" t="str">
        <f>A5</f>
        <v>CAL11957</v>
      </c>
      <c r="E25" s="289" t="s">
        <v>5</v>
      </c>
      <c r="K25" s="187" t="s">
        <v>1450</v>
      </c>
      <c r="O25" s="70"/>
      <c r="P25" s="70"/>
      <c r="Q25" s="70"/>
      <c r="R25" s="70"/>
      <c r="S25" s="187"/>
      <c r="T25" s="70"/>
      <c r="U25" s="70"/>
      <c r="V25" s="70"/>
    </row>
    <row r="26" spans="1:22" ht="15.75" customHeight="1">
      <c r="B26" s="70"/>
      <c r="C26" s="334" t="s">
        <v>0</v>
      </c>
      <c r="D26" s="334" t="s">
        <v>0</v>
      </c>
      <c r="E26" s="289" t="str">
        <f>D25</f>
        <v>CAL11957</v>
      </c>
      <c r="K26" s="70"/>
      <c r="M26" s="70" t="s">
        <v>534</v>
      </c>
      <c r="N26" s="60" t="s">
        <v>553</v>
      </c>
      <c r="O26" s="60" t="s">
        <v>164</v>
      </c>
      <c r="P26" s="70" t="s">
        <v>536</v>
      </c>
      <c r="Q26" s="70" t="s">
        <v>537</v>
      </c>
      <c r="R26" s="70" t="s">
        <v>538</v>
      </c>
      <c r="S26" s="70"/>
      <c r="T26" s="70"/>
      <c r="U26" s="70"/>
      <c r="V26" s="70"/>
    </row>
    <row r="27" spans="1:22" ht="15.75" customHeight="1">
      <c r="A27" s="601" t="s">
        <v>31</v>
      </c>
      <c r="B27" s="642" t="s">
        <v>113</v>
      </c>
      <c r="C27" s="454"/>
      <c r="D27" s="456">
        <f>D17</f>
        <v>0</v>
      </c>
      <c r="E27" s="290" t="e">
        <f>C27/D27</f>
        <v>#DIV/0!</v>
      </c>
      <c r="K27" s="70"/>
      <c r="M27" s="70" t="s">
        <v>535</v>
      </c>
      <c r="N27" s="60" t="s">
        <v>554</v>
      </c>
      <c r="O27" s="60" t="s">
        <v>551</v>
      </c>
      <c r="P27" s="70" t="s">
        <v>543</v>
      </c>
      <c r="Q27" s="70" t="s">
        <v>543</v>
      </c>
      <c r="R27" s="70" t="s">
        <v>543</v>
      </c>
      <c r="S27" s="70"/>
      <c r="T27" s="70"/>
      <c r="U27" s="70"/>
      <c r="V27" s="70"/>
    </row>
    <row r="28" spans="1:22" ht="15.75" customHeight="1" thickBot="1">
      <c r="A28" s="609" t="s">
        <v>30</v>
      </c>
      <c r="B28" s="643" t="s">
        <v>114</v>
      </c>
      <c r="C28" s="455"/>
      <c r="D28" s="457">
        <f>D18</f>
        <v>0</v>
      </c>
      <c r="E28" s="603" t="e">
        <f>C28/D28</f>
        <v>#DIV/0!</v>
      </c>
      <c r="K28" s="70"/>
      <c r="M28" s="70" t="s">
        <v>541</v>
      </c>
      <c r="N28" s="70" t="s">
        <v>542</v>
      </c>
      <c r="O28" s="60" t="s">
        <v>552</v>
      </c>
      <c r="P28" s="70"/>
      <c r="Q28" s="70"/>
      <c r="R28" s="70"/>
      <c r="S28" s="70"/>
      <c r="T28" s="70"/>
      <c r="U28" s="70"/>
      <c r="V28" s="70"/>
    </row>
    <row r="29" spans="1:22" ht="15.75" customHeight="1" thickBot="1">
      <c r="A29" s="604" t="s">
        <v>120</v>
      </c>
      <c r="B29" s="605"/>
      <c r="C29" s="606" t="e">
        <f>C27/C28</f>
        <v>#DIV/0!</v>
      </c>
      <c r="D29" s="606" t="e">
        <f>D27/D28</f>
        <v>#DIV/0!</v>
      </c>
      <c r="E29" s="607" t="e">
        <f>C29/D29</f>
        <v>#DIV/0!</v>
      </c>
      <c r="K29" s="188" t="s">
        <v>544</v>
      </c>
      <c r="M29" s="196" t="str">
        <f>M17</f>
        <v>CEN</v>
      </c>
      <c r="N29" s="196">
        <f>N17</f>
        <v>-242</v>
      </c>
      <c r="O29" s="196">
        <f>IF(M29="CEP",-ABS(N29),ABS(N29))</f>
        <v>242</v>
      </c>
      <c r="P29" s="453"/>
      <c r="Q29" s="453"/>
      <c r="R29" s="189" t="str">
        <f>IF(P29="","-",IF(Q29="","-",Q29-P29))</f>
        <v>-</v>
      </c>
      <c r="S29" s="70"/>
      <c r="T29" s="70"/>
      <c r="U29" s="70"/>
      <c r="V29" s="70"/>
    </row>
    <row r="30" spans="1:22" ht="15.75" customHeight="1">
      <c r="A30" s="56"/>
      <c r="C30" s="341" t="s">
        <v>75</v>
      </c>
      <c r="D30" s="341" t="s">
        <v>76</v>
      </c>
      <c r="E30" s="341" t="s">
        <v>77</v>
      </c>
      <c r="K30" s="188" t="s">
        <v>548</v>
      </c>
      <c r="M30" s="196" t="str">
        <f>Client!T11</f>
        <v>CEP</v>
      </c>
      <c r="N30" s="196">
        <f>Client!U11</f>
        <v>242</v>
      </c>
      <c r="O30" s="196">
        <f>IF(M30="CEP",-ABS(N30),ABS(N30))</f>
        <v>-242</v>
      </c>
      <c r="P30" s="453"/>
      <c r="Q30" s="453"/>
      <c r="R30" s="189" t="str">
        <f>IF(P30="","-",IF(Q30="","-",Q30-P30))</f>
        <v>-</v>
      </c>
      <c r="S30" s="70"/>
      <c r="T30" s="70"/>
      <c r="U30" s="70"/>
      <c r="V30" s="70"/>
    </row>
    <row r="31" spans="1:22" ht="15.75" customHeight="1">
      <c r="A31" s="56"/>
      <c r="C31" s="341"/>
      <c r="D31" s="341"/>
      <c r="E31" s="341"/>
      <c r="K31" s="70"/>
      <c r="O31" s="70"/>
      <c r="P31" s="70"/>
      <c r="Q31" s="70"/>
      <c r="R31" s="70"/>
      <c r="S31" s="70"/>
      <c r="T31" s="70"/>
      <c r="U31" s="70"/>
      <c r="V31" s="70"/>
    </row>
    <row r="32" spans="1:22" ht="15.75" customHeight="1">
      <c r="A32" s="58" t="s">
        <v>121</v>
      </c>
      <c r="C32" s="341"/>
      <c r="D32" s="341"/>
      <c r="E32" s="341"/>
      <c r="K32" s="70"/>
      <c r="M32" s="188" t="s">
        <v>549</v>
      </c>
      <c r="O32" s="70"/>
      <c r="P32" s="70"/>
      <c r="Q32" s="70"/>
      <c r="R32" s="70"/>
      <c r="S32" s="70"/>
      <c r="T32" s="70"/>
      <c r="U32" s="70"/>
      <c r="V32" s="70"/>
    </row>
    <row r="33" spans="1:22" ht="15.75" customHeight="1">
      <c r="A33" s="56"/>
      <c r="K33" s="70"/>
      <c r="L33" s="188"/>
      <c r="O33" s="70"/>
      <c r="P33" s="70"/>
      <c r="Q33" s="70"/>
      <c r="R33" s="70"/>
      <c r="S33" s="70"/>
      <c r="T33" s="70"/>
      <c r="U33" s="70"/>
      <c r="V33" s="70"/>
    </row>
    <row r="34" spans="1:22" ht="15.75" customHeight="1">
      <c r="A34" s="311" t="s">
        <v>174</v>
      </c>
      <c r="B34" s="288" t="s">
        <v>56</v>
      </c>
      <c r="C34" s="288" t="s">
        <v>172</v>
      </c>
      <c r="D34" s="288" t="s">
        <v>164</v>
      </c>
      <c r="E34" s="288" t="s">
        <v>2</v>
      </c>
      <c r="F34" s="288" t="s">
        <v>6</v>
      </c>
      <c r="G34" s="288" t="s">
        <v>1</v>
      </c>
      <c r="H34" s="311" t="s">
        <v>2</v>
      </c>
      <c r="K34" s="70"/>
      <c r="M34" s="192" t="s">
        <v>550</v>
      </c>
      <c r="N34" s="194" t="str">
        <f>IF(Q30="","-",(ABS(R29)+ABS(R30))/(2*ABS(R29)))</f>
        <v>-</v>
      </c>
      <c r="O34" s="194"/>
      <c r="P34" s="195" t="str">
        <f>IF(M29="","","for user polarity "&amp;M29)</f>
        <v>for user polarity CEN</v>
      </c>
      <c r="Q34" s="519"/>
      <c r="R34" s="70"/>
      <c r="S34" s="70"/>
      <c r="T34" s="70"/>
      <c r="U34" s="70"/>
      <c r="V34" s="70"/>
    </row>
    <row r="35" spans="1:22" ht="15.75" customHeight="1">
      <c r="A35" s="342" t="s">
        <v>175</v>
      </c>
      <c r="B35" s="289" t="s">
        <v>169</v>
      </c>
      <c r="C35" s="342" t="s">
        <v>176</v>
      </c>
      <c r="D35" s="289" t="s">
        <v>4</v>
      </c>
      <c r="E35" s="289" t="s">
        <v>4</v>
      </c>
      <c r="F35" s="289" t="s">
        <v>166</v>
      </c>
      <c r="G35" s="289" t="s">
        <v>168</v>
      </c>
      <c r="H35" s="342" t="s">
        <v>177</v>
      </c>
      <c r="L35" s="56"/>
      <c r="M35" s="56"/>
      <c r="N35" s="56"/>
    </row>
    <row r="36" spans="1:22" ht="15.75" customHeight="1">
      <c r="A36" s="334"/>
      <c r="B36" s="334" t="s">
        <v>173</v>
      </c>
      <c r="C36" s="325" t="s">
        <v>1</v>
      </c>
      <c r="D36" s="334">
        <f>C15</f>
        <v>0</v>
      </c>
      <c r="E36" s="334" t="str">
        <f>D15</f>
        <v>457</v>
      </c>
      <c r="F36" s="334" t="str">
        <f>E36</f>
        <v>457</v>
      </c>
      <c r="G36" s="334" t="s">
        <v>38</v>
      </c>
      <c r="H36" s="325" t="s">
        <v>112</v>
      </c>
      <c r="K36" s="187" t="s">
        <v>1451</v>
      </c>
      <c r="L36" s="56"/>
      <c r="M36" s="56"/>
      <c r="N36" s="56"/>
      <c r="P36" s="69"/>
    </row>
    <row r="37" spans="1:22" ht="15.75" customHeight="1">
      <c r="A37" s="70"/>
      <c r="B37" s="70"/>
      <c r="C37" s="70"/>
      <c r="D37" s="70"/>
      <c r="E37" s="70"/>
      <c r="F37" s="70"/>
      <c r="G37" s="70"/>
      <c r="K37" s="69" t="s">
        <v>555</v>
      </c>
      <c r="L37" s="56"/>
      <c r="M37" s="56"/>
      <c r="N37" s="453"/>
      <c r="O37" s="69" t="s">
        <v>63</v>
      </c>
      <c r="P37" s="56" t="s">
        <v>870</v>
      </c>
    </row>
    <row r="38" spans="1:22" ht="15.75" customHeight="1">
      <c r="A38" s="295">
        <f>VLOOKUP(Limits!$G$3,Limits!$A$10:$K$25,2)</f>
        <v>30013</v>
      </c>
      <c r="B38" s="296">
        <f>VLOOKUP(Limits!$G$3,Limits!$A$10:$K$25,8)</f>
        <v>49.540733310992287</v>
      </c>
      <c r="C38" s="190" t="s">
        <v>165</v>
      </c>
      <c r="D38" s="189">
        <f>C18</f>
        <v>0</v>
      </c>
      <c r="E38" s="189">
        <f>D18</f>
        <v>0</v>
      </c>
      <c r="F38" s="189">
        <f>C28</f>
        <v>0</v>
      </c>
      <c r="K38" s="69" t="s">
        <v>883</v>
      </c>
      <c r="N38" s="453"/>
      <c r="O38" s="69" t="s">
        <v>63</v>
      </c>
      <c r="P38" s="69" t="s">
        <v>884</v>
      </c>
    </row>
    <row r="39" spans="1:22" ht="15.75" customHeight="1">
      <c r="A39" s="190"/>
      <c r="B39" s="190"/>
      <c r="C39" s="297" t="s">
        <v>167</v>
      </c>
      <c r="D39" s="298">
        <f>(D38-B38)/B38*100</f>
        <v>-100</v>
      </c>
      <c r="E39" s="298">
        <f>(E38-B38)/B38*100</f>
        <v>-100</v>
      </c>
      <c r="F39" s="298">
        <f>(F38-B38)/B38*100</f>
        <v>-100</v>
      </c>
      <c r="G39" s="299">
        <f>VLOOKUP(Limits!$G$3,Limits!$A$10:$K$25,9)</f>
        <v>1.0599035163387016</v>
      </c>
      <c r="H39" s="298">
        <f>ABS(E39/G39)</f>
        <v>94.348210434697819</v>
      </c>
    </row>
    <row r="40" spans="1:22" ht="15.75" customHeight="1">
      <c r="A40" s="56"/>
      <c r="K40" s="58" t="s">
        <v>846</v>
      </c>
    </row>
    <row r="41" spans="1:22" ht="15.75" customHeight="1">
      <c r="A41" s="295">
        <f>VLOOKUP(Limits!$G$3,Limits!$A$10:$K$25,2)</f>
        <v>30013</v>
      </c>
      <c r="B41" s="296">
        <f>VLOOKUP(Limits!$G$3,Limits!$A$10:$K$25,6)</f>
        <v>53.809485665657085</v>
      </c>
      <c r="C41" s="190" t="s">
        <v>170</v>
      </c>
      <c r="D41" s="189">
        <f>C17</f>
        <v>0</v>
      </c>
      <c r="E41" s="189">
        <f>D17</f>
        <v>0</v>
      </c>
      <c r="F41" s="189">
        <f>C27</f>
        <v>0</v>
      </c>
      <c r="M41" s="445" t="s">
        <v>845</v>
      </c>
      <c r="N41" s="644">
        <f>ROUND(D17,2)</f>
        <v>0</v>
      </c>
    </row>
    <row r="42" spans="1:22" ht="15.75" customHeight="1">
      <c r="A42" s="190"/>
      <c r="B42" s="190"/>
      <c r="C42" s="297" t="s">
        <v>167</v>
      </c>
      <c r="D42" s="298">
        <f>(D41-B41)/B41*100</f>
        <v>-100</v>
      </c>
      <c r="E42" s="298">
        <f>(E41-B41)/B41*100</f>
        <v>-100</v>
      </c>
      <c r="F42" s="298">
        <f>(F41-B41)/B41*100</f>
        <v>-100</v>
      </c>
      <c r="G42" s="299">
        <f>VLOOKUP(Limits!$G$3,Limits!$A$10:$K$25,7)</f>
        <v>1.0079526828753211</v>
      </c>
      <c r="H42" s="298">
        <f>ABS(E42/G42)</f>
        <v>99.211006328924583</v>
      </c>
      <c r="M42" s="445" t="s">
        <v>547</v>
      </c>
      <c r="N42" s="645" t="e">
        <f>ROUND(N22,4)</f>
        <v>#VALUE!</v>
      </c>
    </row>
    <row r="43" spans="1:22" ht="15.75" customHeight="1">
      <c r="A43" s="56"/>
      <c r="K43" s="70"/>
      <c r="M43" s="445" t="s">
        <v>550</v>
      </c>
      <c r="N43" s="645" t="e">
        <f>ROUND(N34,4)</f>
        <v>#VALUE!</v>
      </c>
      <c r="O43" s="70"/>
    </row>
    <row r="44" spans="1:22" ht="15.75" customHeight="1">
      <c r="A44" s="295">
        <f>VLOOKUP(Limits!$G$3,Limits!$A$10:$K$25,2)</f>
        <v>30013</v>
      </c>
      <c r="B44" s="300">
        <f>VLOOKUP(Limits!$G$3,Limits!$A$10:$K$25,10)</f>
        <v>1.086168630919319</v>
      </c>
      <c r="C44" s="190" t="s">
        <v>171</v>
      </c>
      <c r="D44" s="286" t="e">
        <f>C19</f>
        <v>#DIV/0!</v>
      </c>
      <c r="E44" s="286" t="e">
        <f>D19</f>
        <v>#DIV/0!</v>
      </c>
      <c r="F44" s="286" t="e">
        <f>C29</f>
        <v>#DIV/0!</v>
      </c>
      <c r="K44" s="70"/>
      <c r="O44" s="70"/>
    </row>
    <row r="45" spans="1:22" ht="15.75" customHeight="1">
      <c r="A45" s="190"/>
      <c r="B45" s="190"/>
      <c r="C45" s="297" t="s">
        <v>167</v>
      </c>
      <c r="D45" s="298" t="e">
        <f>(D44-B44)/B44*100</f>
        <v>#DIV/0!</v>
      </c>
      <c r="E45" s="298" t="e">
        <f>(E44-B44)/B44*100</f>
        <v>#DIV/0!</v>
      </c>
      <c r="F45" s="298" t="e">
        <f>(F44-B44)/B44*100</f>
        <v>#DIV/0!</v>
      </c>
      <c r="G45" s="299">
        <f>VLOOKUP(Limits!$G$3,Limits!$A$10:$K$25,11)</f>
        <v>0.23377119723359702</v>
      </c>
      <c r="H45" s="298" t="e">
        <f>ABS(E45/G45)</f>
        <v>#DIV/0!</v>
      </c>
      <c r="K45" s="70"/>
      <c r="O45" s="70"/>
    </row>
    <row r="46" spans="1:22">
      <c r="A46" s="56"/>
      <c r="K46" s="593"/>
    </row>
    <row r="47" spans="1:22">
      <c r="A47" s="56"/>
      <c r="K47" s="593"/>
    </row>
  </sheetData>
  <sheetProtection sheet="1" objects="1" scenarios="1"/>
  <mergeCells count="2">
    <mergeCell ref="B6:C6"/>
    <mergeCell ref="B7:C7"/>
  </mergeCells>
  <phoneticPr fontId="2" type="noConversion"/>
  <conditionalFormatting sqref="D39">
    <cfRule type="expression" dxfId="88" priority="27" stopIfTrue="1">
      <formula>OR((D39&lt;-G39),(D39&gt;G39))</formula>
    </cfRule>
  </conditionalFormatting>
  <conditionalFormatting sqref="E39">
    <cfRule type="expression" dxfId="87" priority="26" stopIfTrue="1">
      <formula>OR((E39&lt;-G39),(E39&gt;G39))</formula>
    </cfRule>
  </conditionalFormatting>
  <conditionalFormatting sqref="F39">
    <cfRule type="expression" dxfId="86" priority="25" stopIfTrue="1">
      <formula>OR((F39&lt;-G39),(F39&gt;G39))</formula>
    </cfRule>
  </conditionalFormatting>
  <conditionalFormatting sqref="D42">
    <cfRule type="expression" dxfId="85" priority="21" stopIfTrue="1">
      <formula>OR((D42&lt;-G42),(D42&gt;G42))</formula>
    </cfRule>
  </conditionalFormatting>
  <conditionalFormatting sqref="E42">
    <cfRule type="expression" dxfId="84" priority="20" stopIfTrue="1">
      <formula>OR((E42&lt;-G42),(E42&gt;G42))</formula>
    </cfRule>
  </conditionalFormatting>
  <conditionalFormatting sqref="F42">
    <cfRule type="expression" dxfId="83" priority="19" stopIfTrue="1">
      <formula>OR((F42&lt;-G42),(F42&gt;G42))</formula>
    </cfRule>
  </conditionalFormatting>
  <conditionalFormatting sqref="D45">
    <cfRule type="expression" dxfId="82" priority="18" stopIfTrue="1">
      <formula>OR((D45&lt;-G45),(D45&gt;G45))</formula>
    </cfRule>
  </conditionalFormatting>
  <conditionalFormatting sqref="E45">
    <cfRule type="expression" dxfId="81" priority="17" stopIfTrue="1">
      <formula>OR((E45&lt;-G45),(E45&gt;G45))</formula>
    </cfRule>
  </conditionalFormatting>
  <conditionalFormatting sqref="F45">
    <cfRule type="expression" dxfId="80" priority="16" stopIfTrue="1">
      <formula>OR((F45&lt;-G45),(F45&gt;G45))</formula>
    </cfRule>
  </conditionalFormatting>
  <conditionalFormatting sqref="H39">
    <cfRule type="expression" dxfId="79" priority="13" stopIfTrue="1">
      <formula>(H39&gt;1)</formula>
    </cfRule>
  </conditionalFormatting>
  <conditionalFormatting sqref="H42">
    <cfRule type="expression" dxfId="78" priority="8" stopIfTrue="1">
      <formula>(H42&gt;1)</formula>
    </cfRule>
  </conditionalFormatting>
  <conditionalFormatting sqref="H45">
    <cfRule type="expression" dxfId="77" priority="7" stopIfTrue="1">
      <formula>(H45&gt;1)</formula>
    </cfRule>
  </conditionalFormatting>
  <conditionalFormatting sqref="I9">
    <cfRule type="cellIs" dxfId="76" priority="3" operator="equal">
      <formula>"Yes"</formula>
    </cfRule>
  </conditionalFormatting>
  <conditionalFormatting sqref="I10">
    <cfRule type="cellIs" dxfId="75" priority="2" operator="equal">
      <formula>"Yes"</formula>
    </cfRule>
  </conditionalFormatting>
  <conditionalFormatting sqref="I11">
    <cfRule type="cellIs" dxfId="74" priority="1" operator="equal">
      <formula>"Yes"</formula>
    </cfRule>
  </conditionalFormatting>
  <pageMargins left="0.75" right="0.75" top="1" bottom="1" header="0.5" footer="0.5"/>
  <pageSetup paperSize="9" scale="52" orientation="landscape" verticalDpi="2" r:id="rId1"/>
  <headerFooter alignWithMargins="0">
    <oddFooter>&amp;L&amp;D  &amp;A
&amp;Z&amp;F</oddFooter>
  </headerFooter>
  <ignoredErrors>
    <ignoredError sqref="B6:B7"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Drop Down 3">
              <controlPr locked="0" defaultSize="0" autoLine="0" autoPict="0">
                <anchor moveWithCells="1">
                  <from>
                    <xdr:col>1</xdr:col>
                    <xdr:colOff>590550</xdr:colOff>
                    <xdr:row>30</xdr:row>
                    <xdr:rowOff>180975</xdr:rowOff>
                  </from>
                  <to>
                    <xdr:col>3</xdr:col>
                    <xdr:colOff>790575</xdr:colOff>
                    <xdr:row>32</xdr:row>
                    <xdr:rowOff>19050</xdr:rowOff>
                  </to>
                </anchor>
              </controlPr>
            </control>
          </mc:Choice>
        </mc:AlternateContent>
        <mc:AlternateContent xmlns:mc="http://schemas.openxmlformats.org/markup-compatibility/2006">
          <mc:Choice Requires="x14">
            <control shapeId="7172" r:id="rId5" name="Button 4">
              <controlPr defaultSize="0" print="0" autoFill="0" autoPict="0" macro="[0]!Button4_Click">
                <anchor moveWithCells="1" sizeWithCells="1">
                  <from>
                    <xdr:col>11</xdr:col>
                    <xdr:colOff>66675</xdr:colOff>
                    <xdr:row>8</xdr:row>
                    <xdr:rowOff>0</xdr:rowOff>
                  </from>
                  <to>
                    <xdr:col>13</xdr:col>
                    <xdr:colOff>590550</xdr:colOff>
                    <xdr:row>9</xdr:row>
                    <xdr:rowOff>66675</xdr:rowOff>
                  </to>
                </anchor>
              </controlPr>
            </control>
          </mc:Choice>
        </mc:AlternateContent>
        <mc:AlternateContent xmlns:mc="http://schemas.openxmlformats.org/markup-compatibility/2006">
          <mc:Choice Requires="x14">
            <control shapeId="7176" r:id="rId6" name="Button 8">
              <controlPr defaultSize="0" print="0" autoFill="0" autoPict="0" macro="[0]!Co_Button8_Click">
                <anchor moveWithCells="1" sizeWithCells="1">
                  <from>
                    <xdr:col>11</xdr:col>
                    <xdr:colOff>57150</xdr:colOff>
                    <xdr:row>9</xdr:row>
                    <xdr:rowOff>123825</xdr:rowOff>
                  </from>
                  <to>
                    <xdr:col>13</xdr:col>
                    <xdr:colOff>581025</xdr:colOff>
                    <xdr:row>11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6"/>
  <dimension ref="A1:AA404"/>
  <sheetViews>
    <sheetView zoomScaleNormal="100" workbookViewId="0">
      <selection activeCell="AI18" sqref="AI18"/>
    </sheetView>
  </sheetViews>
  <sheetFormatPr defaultRowHeight="12.75"/>
  <cols>
    <col min="1" max="20" width="4.42578125" customWidth="1"/>
    <col min="21" max="24" width="5" customWidth="1"/>
  </cols>
  <sheetData>
    <row r="1" spans="1:20" ht="12" customHeight="1"/>
    <row r="6" spans="1:20" ht="12.75" customHeight="1">
      <c r="A6" s="1109" t="s">
        <v>1173</v>
      </c>
      <c r="B6" s="1109"/>
      <c r="C6" s="1109"/>
      <c r="D6" s="1109"/>
      <c r="E6" s="1109"/>
      <c r="F6" s="1109"/>
      <c r="G6" s="1109"/>
      <c r="H6" s="1109"/>
      <c r="I6" s="1109"/>
      <c r="J6" s="1109"/>
      <c r="K6" s="1109"/>
      <c r="L6" s="1109"/>
      <c r="M6" s="1109"/>
      <c r="N6" s="1109"/>
      <c r="O6" s="1109"/>
      <c r="P6" s="1109"/>
      <c r="Q6" s="1109"/>
      <c r="R6" s="1109"/>
      <c r="S6" s="1109"/>
      <c r="T6" s="1109"/>
    </row>
    <row r="7" spans="1:20">
      <c r="A7" s="1110" t="s">
        <v>340</v>
      </c>
      <c r="B7" s="1110"/>
      <c r="C7" s="1110"/>
      <c r="D7" s="1110"/>
      <c r="E7" s="1110"/>
      <c r="F7" s="1110"/>
      <c r="G7" s="1110"/>
      <c r="H7" s="1110"/>
      <c r="I7" s="1110"/>
      <c r="J7" s="1110"/>
      <c r="K7" s="1110"/>
      <c r="L7" s="1110"/>
      <c r="M7" s="1110"/>
      <c r="N7" s="1110"/>
      <c r="O7" s="1110"/>
      <c r="P7" s="1110"/>
      <c r="Q7" s="1110"/>
      <c r="R7" s="1110"/>
      <c r="S7" s="1110"/>
      <c r="T7" s="1110"/>
    </row>
    <row r="8" spans="1:20">
      <c r="A8" s="1111" t="s">
        <v>341</v>
      </c>
      <c r="B8" s="1111"/>
      <c r="C8" s="1111"/>
      <c r="D8" s="1111"/>
      <c r="E8" s="1111"/>
      <c r="F8" s="1111"/>
      <c r="G8" s="1111"/>
      <c r="H8" s="1111"/>
      <c r="I8" s="1111"/>
      <c r="J8" s="1111"/>
      <c r="K8" s="1111"/>
      <c r="L8" s="1111"/>
      <c r="M8" s="1111"/>
      <c r="N8" s="1111"/>
      <c r="O8" s="1111"/>
      <c r="P8" s="1111"/>
      <c r="Q8" s="1111"/>
      <c r="R8" s="1111"/>
      <c r="S8" s="1111"/>
      <c r="T8" s="1111"/>
    </row>
    <row r="9" spans="1:20" ht="21.75" customHeight="1">
      <c r="A9" s="1112" t="s">
        <v>1175</v>
      </c>
      <c r="B9" s="1113"/>
      <c r="C9" s="1113"/>
      <c r="D9" s="1113"/>
      <c r="E9" s="1113"/>
      <c r="F9" s="1113"/>
      <c r="G9" s="1113"/>
      <c r="H9" s="1113"/>
      <c r="I9" s="1113"/>
      <c r="J9" s="1113"/>
      <c r="K9" s="1113"/>
      <c r="L9" s="1113"/>
      <c r="M9" s="1113"/>
      <c r="N9" s="1113"/>
      <c r="O9" s="1113"/>
      <c r="P9" s="1113"/>
      <c r="Q9" s="1113"/>
      <c r="R9" s="1113"/>
      <c r="S9" s="1113"/>
      <c r="T9" s="1113"/>
    </row>
    <row r="10" spans="1:20" ht="22.5" customHeight="1">
      <c r="A10" s="91"/>
      <c r="B10" s="91"/>
      <c r="C10" s="91"/>
      <c r="D10" s="91"/>
      <c r="E10" s="91"/>
      <c r="F10" s="91"/>
      <c r="G10" s="91"/>
      <c r="H10" s="91"/>
      <c r="I10" s="91"/>
      <c r="J10" s="92"/>
      <c r="K10" s="93"/>
      <c r="L10" s="91"/>
      <c r="M10" s="91"/>
      <c r="N10" s="94"/>
      <c r="O10" s="91"/>
      <c r="P10" s="91"/>
      <c r="T10" s="220" t="s">
        <v>648</v>
      </c>
    </row>
    <row r="11" spans="1:20" ht="15.75">
      <c r="A11" s="91"/>
      <c r="B11" s="91"/>
      <c r="C11" s="91"/>
      <c r="D11" s="91"/>
      <c r="E11" s="91"/>
      <c r="F11" s="91"/>
      <c r="G11" s="91"/>
      <c r="H11" s="91"/>
      <c r="I11" s="91"/>
      <c r="J11" s="91"/>
      <c r="K11" s="91"/>
      <c r="L11" s="91"/>
      <c r="M11" s="91"/>
      <c r="N11" s="94"/>
      <c r="O11" s="91"/>
      <c r="P11" s="91"/>
      <c r="T11" s="220" t="str">
        <f>Client!B4</f>
        <v>None</v>
      </c>
    </row>
    <row r="12" spans="1:20" ht="15.75">
      <c r="A12" s="91"/>
      <c r="B12" s="91"/>
      <c r="C12" s="91"/>
      <c r="D12" s="91"/>
      <c r="E12" s="91"/>
      <c r="F12" s="91"/>
      <c r="G12" s="91"/>
      <c r="H12" s="91"/>
      <c r="I12" s="91"/>
      <c r="J12" s="91"/>
      <c r="K12" s="91"/>
      <c r="L12" s="91"/>
      <c r="M12" s="91"/>
      <c r="N12" s="91"/>
      <c r="O12" s="91"/>
      <c r="P12" s="91"/>
      <c r="Q12" s="91"/>
      <c r="R12" s="96"/>
      <c r="S12" s="96"/>
      <c r="T12" s="95" t="str">
        <f>Client!B5&amp;"/"&amp;TEXT(Client!B38,"00")</f>
        <v>CAL11957/00</v>
      </c>
    </row>
    <row r="13" spans="1:20" ht="15">
      <c r="A13" s="91"/>
      <c r="B13" s="91"/>
      <c r="C13" s="91"/>
      <c r="D13" s="91"/>
      <c r="E13" s="91"/>
      <c r="F13" s="91"/>
      <c r="G13" s="91"/>
      <c r="H13" s="91"/>
      <c r="I13" s="91"/>
      <c r="J13" s="91"/>
      <c r="K13" s="91"/>
      <c r="L13" s="91"/>
      <c r="M13" s="91"/>
      <c r="N13" s="91"/>
      <c r="O13" s="91"/>
      <c r="P13" s="91"/>
      <c r="Q13" s="91"/>
      <c r="R13" s="96"/>
      <c r="S13" s="96"/>
    </row>
    <row r="14" spans="1:20" ht="18.75">
      <c r="A14" s="1114" t="s">
        <v>342</v>
      </c>
      <c r="B14" s="1114"/>
      <c r="C14" s="1114"/>
      <c r="D14" s="1114"/>
      <c r="E14" s="1114"/>
      <c r="F14" s="1114"/>
      <c r="G14" s="1114"/>
      <c r="H14" s="1114"/>
      <c r="I14" s="1114"/>
      <c r="J14" s="1114"/>
      <c r="K14" s="1114"/>
      <c r="L14" s="1114"/>
      <c r="M14" s="1114"/>
      <c r="N14" s="1114"/>
      <c r="O14" s="1114"/>
      <c r="P14" s="1114"/>
      <c r="Q14" s="1114"/>
      <c r="R14" s="1114"/>
      <c r="S14" s="1114"/>
      <c r="T14" s="1114"/>
    </row>
    <row r="15" spans="1:20" ht="15" customHeight="1">
      <c r="A15" s="1142" t="s">
        <v>1310</v>
      </c>
      <c r="B15" s="1142"/>
      <c r="C15" s="1142"/>
      <c r="D15" s="1142"/>
      <c r="E15" s="1142"/>
      <c r="F15" s="1142"/>
      <c r="G15" s="1142"/>
      <c r="H15" s="1142"/>
      <c r="I15" s="1142"/>
      <c r="J15" s="1142"/>
      <c r="K15" s="1142"/>
      <c r="L15" s="1142"/>
      <c r="M15" s="1142"/>
      <c r="N15" s="1142"/>
      <c r="O15" s="1142"/>
      <c r="P15" s="1142"/>
      <c r="Q15" s="1142"/>
      <c r="R15" s="1142"/>
      <c r="S15" s="1142"/>
      <c r="T15" s="1142"/>
    </row>
    <row r="16" spans="1:20" ht="15" customHeight="1">
      <c r="A16" s="1142" t="s">
        <v>405</v>
      </c>
      <c r="B16" s="1142"/>
      <c r="C16" s="1142"/>
      <c r="D16" s="1142"/>
      <c r="E16" s="1142"/>
      <c r="F16" s="1142"/>
      <c r="G16" s="1142"/>
      <c r="H16" s="1142"/>
      <c r="I16" s="1142"/>
      <c r="J16" s="1142"/>
      <c r="K16" s="1142"/>
      <c r="L16" s="1142"/>
      <c r="M16" s="1142"/>
      <c r="N16" s="1142"/>
      <c r="O16" s="1142"/>
      <c r="P16" s="1142"/>
      <c r="Q16" s="1142"/>
      <c r="R16" s="1142"/>
      <c r="S16" s="1142"/>
      <c r="T16" s="1142"/>
    </row>
    <row r="17" spans="1:20" ht="15" customHeight="1"/>
    <row r="18" spans="1:20" ht="15">
      <c r="A18" s="91"/>
      <c r="B18" s="91"/>
      <c r="C18" s="91"/>
      <c r="D18" s="91"/>
      <c r="E18" s="91"/>
      <c r="F18" s="91"/>
      <c r="G18" s="91"/>
      <c r="H18" s="91"/>
      <c r="I18" s="91"/>
      <c r="J18" s="91"/>
      <c r="K18" s="91"/>
      <c r="L18" s="91"/>
      <c r="M18" s="91"/>
      <c r="N18" s="91"/>
      <c r="O18" s="91"/>
      <c r="P18" s="91"/>
      <c r="Q18" s="91"/>
      <c r="R18" s="96"/>
      <c r="S18" s="96"/>
    </row>
    <row r="19" spans="1:20" ht="15.75">
      <c r="A19" s="98" t="s">
        <v>2</v>
      </c>
      <c r="B19" s="99"/>
      <c r="C19" s="99"/>
      <c r="D19" s="99"/>
      <c r="E19" s="99"/>
      <c r="F19" s="99"/>
      <c r="G19" s="100" t="str">
        <f>Client!B6</f>
        <v>De-identified for distribution</v>
      </c>
      <c r="H19" s="99"/>
      <c r="I19" s="99"/>
      <c r="J19" s="99"/>
      <c r="K19" s="99"/>
      <c r="L19" s="99"/>
      <c r="M19" s="99"/>
      <c r="N19" s="99"/>
      <c r="O19" s="99"/>
      <c r="P19" s="99"/>
      <c r="Q19" s="91"/>
      <c r="R19" s="96"/>
      <c r="S19" s="96"/>
    </row>
    <row r="20" spans="1:20" ht="15.75">
      <c r="A20" s="98"/>
      <c r="B20" s="99"/>
      <c r="C20" s="99"/>
      <c r="D20" s="99"/>
      <c r="E20" s="99"/>
      <c r="F20" s="99"/>
      <c r="G20" s="100" t="str">
        <f>Client!B7</f>
        <v>100 Street Name</v>
      </c>
      <c r="H20" s="99"/>
      <c r="I20" s="99"/>
      <c r="J20" s="99"/>
      <c r="K20" s="99"/>
      <c r="L20" s="99"/>
      <c r="M20" s="99"/>
      <c r="N20" s="99"/>
      <c r="O20" s="99"/>
      <c r="P20" s="99"/>
      <c r="Q20" s="91"/>
      <c r="R20" s="96"/>
      <c r="S20" s="96"/>
    </row>
    <row r="21" spans="1:20" ht="15.75">
      <c r="A21" s="98"/>
      <c r="B21" s="99"/>
      <c r="C21" s="99"/>
      <c r="D21" s="99"/>
      <c r="E21" s="99"/>
      <c r="F21" s="99"/>
      <c r="G21" s="100" t="str">
        <f>Client!B8</f>
        <v>Suburb 2000 NSW</v>
      </c>
      <c r="H21" s="99"/>
      <c r="I21" s="99"/>
      <c r="J21" s="99"/>
      <c r="K21" s="99"/>
      <c r="L21" s="99"/>
      <c r="M21" s="99"/>
      <c r="N21" s="99"/>
      <c r="O21" s="99"/>
      <c r="P21" s="99"/>
      <c r="Q21" s="91"/>
      <c r="R21" s="96"/>
      <c r="S21" s="96"/>
    </row>
    <row r="22" spans="1:20" ht="15.75">
      <c r="A22" s="98"/>
      <c r="B22" s="99"/>
      <c r="C22" s="99"/>
      <c r="D22" s="99"/>
      <c r="E22" s="99"/>
      <c r="F22" s="99"/>
      <c r="G22" s="99" t="str">
        <f>IF(Client!B9="","",Client!B9)</f>
        <v/>
      </c>
      <c r="H22" s="99"/>
      <c r="I22" s="99"/>
      <c r="J22" s="99"/>
      <c r="K22" s="99"/>
      <c r="L22" s="99"/>
      <c r="M22" s="99"/>
      <c r="N22" s="99"/>
      <c r="O22" s="99"/>
      <c r="P22" s="99"/>
      <c r="Q22" s="91"/>
      <c r="R22" s="96"/>
      <c r="S22" s="96"/>
    </row>
    <row r="23" spans="1:20" ht="15.75">
      <c r="A23" s="98"/>
      <c r="B23" s="99"/>
      <c r="C23" s="99"/>
      <c r="D23" s="99"/>
      <c r="E23" s="99"/>
      <c r="F23" s="99"/>
      <c r="G23" s="99"/>
      <c r="H23" s="99"/>
      <c r="I23" s="99"/>
      <c r="J23" s="99"/>
      <c r="K23" s="99"/>
      <c r="L23" s="99"/>
      <c r="M23" s="99"/>
      <c r="N23" s="99"/>
      <c r="O23" s="99"/>
      <c r="P23" s="99"/>
      <c r="Q23" s="91"/>
      <c r="R23" s="96"/>
      <c r="S23" s="96"/>
    </row>
    <row r="24" spans="1:20" ht="15.75">
      <c r="A24" s="98" t="s">
        <v>1311</v>
      </c>
      <c r="B24" s="99"/>
      <c r="C24" s="99"/>
      <c r="D24" s="99"/>
      <c r="E24" s="99"/>
      <c r="F24" s="99"/>
      <c r="G24" s="99" t="str">
        <f>Client!B29&amp;", serial number " &amp;Client!B30</f>
        <v>IBA FC65-G, serial number 457</v>
      </c>
      <c r="H24" s="99"/>
      <c r="I24" s="99"/>
      <c r="J24" s="99"/>
      <c r="K24" s="99"/>
      <c r="L24" s="99"/>
      <c r="M24" s="99"/>
      <c r="N24" s="99"/>
      <c r="O24" s="99"/>
      <c r="P24" s="99"/>
      <c r="Q24" s="91"/>
      <c r="R24" s="96"/>
      <c r="S24" s="96"/>
    </row>
    <row r="25" spans="1:20" ht="15.75">
      <c r="A25" s="98"/>
      <c r="B25" s="99"/>
      <c r="C25" s="99"/>
      <c r="D25" s="99"/>
      <c r="E25" s="99"/>
      <c r="F25" s="99"/>
      <c r="G25" s="99"/>
      <c r="H25" s="99"/>
      <c r="I25" s="99"/>
      <c r="J25" s="99"/>
      <c r="K25" s="99"/>
      <c r="L25" s="99"/>
      <c r="M25" s="99"/>
      <c r="N25" s="99"/>
      <c r="O25" s="99"/>
      <c r="P25" s="99"/>
      <c r="Q25" s="91"/>
      <c r="R25" s="96"/>
      <c r="S25" s="96"/>
      <c r="T25" s="1147" t="str">
        <f>Intro!D4&amp;" v"&amp;Intro!D5</f>
        <v>IRC-FORM-2100J (ARPANSA-FORM-1856) v23-Production</v>
      </c>
    </row>
    <row r="26" spans="1:20" ht="15.75">
      <c r="A26" s="98" t="s">
        <v>334</v>
      </c>
      <c r="B26" s="99"/>
      <c r="C26" s="99"/>
      <c r="D26" s="99"/>
      <c r="E26" s="99"/>
      <c r="F26" s="99"/>
      <c r="G26" s="99" t="str" cm="1">
        <f t="array" ref="G26">make_Date_range(Client!B40,Client!C40)</f>
        <v>0</v>
      </c>
      <c r="H26" s="99"/>
      <c r="I26" s="99"/>
      <c r="J26" s="99"/>
      <c r="K26" s="99"/>
      <c r="L26" s="99"/>
      <c r="M26" s="99"/>
      <c r="N26" s="99"/>
      <c r="O26" s="99"/>
      <c r="P26" s="99"/>
      <c r="Q26" s="91"/>
      <c r="R26" s="96"/>
      <c r="S26" s="96"/>
      <c r="T26" s="1147"/>
    </row>
    <row r="27" spans="1:20" ht="15.75">
      <c r="A27" s="98"/>
      <c r="B27" s="99"/>
      <c r="C27" s="99"/>
      <c r="D27" s="99"/>
      <c r="E27" s="99"/>
      <c r="F27" s="99"/>
      <c r="G27" s="99"/>
      <c r="H27" s="99"/>
      <c r="I27" s="99"/>
      <c r="J27" s="99"/>
      <c r="K27" s="99"/>
      <c r="L27" s="99"/>
      <c r="M27" s="99"/>
      <c r="N27" s="99"/>
      <c r="O27" s="99"/>
      <c r="P27" s="99"/>
      <c r="Q27" s="91"/>
      <c r="R27" s="96"/>
      <c r="S27" s="96"/>
      <c r="T27" s="1147"/>
    </row>
    <row r="28" spans="1:20" ht="15.75" customHeight="1">
      <c r="A28" s="98" t="s">
        <v>71</v>
      </c>
      <c r="B28" s="99"/>
      <c r="C28" s="99"/>
      <c r="D28" s="99"/>
      <c r="E28" s="99"/>
      <c r="F28" s="99"/>
      <c r="G28" s="100">
        <f>Client!B41</f>
        <v>0</v>
      </c>
      <c r="H28" s="99"/>
      <c r="I28" s="99"/>
      <c r="J28" s="97"/>
      <c r="K28" s="99"/>
      <c r="L28" s="99"/>
      <c r="M28" s="99"/>
      <c r="N28" s="99"/>
      <c r="O28" s="99"/>
      <c r="P28" s="99"/>
      <c r="R28" s="96"/>
      <c r="S28" s="96"/>
      <c r="T28" s="1147"/>
    </row>
    <row r="29" spans="1:20" ht="15.75">
      <c r="A29" s="98"/>
      <c r="B29" s="99"/>
      <c r="C29" s="99"/>
      <c r="D29" s="99"/>
      <c r="E29" s="99"/>
      <c r="F29" s="99"/>
      <c r="G29" s="99"/>
      <c r="H29" s="99"/>
      <c r="I29" s="99"/>
      <c r="J29" s="99"/>
      <c r="K29" s="99"/>
      <c r="L29" s="99"/>
      <c r="M29" s="99"/>
      <c r="N29" s="99"/>
      <c r="O29" s="99"/>
      <c r="P29" s="99"/>
      <c r="R29" s="96"/>
      <c r="S29" s="96"/>
      <c r="T29" s="1147"/>
    </row>
    <row r="30" spans="1:20" ht="15.75">
      <c r="A30" s="98" t="str">
        <f>IF(Client!L43,"Test and report by","Test by")</f>
        <v>Test and report by</v>
      </c>
      <c r="B30" s="99"/>
      <c r="C30" s="99"/>
      <c r="D30" s="99"/>
      <c r="E30" s="99"/>
      <c r="F30" s="99"/>
      <c r="G30" s="100">
        <f xml:space="preserve"> Client!B42</f>
        <v>0</v>
      </c>
      <c r="H30" s="99"/>
      <c r="I30" s="99"/>
      <c r="J30" s="99"/>
      <c r="K30" s="99"/>
      <c r="L30" s="99"/>
      <c r="M30" s="99"/>
      <c r="N30" s="99"/>
      <c r="O30" s="99"/>
      <c r="P30" s="99"/>
      <c r="R30" s="96"/>
      <c r="S30" s="96"/>
      <c r="T30" s="1147"/>
    </row>
    <row r="31" spans="1:20" ht="15.75" customHeight="1">
      <c r="A31" s="98" t="str">
        <f>IF(Client!L43,"","Report by")</f>
        <v/>
      </c>
      <c r="B31" s="99"/>
      <c r="C31" s="99"/>
      <c r="D31" s="99"/>
      <c r="E31" s="99"/>
      <c r="F31" s="99"/>
      <c r="G31" s="99" t="str">
        <f>IF(Client!L43,"",Client!B43)</f>
        <v/>
      </c>
      <c r="H31" s="99"/>
      <c r="I31" s="99"/>
      <c r="J31" s="99"/>
      <c r="K31" s="99"/>
      <c r="L31" s="99"/>
      <c r="M31" s="99"/>
      <c r="N31" s="99"/>
      <c r="O31" s="99"/>
      <c r="P31" s="99"/>
      <c r="R31" s="96"/>
      <c r="S31" s="96"/>
      <c r="T31" s="1147"/>
    </row>
    <row r="32" spans="1:20" ht="15.75">
      <c r="A32" s="98" t="s">
        <v>333</v>
      </c>
      <c r="B32" s="99"/>
      <c r="C32" s="99"/>
      <c r="D32" s="99"/>
      <c r="E32" s="99"/>
      <c r="F32" s="99"/>
      <c r="G32" s="99" t="str" cm="1">
        <f t="array" ref="G32">date_to_text(Client!B39)</f>
        <v>0</v>
      </c>
      <c r="H32" s="99"/>
      <c r="I32" s="99"/>
      <c r="J32" s="99"/>
      <c r="K32" s="99"/>
      <c r="L32" s="99"/>
      <c r="M32" s="99"/>
      <c r="N32" s="99"/>
      <c r="O32" s="99"/>
      <c r="P32" s="99"/>
      <c r="R32" s="96"/>
      <c r="S32" s="96"/>
      <c r="T32" s="1147"/>
    </row>
    <row r="33" spans="1:20" ht="15.75">
      <c r="A33" s="98"/>
      <c r="B33" s="99"/>
      <c r="C33" s="99"/>
      <c r="D33" s="99"/>
      <c r="E33" s="99"/>
      <c r="F33" s="99"/>
      <c r="G33" s="99"/>
      <c r="H33" s="99"/>
      <c r="I33" s="99"/>
      <c r="J33" s="99"/>
      <c r="K33" s="99"/>
      <c r="L33" s="99"/>
      <c r="M33" s="99"/>
      <c r="N33" s="99"/>
      <c r="O33" s="99"/>
      <c r="P33" s="99"/>
      <c r="R33" s="96"/>
      <c r="S33" s="96"/>
      <c r="T33" s="1147"/>
    </row>
    <row r="34" spans="1:20" ht="15.75">
      <c r="A34" s="99" t="s">
        <v>343</v>
      </c>
      <c r="B34" s="99"/>
      <c r="C34" s="99"/>
      <c r="D34" s="99"/>
      <c r="E34" s="99"/>
      <c r="F34" s="99"/>
      <c r="G34" s="99" t="s">
        <v>344</v>
      </c>
      <c r="H34" s="99"/>
      <c r="I34" s="99"/>
      <c r="J34" s="99"/>
      <c r="K34" s="99"/>
      <c r="L34" s="99"/>
      <c r="M34" s="99"/>
      <c r="N34" s="99"/>
      <c r="O34" s="99"/>
      <c r="P34" s="99"/>
      <c r="R34" s="96"/>
      <c r="S34" s="96"/>
      <c r="T34" s="1147"/>
    </row>
    <row r="35" spans="1:20" ht="15.75">
      <c r="A35" s="98" t="s">
        <v>345</v>
      </c>
      <c r="B35" s="99"/>
      <c r="C35" s="99"/>
      <c r="D35" s="99"/>
      <c r="E35" s="99"/>
      <c r="F35" s="99"/>
      <c r="G35" s="221" t="s">
        <v>1176</v>
      </c>
      <c r="H35" s="99"/>
      <c r="I35" s="99"/>
      <c r="J35" s="99"/>
      <c r="K35" s="99"/>
      <c r="L35" s="99"/>
      <c r="M35" s="99"/>
      <c r="N35" s="99"/>
      <c r="O35" s="99"/>
      <c r="P35" s="99"/>
      <c r="R35" s="96"/>
      <c r="S35" s="96"/>
      <c r="T35" s="1147"/>
    </row>
    <row r="36" spans="1:20" ht="15.75" customHeight="1">
      <c r="A36" s="99"/>
      <c r="B36" s="99"/>
      <c r="C36" s="99"/>
      <c r="D36" s="99"/>
      <c r="E36" s="99"/>
      <c r="F36" s="99"/>
      <c r="G36" s="99"/>
      <c r="H36" s="99"/>
      <c r="I36" s="99"/>
      <c r="J36" s="99"/>
      <c r="K36" s="99"/>
      <c r="L36" s="99"/>
      <c r="M36" s="99"/>
      <c r="N36" s="99"/>
      <c r="O36" s="99"/>
      <c r="P36" s="99"/>
      <c r="R36" s="96"/>
      <c r="S36" s="96"/>
      <c r="T36" s="1147"/>
    </row>
    <row r="37" spans="1:20" ht="27.75" customHeight="1">
      <c r="A37" s="99"/>
      <c r="B37" s="99"/>
      <c r="C37" s="99"/>
      <c r="D37" s="99"/>
      <c r="E37" s="99"/>
      <c r="F37" s="99"/>
      <c r="G37" s="99"/>
      <c r="H37" s="99"/>
      <c r="I37" s="99"/>
      <c r="J37" s="99"/>
      <c r="K37" s="99"/>
      <c r="L37" s="99"/>
      <c r="M37" s="99"/>
      <c r="N37" s="99"/>
      <c r="O37" s="99"/>
      <c r="P37" s="99"/>
      <c r="Q37" s="91"/>
      <c r="R37" s="96"/>
      <c r="S37" s="96"/>
      <c r="T37" s="1147"/>
    </row>
    <row r="38" spans="1:20" ht="15.75">
      <c r="A38" s="99" t="s">
        <v>346</v>
      </c>
      <c r="B38" s="99"/>
      <c r="C38" s="101"/>
      <c r="D38" s="101"/>
      <c r="E38" s="101"/>
      <c r="F38" s="101"/>
      <c r="G38" s="101"/>
      <c r="H38" s="102" t="s">
        <v>347</v>
      </c>
      <c r="I38" s="99"/>
      <c r="J38" s="99"/>
      <c r="K38" s="99"/>
      <c r="L38" s="99"/>
      <c r="N38" s="95" t="s">
        <v>348</v>
      </c>
      <c r="O38" s="1146"/>
      <c r="P38" s="1146"/>
      <c r="Q38" s="1146"/>
      <c r="R38" s="1146"/>
      <c r="S38" s="91"/>
      <c r="T38" s="1147"/>
    </row>
    <row r="39" spans="1:20" ht="15.75">
      <c r="A39" s="99"/>
      <c r="B39" s="99"/>
      <c r="C39" s="99"/>
      <c r="D39" s="99"/>
      <c r="E39" s="99"/>
      <c r="F39" s="99"/>
      <c r="G39" s="99"/>
      <c r="H39" s="99"/>
      <c r="I39" s="99"/>
      <c r="J39" s="99"/>
      <c r="K39" s="99"/>
      <c r="L39" s="99"/>
      <c r="M39" s="99"/>
      <c r="N39" s="99"/>
      <c r="O39" s="99"/>
      <c r="P39" s="99"/>
      <c r="Q39" s="91"/>
      <c r="R39" s="96"/>
      <c r="S39" s="96"/>
      <c r="T39" s="1147"/>
    </row>
    <row r="40" spans="1:20" ht="15.75">
      <c r="A40" s="100">
        <f>Client!B44</f>
        <v>0</v>
      </c>
      <c r="B40" s="99"/>
      <c r="C40" s="99"/>
      <c r="D40" s="99"/>
      <c r="E40" s="99"/>
      <c r="F40" s="99"/>
      <c r="G40" s="99"/>
      <c r="H40" s="99"/>
      <c r="I40" s="99"/>
      <c r="J40" s="99"/>
      <c r="K40" s="99"/>
      <c r="L40" s="99"/>
      <c r="M40" s="99"/>
      <c r="N40" s="99"/>
      <c r="O40" s="99"/>
      <c r="P40" s="99"/>
      <c r="Q40" s="91"/>
      <c r="R40" s="96"/>
      <c r="S40" s="96"/>
      <c r="T40" s="1147"/>
    </row>
    <row r="41" spans="1:20" ht="15.75">
      <c r="A41" s="99" t="s">
        <v>349</v>
      </c>
      <c r="B41" s="99"/>
      <c r="C41" s="99"/>
      <c r="D41" s="99"/>
      <c r="E41" s="99"/>
      <c r="F41" s="99"/>
      <c r="G41" s="99"/>
      <c r="H41" s="99"/>
      <c r="I41" s="99"/>
      <c r="J41" s="99"/>
      <c r="K41" s="99"/>
      <c r="L41" s="99"/>
      <c r="M41" s="99"/>
      <c r="N41" s="99"/>
      <c r="O41" s="99"/>
      <c r="P41" s="99"/>
      <c r="Q41" s="91"/>
      <c r="R41" s="96"/>
      <c r="S41" s="96"/>
    </row>
    <row r="42" spans="1:20" ht="15">
      <c r="A42" s="96"/>
      <c r="B42" s="96"/>
      <c r="C42" s="96"/>
      <c r="D42" s="96"/>
      <c r="E42" s="96"/>
      <c r="F42" s="96"/>
      <c r="G42" s="96"/>
      <c r="H42" s="96"/>
      <c r="I42" s="96"/>
      <c r="J42" s="96"/>
      <c r="K42" s="96"/>
      <c r="L42" s="96"/>
      <c r="M42" s="96"/>
      <c r="N42" s="96"/>
      <c r="O42" s="96"/>
      <c r="P42" s="96"/>
      <c r="Q42" s="96"/>
      <c r="R42" s="96"/>
      <c r="S42" s="96"/>
    </row>
    <row r="45" spans="1:20" ht="15">
      <c r="M45" s="103"/>
    </row>
    <row r="46" spans="1:20" ht="9.9499999999999993" customHeight="1"/>
    <row r="47" spans="1:20" ht="8.1" customHeight="1">
      <c r="N47" s="104" t="s">
        <v>350</v>
      </c>
    </row>
    <row r="48" spans="1:20" ht="8.1" customHeight="1">
      <c r="N48" s="104" t="s">
        <v>351</v>
      </c>
    </row>
    <row r="49" spans="1:20" ht="8.1" customHeight="1">
      <c r="E49" s="105" t="s">
        <v>1058</v>
      </c>
      <c r="N49" s="104" t="s">
        <v>352</v>
      </c>
    </row>
    <row r="50" spans="1:20" ht="8.1" customHeight="1">
      <c r="E50" s="105" t="s">
        <v>353</v>
      </c>
      <c r="N50" s="104" t="s">
        <v>354</v>
      </c>
    </row>
    <row r="51" spans="1:20" ht="8.1" customHeight="1">
      <c r="C51" s="105"/>
      <c r="E51" s="105" t="s">
        <v>355</v>
      </c>
      <c r="N51" s="104" t="s">
        <v>356</v>
      </c>
    </row>
    <row r="52" spans="1:20" ht="8.1" customHeight="1">
      <c r="E52" s="105" t="s">
        <v>357</v>
      </c>
      <c r="N52" s="104" t="s">
        <v>358</v>
      </c>
    </row>
    <row r="53" spans="1:20" ht="13.5" customHeight="1">
      <c r="E53" s="106" t="s">
        <v>1238</v>
      </c>
      <c r="N53" s="107" t="s">
        <v>359</v>
      </c>
    </row>
    <row r="54" spans="1:20" ht="22.5" customHeight="1"/>
    <row r="55" spans="1:20">
      <c r="A55" s="420" t="str">
        <f>"Calibration No.: "&amp;$T$12</f>
        <v>Calibration No.: CAL11957/00</v>
      </c>
      <c r="B55" s="421"/>
      <c r="C55" s="421"/>
      <c r="D55" s="421"/>
      <c r="E55" s="421"/>
      <c r="F55" s="421"/>
      <c r="G55" s="421"/>
      <c r="H55" s="421"/>
      <c r="I55" s="422" t="str">
        <f>$G$32</f>
        <v>0</v>
      </c>
      <c r="J55" s="421"/>
      <c r="K55" s="421"/>
      <c r="L55" s="421"/>
      <c r="M55" s="421"/>
      <c r="N55" s="420" t="s">
        <v>360</v>
      </c>
      <c r="O55" s="423"/>
      <c r="P55" s="423"/>
      <c r="Q55" s="423"/>
      <c r="R55" s="423"/>
      <c r="S55" s="423"/>
      <c r="T55" s="423" t="s">
        <v>784</v>
      </c>
    </row>
    <row r="56" spans="1:20">
      <c r="A56" s="119"/>
      <c r="B56" s="120"/>
      <c r="C56" s="120"/>
      <c r="D56" s="120"/>
      <c r="E56" s="120"/>
      <c r="F56" s="120"/>
      <c r="G56" s="120"/>
      <c r="H56" s="120"/>
      <c r="I56" s="121"/>
      <c r="J56" s="120"/>
      <c r="K56" s="120"/>
      <c r="L56" s="120"/>
      <c r="M56" s="120"/>
      <c r="N56" s="122"/>
      <c r="O56" s="123"/>
      <c r="P56" s="123"/>
      <c r="Q56" s="123"/>
      <c r="R56" s="123"/>
      <c r="S56" s="123"/>
      <c r="T56" s="123"/>
    </row>
    <row r="57" spans="1:20" ht="15.75">
      <c r="A57" s="108"/>
      <c r="B57" s="108"/>
      <c r="C57" s="108"/>
      <c r="D57" s="108"/>
      <c r="E57" s="108"/>
      <c r="F57" s="108"/>
      <c r="G57" s="108"/>
      <c r="H57" s="108"/>
      <c r="I57" s="108"/>
      <c r="J57" s="108"/>
      <c r="K57" s="108"/>
      <c r="L57" s="108"/>
      <c r="M57" s="108"/>
      <c r="N57" s="108"/>
      <c r="O57" s="108"/>
      <c r="P57" s="108"/>
      <c r="Q57" s="108"/>
    </row>
    <row r="58" spans="1:20" ht="15.75">
      <c r="A58" s="1144" t="s">
        <v>361</v>
      </c>
      <c r="B58" s="1144"/>
      <c r="C58" s="1144"/>
      <c r="D58" s="1144"/>
      <c r="E58" s="1144"/>
      <c r="F58" s="1144"/>
      <c r="G58" s="1144"/>
      <c r="H58" s="1144"/>
      <c r="I58" s="1144"/>
      <c r="J58" s="1144"/>
      <c r="K58" s="1144"/>
      <c r="L58" s="1144"/>
      <c r="M58" s="1144"/>
      <c r="N58" s="1144"/>
      <c r="O58" s="1144"/>
      <c r="P58" s="1144"/>
      <c r="Q58" s="1144"/>
      <c r="R58" s="1144"/>
      <c r="S58" s="1144"/>
      <c r="T58" s="1144"/>
    </row>
    <row r="59" spans="1:20" ht="15.75">
      <c r="A59" s="109"/>
      <c r="B59" s="109"/>
      <c r="C59" s="109"/>
      <c r="D59" s="109"/>
      <c r="E59" s="109"/>
      <c r="F59" s="109"/>
      <c r="G59" s="109"/>
      <c r="H59" s="109"/>
      <c r="I59" s="109"/>
      <c r="J59" s="109"/>
      <c r="K59" s="109"/>
      <c r="L59" s="109"/>
      <c r="M59" s="109"/>
      <c r="N59" s="109"/>
      <c r="O59" s="108"/>
      <c r="P59" s="108"/>
      <c r="Q59" s="108"/>
    </row>
    <row r="60" spans="1:20" ht="15.75">
      <c r="A60" s="110" t="str">
        <f ca="1">Client!Q2</f>
        <v>Chamber description – IBA FC65-G</v>
      </c>
      <c r="B60" s="109"/>
      <c r="C60" s="109"/>
      <c r="D60" s="109"/>
      <c r="E60" s="109"/>
      <c r="F60" s="109"/>
      <c r="G60" s="109"/>
      <c r="H60" s="109"/>
      <c r="I60" s="109"/>
      <c r="J60" s="109"/>
      <c r="K60" s="109"/>
      <c r="L60" s="109"/>
      <c r="M60" s="109"/>
      <c r="N60" s="109"/>
      <c r="O60" s="108"/>
      <c r="P60" s="108"/>
      <c r="Q60" s="108"/>
    </row>
    <row r="61" spans="1:20" ht="15.75">
      <c r="A61" s="111" t="s">
        <v>362</v>
      </c>
      <c r="B61" s="109" t="str">
        <f ca="1">Client!Q3&amp;Client!Z3</f>
        <v>Farmer-type with graphite walls of nominal thickness 0.073 g/cm².</v>
      </c>
      <c r="C61" s="109"/>
      <c r="D61" s="109"/>
      <c r="E61" s="109"/>
      <c r="F61" s="109"/>
      <c r="G61" s="109"/>
      <c r="H61" s="109"/>
      <c r="I61" s="109"/>
      <c r="J61" s="109"/>
      <c r="K61" s="109"/>
      <c r="L61" s="109"/>
      <c r="M61" s="109"/>
      <c r="N61" s="109"/>
      <c r="O61" s="108"/>
      <c r="P61" s="108"/>
      <c r="Q61" s="108"/>
    </row>
    <row r="62" spans="1:20" ht="15.75">
      <c r="A62" s="111" t="s">
        <v>362</v>
      </c>
      <c r="B62" s="109" t="str">
        <f ca="1">Client!Q4</f>
        <v>The nominal cavity volume is 0.65 cc (length 23.1 mm and radius 3.1 mm).</v>
      </c>
      <c r="C62" s="109"/>
      <c r="D62" s="109"/>
      <c r="E62" s="109"/>
      <c r="F62" s="109"/>
      <c r="G62" s="109"/>
      <c r="H62" s="109"/>
      <c r="I62" s="109"/>
      <c r="J62" s="109"/>
      <c r="K62" s="109"/>
      <c r="L62" s="109"/>
      <c r="M62" s="109"/>
      <c r="N62" s="109"/>
      <c r="O62" s="108"/>
      <c r="P62" s="108"/>
      <c r="Q62" s="108"/>
    </row>
    <row r="63" spans="1:20" ht="15.75">
      <c r="A63" s="111" t="s">
        <v>362</v>
      </c>
      <c r="B63" s="109" t="str">
        <f ca="1">Client!Q5</f>
        <v>The central electrode is aluminium.</v>
      </c>
      <c r="C63" s="109"/>
      <c r="D63" s="109"/>
      <c r="E63" s="109"/>
      <c r="F63" s="109"/>
      <c r="G63" s="109"/>
      <c r="H63" s="109"/>
      <c r="I63" s="109"/>
      <c r="J63" s="109"/>
      <c r="K63" s="109"/>
      <c r="L63" s="109"/>
      <c r="M63" s="109"/>
      <c r="N63" s="109"/>
      <c r="O63" s="108"/>
      <c r="P63" s="108"/>
      <c r="Q63" s="108"/>
    </row>
    <row r="64" spans="1:20" ht="15.75">
      <c r="A64" s="111" t="s">
        <v>362</v>
      </c>
      <c r="B64" s="109" t="str">
        <f ca="1">Client!Q6</f>
        <v>The buildup cap is Delrin.</v>
      </c>
      <c r="C64" s="109"/>
      <c r="D64" s="109"/>
      <c r="E64" s="109"/>
      <c r="F64" s="109"/>
      <c r="G64" s="109"/>
      <c r="H64" s="109"/>
      <c r="I64" s="109"/>
      <c r="J64" s="109"/>
      <c r="K64" s="109"/>
      <c r="L64" s="109"/>
      <c r="M64" s="109"/>
      <c r="N64" s="109"/>
      <c r="O64" s="108"/>
      <c r="P64" s="108"/>
      <c r="Q64" s="108"/>
    </row>
    <row r="65" spans="1:27" ht="15.75">
      <c r="A65" s="111" t="s">
        <v>362</v>
      </c>
      <c r="B65" s="109" t="str">
        <f ca="1">Client!Q7</f>
        <v>The chamber is waterproof.</v>
      </c>
      <c r="C65" s="109"/>
      <c r="D65" s="109"/>
      <c r="E65" s="109"/>
      <c r="F65" s="109"/>
      <c r="G65" s="109"/>
      <c r="H65" s="109"/>
      <c r="I65" s="109"/>
      <c r="J65" s="109"/>
      <c r="K65" s="109"/>
      <c r="L65" s="109"/>
      <c r="M65" s="109"/>
      <c r="N65" s="109"/>
      <c r="O65" s="108"/>
      <c r="P65" s="108"/>
      <c r="Q65" s="108"/>
    </row>
    <row r="66" spans="1:27" ht="15.75">
      <c r="A66" s="109"/>
      <c r="B66" s="109"/>
      <c r="C66" s="109"/>
      <c r="D66" s="109"/>
      <c r="E66" s="109"/>
      <c r="F66" s="109"/>
      <c r="G66" s="109"/>
      <c r="H66" s="109"/>
      <c r="I66" s="109"/>
      <c r="J66" s="109"/>
      <c r="K66" s="109"/>
      <c r="L66" s="109"/>
      <c r="M66" s="109"/>
      <c r="N66" s="109"/>
      <c r="O66" s="108"/>
      <c r="P66" s="108"/>
      <c r="Q66" s="108"/>
    </row>
    <row r="67" spans="1:27" ht="15.75">
      <c r="A67" s="110" t="s">
        <v>363</v>
      </c>
      <c r="B67" s="109"/>
      <c r="C67" s="109"/>
      <c r="D67" s="109"/>
      <c r="E67" s="109"/>
      <c r="F67" s="109"/>
      <c r="G67" s="109"/>
      <c r="H67" s="109"/>
      <c r="I67" s="109"/>
      <c r="J67" s="109"/>
      <c r="K67" s="109"/>
      <c r="L67" s="109"/>
      <c r="M67" s="109"/>
      <c r="N67" s="109"/>
      <c r="O67" s="108"/>
      <c r="P67" s="108"/>
      <c r="Q67" s="108"/>
    </row>
    <row r="68" spans="1:27" ht="15.75">
      <c r="A68" s="111" t="s">
        <v>362</v>
      </c>
      <c r="B68" s="100" t="str">
        <f xml:space="preserve">  Client!B34</f>
        <v>Buildup cap</v>
      </c>
      <c r="C68" s="109"/>
      <c r="D68" s="109"/>
      <c r="E68" s="109"/>
      <c r="F68" s="109"/>
      <c r="G68" s="109"/>
      <c r="H68" s="109"/>
      <c r="I68" s="109"/>
      <c r="J68" s="109"/>
      <c r="K68" s="109"/>
      <c r="L68" s="109"/>
      <c r="M68" s="109"/>
      <c r="N68" s="109"/>
      <c r="O68" s="108"/>
      <c r="P68" s="108"/>
      <c r="Q68" s="108"/>
    </row>
    <row r="69" spans="1:27" ht="15.75">
      <c r="A69" s="109"/>
      <c r="B69" s="109"/>
      <c r="C69" s="109"/>
      <c r="D69" s="109"/>
      <c r="E69" s="109"/>
      <c r="F69" s="109"/>
      <c r="G69" s="109"/>
      <c r="H69" s="109"/>
      <c r="I69" s="109"/>
      <c r="J69" s="109"/>
      <c r="K69" s="109"/>
      <c r="L69" s="109"/>
      <c r="M69" s="109"/>
      <c r="N69" s="109"/>
      <c r="O69" s="108"/>
      <c r="P69" s="108"/>
      <c r="Q69" s="108"/>
    </row>
    <row r="70" spans="1:27" ht="15.75">
      <c r="A70" s="110" t="s">
        <v>364</v>
      </c>
      <c r="B70" s="109"/>
      <c r="C70" s="109"/>
      <c r="D70" s="109"/>
      <c r="E70" s="109"/>
      <c r="F70" s="109"/>
      <c r="G70" s="109"/>
      <c r="H70" s="109"/>
      <c r="I70" s="109"/>
      <c r="J70" s="109"/>
      <c r="K70" s="109"/>
      <c r="L70" s="109"/>
      <c r="M70" s="109"/>
      <c r="N70" s="109"/>
      <c r="O70" s="108"/>
      <c r="P70" s="108"/>
      <c r="Q70" s="108"/>
    </row>
    <row r="71" spans="1:27" ht="15.75">
      <c r="A71" s="111" t="s">
        <v>362</v>
      </c>
      <c r="B71" s="109" t="s">
        <v>1308</v>
      </c>
      <c r="C71" s="109"/>
      <c r="D71" s="109"/>
      <c r="E71" s="109"/>
      <c r="F71" s="109"/>
      <c r="G71" s="109"/>
      <c r="H71" s="109"/>
      <c r="I71" s="109"/>
      <c r="J71" s="109"/>
      <c r="K71" s="109"/>
      <c r="L71" s="109"/>
      <c r="M71" s="109"/>
      <c r="N71" s="109"/>
      <c r="O71" s="108"/>
      <c r="P71" s="108"/>
      <c r="Q71" s="108"/>
    </row>
    <row r="72" spans="1:27" ht="15.75">
      <c r="A72" s="108"/>
      <c r="B72" s="108"/>
      <c r="C72" s="108"/>
      <c r="D72" s="108"/>
      <c r="E72" s="108"/>
      <c r="F72" s="108"/>
      <c r="G72" s="108"/>
      <c r="H72" s="108"/>
      <c r="I72" s="108"/>
      <c r="J72" s="108"/>
      <c r="K72" s="108"/>
      <c r="L72" s="108"/>
      <c r="M72" s="108"/>
      <c r="N72" s="108"/>
      <c r="O72" s="108"/>
      <c r="P72" s="108"/>
      <c r="Q72" s="108"/>
    </row>
    <row r="73" spans="1:27" ht="15.75">
      <c r="A73" s="112" t="s">
        <v>365</v>
      </c>
      <c r="B73" s="108"/>
      <c r="C73" s="108"/>
      <c r="D73" s="108"/>
      <c r="E73" s="108"/>
      <c r="F73" s="108"/>
      <c r="G73" s="108"/>
      <c r="H73" s="108"/>
      <c r="I73" s="108"/>
      <c r="J73" s="108"/>
      <c r="K73" s="108"/>
      <c r="L73" s="108"/>
      <c r="M73" s="108"/>
      <c r="N73" s="108"/>
      <c r="O73" s="108"/>
      <c r="P73" s="108"/>
      <c r="Q73" s="108"/>
    </row>
    <row r="74" spans="1:27" ht="48.75" customHeight="1">
      <c r="A74" s="111" t="s">
        <v>362</v>
      </c>
      <c r="B74" s="1136" t="s">
        <v>1276</v>
      </c>
      <c r="C74" s="1136"/>
      <c r="D74" s="1136"/>
      <c r="E74" s="1136"/>
      <c r="F74" s="1136"/>
      <c r="G74" s="1136"/>
      <c r="H74" s="1136"/>
      <c r="I74" s="1136"/>
      <c r="J74" s="1136"/>
      <c r="K74" s="1136"/>
      <c r="L74" s="1136"/>
      <c r="M74" s="1136"/>
      <c r="N74" s="1136"/>
      <c r="O74" s="1136"/>
      <c r="P74" s="1136"/>
      <c r="Q74" s="1136"/>
      <c r="R74" s="1136"/>
      <c r="S74" s="1136"/>
      <c r="T74" s="1136"/>
    </row>
    <row r="75" spans="1:27" ht="15.75" customHeight="1">
      <c r="A75" s="111"/>
      <c r="B75" s="126"/>
      <c r="C75" s="126"/>
      <c r="D75" s="126"/>
      <c r="E75" s="126"/>
      <c r="F75" s="126"/>
      <c r="G75" s="126"/>
      <c r="H75" s="126"/>
      <c r="I75" s="126"/>
      <c r="J75" s="126"/>
      <c r="K75" s="126"/>
      <c r="L75" s="126"/>
      <c r="M75" s="126"/>
      <c r="N75" s="126"/>
      <c r="O75" s="126"/>
      <c r="P75" s="126"/>
      <c r="Q75" s="126"/>
      <c r="R75" s="126"/>
      <c r="S75" s="126"/>
      <c r="T75" s="126"/>
    </row>
    <row r="76" spans="1:27" ht="15.75" customHeight="1">
      <c r="A76" s="149" t="s">
        <v>411</v>
      </c>
      <c r="B76" s="153"/>
      <c r="C76" s="153"/>
      <c r="D76" s="153"/>
      <c r="E76" s="153"/>
      <c r="F76" s="153"/>
      <c r="G76" s="153"/>
      <c r="H76" s="153"/>
      <c r="I76" s="153"/>
      <c r="J76" s="153"/>
      <c r="K76" s="153"/>
      <c r="L76" s="153"/>
      <c r="M76" s="153"/>
      <c r="N76" s="153"/>
      <c r="O76" s="153"/>
      <c r="P76" s="153"/>
      <c r="Q76" s="153"/>
      <c r="R76" s="153"/>
      <c r="S76" s="153"/>
      <c r="T76" s="153"/>
    </row>
    <row r="77" spans="1:27" ht="74.25" customHeight="1">
      <c r="A77" s="111" t="s">
        <v>362</v>
      </c>
      <c r="B77" s="1140" t="s">
        <v>412</v>
      </c>
      <c r="C77" s="1140"/>
      <c r="D77" s="1140"/>
      <c r="E77" s="1140"/>
      <c r="F77" s="1140"/>
      <c r="G77" s="1140"/>
      <c r="H77" s="1140"/>
      <c r="I77" s="1140"/>
      <c r="J77" s="1140"/>
      <c r="K77" s="1140"/>
      <c r="L77" s="1140"/>
      <c r="M77" s="1140"/>
      <c r="N77" s="1140"/>
      <c r="O77" s="1140"/>
      <c r="P77" s="1140"/>
      <c r="Q77" s="1140"/>
      <c r="R77" s="1140"/>
      <c r="S77" s="1140"/>
      <c r="T77" s="1140"/>
    </row>
    <row r="78" spans="1:27" ht="15.75">
      <c r="A78" s="108"/>
      <c r="B78" s="108"/>
      <c r="C78" s="108"/>
      <c r="D78" s="108"/>
      <c r="E78" s="108"/>
      <c r="F78" s="108"/>
      <c r="G78" s="108"/>
      <c r="H78" s="108"/>
      <c r="I78" s="108"/>
      <c r="J78" s="108"/>
      <c r="K78" s="108"/>
      <c r="L78" s="108"/>
      <c r="M78" s="108"/>
      <c r="N78" s="108"/>
      <c r="O78" s="108"/>
      <c r="P78" s="108"/>
      <c r="Q78" s="108"/>
    </row>
    <row r="79" spans="1:27" ht="15.75">
      <c r="A79" s="149" t="s">
        <v>407</v>
      </c>
      <c r="B79" s="108"/>
      <c r="C79" s="108"/>
      <c r="D79" s="108"/>
      <c r="E79" s="108"/>
      <c r="F79" s="108"/>
      <c r="G79" s="108"/>
      <c r="H79" s="108"/>
      <c r="I79" s="108"/>
      <c r="J79" s="108"/>
      <c r="K79" s="108"/>
      <c r="L79" s="108"/>
      <c r="M79" s="108"/>
      <c r="N79" s="108"/>
      <c r="O79" s="108"/>
      <c r="P79" s="108"/>
      <c r="Q79" s="108"/>
    </row>
    <row r="80" spans="1:27" ht="32.25" customHeight="1">
      <c r="A80" s="111" t="s">
        <v>362</v>
      </c>
      <c r="B80" s="1136" t="s">
        <v>809</v>
      </c>
      <c r="C80" s="1136"/>
      <c r="D80" s="1136"/>
      <c r="E80" s="1136"/>
      <c r="F80" s="1136"/>
      <c r="G80" s="1136"/>
      <c r="H80" s="1136"/>
      <c r="I80" s="1136"/>
      <c r="J80" s="1136"/>
      <c r="K80" s="1136"/>
      <c r="L80" s="1136"/>
      <c r="M80" s="1136"/>
      <c r="N80" s="1136"/>
      <c r="O80" s="1136"/>
      <c r="P80" s="1136"/>
      <c r="Q80" s="1136"/>
      <c r="R80" s="1136"/>
      <c r="S80" s="1136"/>
      <c r="T80" s="1136"/>
      <c r="AA80" s="150"/>
    </row>
    <row r="81" spans="1:27" ht="63.75" customHeight="1">
      <c r="A81" s="111" t="s">
        <v>362</v>
      </c>
      <c r="B81" s="1136" t="str">
        <f ca="1">IF(Client!Q9,Client!AE129,Client!AE125)</f>
        <v>The ionisation chamber, without its buildup cap, was placed in a water phantom of dimensions 30 cm x 30 cm x 30 cm. The radiation beam entered the phantom horizontally through a side window of thickness 3 mm. The centre of the chamber was placed 5 cm behind the front surface of the phantom, and this surface was placed 100 cm from the effective source centre.</v>
      </c>
      <c r="C81" s="1136"/>
      <c r="D81" s="1136"/>
      <c r="E81" s="1136"/>
      <c r="F81" s="1136"/>
      <c r="G81" s="1136"/>
      <c r="H81" s="1136"/>
      <c r="I81" s="1136"/>
      <c r="J81" s="1136"/>
      <c r="K81" s="1136"/>
      <c r="L81" s="1136"/>
      <c r="M81" s="1136"/>
      <c r="N81" s="1136"/>
      <c r="O81" s="1136"/>
      <c r="P81" s="1136"/>
      <c r="Q81" s="1136"/>
      <c r="R81" s="1136"/>
      <c r="S81" s="1136"/>
      <c r="T81" s="1136"/>
      <c r="AA81" s="151"/>
    </row>
    <row r="82" spans="1:27" ht="99.75" customHeight="1">
      <c r="A82" s="111" t="s">
        <v>362</v>
      </c>
      <c r="B82" s="1136" t="s">
        <v>1293</v>
      </c>
      <c r="C82" s="1136"/>
      <c r="D82" s="1136"/>
      <c r="E82" s="1136"/>
      <c r="F82" s="1136"/>
      <c r="G82" s="1136"/>
      <c r="H82" s="1136"/>
      <c r="I82" s="1136"/>
      <c r="J82" s="1136"/>
      <c r="K82" s="1136"/>
      <c r="L82" s="1136"/>
      <c r="M82" s="1136"/>
      <c r="N82" s="1136"/>
      <c r="O82" s="1136"/>
      <c r="P82" s="1136"/>
      <c r="Q82" s="1136"/>
      <c r="R82" s="1136"/>
      <c r="S82" s="1136"/>
      <c r="T82" s="1136"/>
    </row>
    <row r="83" spans="1:27" ht="15" customHeight="1">
      <c r="A83" s="111"/>
      <c r="B83" s="126"/>
      <c r="C83" s="126"/>
      <c r="D83" s="126"/>
      <c r="E83" s="126"/>
      <c r="F83" s="126"/>
      <c r="G83" s="126"/>
      <c r="H83" s="126"/>
      <c r="I83" s="126"/>
      <c r="J83" s="126"/>
      <c r="K83" s="126"/>
      <c r="L83" s="126"/>
      <c r="M83" s="126"/>
      <c r="N83" s="126"/>
      <c r="O83" s="126"/>
      <c r="P83" s="126"/>
      <c r="Q83" s="126"/>
      <c r="R83" s="126"/>
      <c r="S83" s="126"/>
      <c r="T83" s="126"/>
    </row>
    <row r="84" spans="1:27" ht="15" customHeight="1">
      <c r="A84" s="111"/>
      <c r="B84" s="126"/>
      <c r="C84" s="126"/>
      <c r="D84" s="126"/>
      <c r="E84" s="126"/>
      <c r="F84" s="126"/>
      <c r="G84" s="126"/>
      <c r="H84" s="126"/>
      <c r="I84" s="126"/>
      <c r="J84" s="126"/>
      <c r="K84" s="126"/>
      <c r="L84" s="126"/>
      <c r="M84" s="126"/>
      <c r="N84" s="126"/>
      <c r="O84" s="126"/>
      <c r="P84" s="126"/>
      <c r="Q84" s="126"/>
      <c r="R84" s="126"/>
      <c r="S84" s="126"/>
      <c r="T84" s="126"/>
    </row>
    <row r="85" spans="1:27" ht="15" customHeight="1">
      <c r="A85" s="111"/>
      <c r="B85" s="424"/>
      <c r="C85" s="424"/>
      <c r="D85" s="424"/>
      <c r="E85" s="424"/>
      <c r="F85" s="424"/>
      <c r="G85" s="424"/>
      <c r="H85" s="424"/>
      <c r="I85" s="424"/>
      <c r="J85" s="424"/>
      <c r="K85" s="424"/>
      <c r="L85" s="424"/>
      <c r="M85" s="424"/>
      <c r="N85" s="424"/>
      <c r="O85" s="424"/>
      <c r="P85" s="424"/>
      <c r="Q85" s="424"/>
      <c r="R85" s="424"/>
      <c r="S85" s="424"/>
      <c r="T85" s="424"/>
    </row>
    <row r="86" spans="1:27" ht="15" customHeight="1">
      <c r="A86" s="111"/>
      <c r="B86" s="126"/>
      <c r="C86" s="126"/>
      <c r="D86" s="126"/>
      <c r="E86" s="126"/>
      <c r="F86" s="126"/>
      <c r="G86" s="126"/>
      <c r="H86" s="126"/>
      <c r="I86" s="126"/>
      <c r="J86" s="126"/>
      <c r="K86" s="126"/>
      <c r="L86" s="126"/>
      <c r="M86" s="126"/>
      <c r="N86" s="126"/>
      <c r="O86" s="126"/>
      <c r="P86" s="126"/>
      <c r="Q86" s="126"/>
      <c r="R86" s="126"/>
      <c r="S86" s="126"/>
      <c r="T86" s="126"/>
    </row>
    <row r="87" spans="1:27" ht="15" customHeight="1">
      <c r="A87" s="111"/>
      <c r="B87" s="126"/>
      <c r="C87" s="126"/>
      <c r="D87" s="126"/>
      <c r="E87" s="126"/>
      <c r="F87" s="126"/>
      <c r="G87" s="126"/>
      <c r="H87" s="126"/>
      <c r="I87" s="126"/>
      <c r="J87" s="126"/>
      <c r="K87" s="126"/>
      <c r="L87" s="126"/>
      <c r="M87" s="126"/>
      <c r="N87" s="126"/>
      <c r="O87" s="126"/>
      <c r="P87" s="126"/>
      <c r="Q87" s="126"/>
      <c r="R87" s="126"/>
      <c r="S87" s="126"/>
      <c r="T87" s="126"/>
    </row>
    <row r="88" spans="1:27" ht="15" customHeight="1">
      <c r="A88" s="111"/>
      <c r="B88" s="126"/>
      <c r="C88" s="126"/>
      <c r="D88" s="126"/>
      <c r="E88" s="126"/>
      <c r="F88" s="126"/>
      <c r="G88" s="126"/>
      <c r="H88" s="126"/>
      <c r="I88" s="126"/>
      <c r="J88" s="126"/>
      <c r="K88" s="126"/>
      <c r="L88" s="126"/>
      <c r="M88" s="126"/>
      <c r="N88" s="126"/>
      <c r="O88" s="126"/>
      <c r="P88" s="126"/>
      <c r="Q88" s="126"/>
      <c r="R88" s="126"/>
      <c r="S88" s="126"/>
      <c r="T88" s="126"/>
    </row>
    <row r="89" spans="1:27" ht="15" customHeight="1">
      <c r="A89" s="111"/>
      <c r="B89" s="126"/>
      <c r="C89" s="126"/>
      <c r="D89" s="126"/>
      <c r="E89" s="126"/>
      <c r="F89" s="126"/>
      <c r="G89" s="126"/>
      <c r="H89" s="126"/>
      <c r="I89" s="126"/>
      <c r="J89" s="126"/>
      <c r="K89" s="126"/>
      <c r="L89" s="126"/>
      <c r="M89" s="126"/>
      <c r="N89" s="126"/>
      <c r="O89" s="126"/>
      <c r="P89" s="126"/>
      <c r="Q89" s="126"/>
      <c r="R89" s="126"/>
      <c r="S89" s="126"/>
      <c r="T89" s="126"/>
    </row>
    <row r="90" spans="1:27" ht="15" customHeight="1">
      <c r="A90" s="111"/>
      <c r="B90" s="126"/>
      <c r="C90" s="126"/>
      <c r="D90" s="126"/>
      <c r="E90" s="126"/>
      <c r="F90" s="126"/>
      <c r="G90" s="126"/>
      <c r="H90" s="126"/>
      <c r="I90" s="126"/>
      <c r="J90" s="126"/>
      <c r="K90" s="126"/>
      <c r="L90" s="126"/>
      <c r="M90" s="126"/>
      <c r="N90" s="126"/>
      <c r="O90" s="126"/>
      <c r="P90" s="126"/>
      <c r="Q90" s="126"/>
      <c r="R90" s="126"/>
      <c r="S90" s="126"/>
      <c r="T90" s="126"/>
    </row>
    <row r="91" spans="1:27" ht="15" customHeight="1">
      <c r="A91" s="111"/>
      <c r="B91" s="126"/>
      <c r="C91" s="126"/>
      <c r="D91" s="126"/>
      <c r="E91" s="126"/>
      <c r="F91" s="126"/>
      <c r="G91" s="126"/>
      <c r="H91" s="126"/>
      <c r="I91" s="126"/>
      <c r="J91" s="126"/>
      <c r="K91" s="126"/>
      <c r="L91" s="126"/>
      <c r="M91" s="126"/>
      <c r="N91" s="126"/>
      <c r="O91" s="126"/>
      <c r="P91" s="126"/>
      <c r="Q91" s="126"/>
      <c r="R91" s="126"/>
      <c r="S91" s="126"/>
      <c r="T91" s="126"/>
    </row>
    <row r="92" spans="1:27" ht="15" customHeight="1">
      <c r="A92" s="420" t="str">
        <f>"Calibration No.: "&amp;$T$12</f>
        <v>Calibration No.: CAL11957/00</v>
      </c>
      <c r="B92" s="421"/>
      <c r="C92" s="421"/>
      <c r="D92" s="421"/>
      <c r="E92" s="421"/>
      <c r="F92" s="421"/>
      <c r="G92" s="421"/>
      <c r="H92" s="421"/>
      <c r="I92" s="422" t="str">
        <f>$G$32</f>
        <v>0</v>
      </c>
      <c r="J92" s="421"/>
      <c r="K92" s="421"/>
      <c r="L92" s="421"/>
      <c r="M92" s="421"/>
      <c r="N92" s="420" t="s">
        <v>360</v>
      </c>
      <c r="O92" s="423"/>
      <c r="P92" s="423"/>
      <c r="Q92" s="423"/>
      <c r="R92" s="423"/>
      <c r="S92" s="423"/>
      <c r="T92" s="423" t="s">
        <v>783</v>
      </c>
    </row>
    <row r="93" spans="1:27" ht="15" customHeight="1">
      <c r="A93" s="119"/>
      <c r="B93" s="155"/>
      <c r="C93" s="155"/>
      <c r="D93" s="155"/>
      <c r="E93" s="155"/>
      <c r="F93" s="155"/>
      <c r="G93" s="155"/>
      <c r="H93" s="155"/>
      <c r="I93" s="156"/>
      <c r="J93" s="155"/>
      <c r="K93" s="155"/>
      <c r="L93" s="155"/>
      <c r="M93" s="155"/>
      <c r="N93" s="119"/>
      <c r="O93" s="157"/>
      <c r="P93" s="157"/>
      <c r="Q93" s="157"/>
      <c r="R93" s="157"/>
      <c r="S93" s="157"/>
      <c r="T93" s="157"/>
    </row>
    <row r="94" spans="1:27" ht="15" customHeight="1">
      <c r="A94" s="112" t="s">
        <v>367</v>
      </c>
      <c r="B94" s="155"/>
      <c r="C94" s="155"/>
      <c r="D94" s="155"/>
      <c r="E94" s="155"/>
      <c r="F94" s="155"/>
      <c r="G94" s="155"/>
      <c r="H94" s="156"/>
      <c r="I94" s="155"/>
      <c r="J94" s="155"/>
      <c r="K94" s="155"/>
      <c r="L94" s="155"/>
      <c r="M94" s="119"/>
      <c r="N94" s="157"/>
      <c r="O94" s="157"/>
      <c r="P94" s="157"/>
      <c r="Q94" s="157"/>
      <c r="R94" s="157"/>
      <c r="S94" s="157"/>
      <c r="T94" s="126"/>
    </row>
    <row r="95" spans="1:27" ht="36" customHeight="1">
      <c r="A95" s="111" t="s">
        <v>362</v>
      </c>
      <c r="B95" s="1134" t="str">
        <f>"The recombination correction was estimated using the two-voltage method[1] at an operating voltage of "&amp;Client!B31&amp;" V and a reduced voltage of "&amp; Client!B32 &amp;" V "&amp;Client!Q10&amp;"."</f>
        <v>The recombination correction was estimated using the two-voltage method[1] at an operating voltage of -242 V and a reduced voltage of -60 V Central Electrode Negative.</v>
      </c>
      <c r="C95" s="1134"/>
      <c r="D95" s="1134"/>
      <c r="E95" s="1134"/>
      <c r="F95" s="1134"/>
      <c r="G95" s="1134"/>
      <c r="H95" s="1134"/>
      <c r="I95" s="1134"/>
      <c r="J95" s="1134"/>
      <c r="K95" s="1134"/>
      <c r="L95" s="1134"/>
      <c r="M95" s="1134"/>
      <c r="N95" s="1134"/>
      <c r="O95" s="1134"/>
      <c r="P95" s="1134"/>
      <c r="Q95" s="1134"/>
      <c r="R95" s="1134"/>
      <c r="S95" s="1134"/>
      <c r="T95" s="1134"/>
    </row>
    <row r="96" spans="1:27" ht="15" customHeight="1">
      <c r="A96" s="111"/>
      <c r="B96" s="126"/>
      <c r="C96" s="126"/>
      <c r="D96" s="126"/>
      <c r="E96" s="126"/>
      <c r="F96" s="126"/>
      <c r="G96" s="126"/>
      <c r="H96" s="126"/>
      <c r="I96" s="126"/>
      <c r="J96" s="126"/>
      <c r="K96" s="126"/>
      <c r="L96" s="126"/>
      <c r="M96" s="126"/>
      <c r="N96" s="126"/>
      <c r="O96" s="126"/>
      <c r="P96" s="126"/>
      <c r="Q96" s="126"/>
      <c r="R96" s="126"/>
      <c r="S96" s="126"/>
      <c r="T96" s="126"/>
    </row>
    <row r="97" spans="1:20" ht="23.25" customHeight="1">
      <c r="A97" s="111"/>
      <c r="B97" s="1136" t="s">
        <v>417</v>
      </c>
      <c r="C97" s="1136"/>
      <c r="D97" s="1136"/>
      <c r="E97" s="1136"/>
      <c r="F97" s="1136"/>
      <c r="G97" s="1136"/>
      <c r="H97" s="1136"/>
      <c r="I97" s="1136"/>
      <c r="J97" s="1136"/>
      <c r="K97" s="1136"/>
      <c r="L97" s="1136"/>
      <c r="M97" s="1136"/>
      <c r="N97" s="1136"/>
      <c r="O97" s="1136"/>
      <c r="P97" s="1136"/>
      <c r="Q97" s="1136"/>
      <c r="R97" s="1136"/>
      <c r="S97" s="1136"/>
      <c r="T97" s="1136"/>
    </row>
    <row r="98" spans="1:20" ht="32.25" customHeight="1">
      <c r="B98" s="1183" t="s">
        <v>413</v>
      </c>
      <c r="C98" s="1184"/>
      <c r="D98" s="1184"/>
      <c r="E98" s="1184"/>
      <c r="F98" s="1185"/>
      <c r="G98" s="1183" t="s">
        <v>414</v>
      </c>
      <c r="H98" s="1184"/>
      <c r="I98" s="1184"/>
      <c r="J98" s="1184"/>
      <c r="K98" s="1184"/>
      <c r="L98" s="1184"/>
      <c r="M98" s="1185"/>
      <c r="N98" s="1183" t="s">
        <v>415</v>
      </c>
      <c r="O98" s="1184"/>
      <c r="P98" s="1185"/>
      <c r="Q98" s="1186" t="s">
        <v>588</v>
      </c>
      <c r="R98" s="1187"/>
      <c r="S98" s="1187"/>
      <c r="T98" s="1188"/>
    </row>
    <row r="99" spans="1:20" ht="18" customHeight="1">
      <c r="B99" s="1189" t="s">
        <v>419</v>
      </c>
      <c r="C99" s="1190"/>
      <c r="D99" s="1190"/>
      <c r="E99" s="1190"/>
      <c r="F99" s="1191"/>
      <c r="G99" s="1189" t="str">
        <f>Client!V10</f>
        <v>-242 V</v>
      </c>
      <c r="H99" s="1190"/>
      <c r="I99" s="1190"/>
      <c r="J99" s="1190"/>
      <c r="K99" s="1190"/>
      <c r="L99" s="1190"/>
      <c r="M99" s="1191"/>
      <c r="N99" s="1189" t="str">
        <f>Client!T10</f>
        <v>CEN</v>
      </c>
      <c r="O99" s="1190"/>
      <c r="P99" s="1190"/>
      <c r="Q99" s="1197" t="s">
        <v>421</v>
      </c>
      <c r="R99" s="1198"/>
      <c r="S99" s="1199" t="str">
        <f>Co!R17</f>
        <v>-</v>
      </c>
      <c r="T99" s="1200"/>
    </row>
    <row r="100" spans="1:20" ht="18" customHeight="1">
      <c r="B100" s="1189" t="s">
        <v>420</v>
      </c>
      <c r="C100" s="1190"/>
      <c r="D100" s="1190"/>
      <c r="E100" s="1190"/>
      <c r="F100" s="1191"/>
      <c r="G100" s="1189" t="str">
        <f>Client!V12</f>
        <v>-60 V</v>
      </c>
      <c r="H100" s="1190"/>
      <c r="I100" s="1190"/>
      <c r="J100" s="1190"/>
      <c r="K100" s="1190"/>
      <c r="L100" s="1190"/>
      <c r="M100" s="1191"/>
      <c r="N100" s="1189" t="str">
        <f>N99</f>
        <v>CEN</v>
      </c>
      <c r="O100" s="1190"/>
      <c r="P100" s="1190"/>
      <c r="Q100" s="1202" t="s">
        <v>422</v>
      </c>
      <c r="R100" s="1203"/>
      <c r="S100" s="1192" t="str">
        <f>Co!R18</f>
        <v>-</v>
      </c>
      <c r="T100" s="1205"/>
    </row>
    <row r="101" spans="1:20" ht="18" customHeight="1">
      <c r="B101" s="1194" t="s">
        <v>428</v>
      </c>
      <c r="C101" s="1195"/>
      <c r="D101" s="1195"/>
      <c r="E101" s="1195"/>
      <c r="F101" s="1195"/>
      <c r="G101" s="1195"/>
      <c r="H101" s="1195"/>
      <c r="I101" s="1195"/>
      <c r="J101" s="1195"/>
      <c r="K101" s="1195"/>
      <c r="L101" s="1195"/>
      <c r="M101" s="1195"/>
      <c r="N101" s="1195"/>
      <c r="O101" s="1195"/>
      <c r="P101" s="1196"/>
      <c r="Q101" s="1206" t="str">
        <f>Co!N22</f>
        <v>-</v>
      </c>
      <c r="R101" s="1207"/>
      <c r="S101" s="1207"/>
      <c r="T101" s="1208"/>
    </row>
    <row r="102" spans="1:20" ht="18" customHeight="1">
      <c r="B102" s="1194" t="s">
        <v>416</v>
      </c>
      <c r="C102" s="1195"/>
      <c r="D102" s="1195"/>
      <c r="E102" s="1195"/>
      <c r="F102" s="1195"/>
      <c r="G102" s="1195"/>
      <c r="H102" s="1195"/>
      <c r="I102" s="1195"/>
      <c r="J102" s="1195"/>
      <c r="K102" s="1195"/>
      <c r="L102" s="1195"/>
      <c r="M102" s="1195"/>
      <c r="N102" s="1195"/>
      <c r="O102" s="1195"/>
      <c r="P102" s="1196"/>
      <c r="Q102" s="1183" t="str">
        <f>TEXT(Co!N37,"0.0")&amp;" mGy/s"</f>
        <v>0.0 mGy/s</v>
      </c>
      <c r="R102" s="1184"/>
      <c r="S102" s="1184"/>
      <c r="T102" s="1185"/>
    </row>
    <row r="104" spans="1:20" ht="15.75">
      <c r="A104" s="111" t="s">
        <v>362</v>
      </c>
      <c r="B104" s="159" t="s">
        <v>418</v>
      </c>
      <c r="C104" s="158"/>
      <c r="D104" s="158"/>
      <c r="E104" s="158"/>
      <c r="F104" s="158"/>
      <c r="G104" s="158"/>
      <c r="H104" s="158"/>
      <c r="I104" s="158"/>
      <c r="J104" s="158"/>
      <c r="K104" s="158"/>
      <c r="L104" s="158"/>
      <c r="M104" s="158"/>
      <c r="N104" s="158"/>
      <c r="O104" s="158"/>
      <c r="P104" s="158"/>
      <c r="Q104" s="158"/>
      <c r="R104" s="158"/>
      <c r="S104" s="158"/>
    </row>
    <row r="105" spans="1:20" ht="15.75">
      <c r="B105" s="158"/>
      <c r="C105" s="158"/>
      <c r="D105" s="158"/>
      <c r="E105" s="158"/>
      <c r="F105" s="158"/>
      <c r="G105" s="158"/>
      <c r="H105" s="158"/>
      <c r="I105" s="158"/>
      <c r="J105" s="158"/>
      <c r="K105" s="158"/>
      <c r="L105" s="158"/>
      <c r="M105" s="158"/>
      <c r="N105" s="158"/>
      <c r="O105" s="158"/>
      <c r="P105" s="158"/>
      <c r="Q105" s="158"/>
      <c r="R105" s="158"/>
      <c r="S105" s="158"/>
      <c r="T105" s="158"/>
    </row>
    <row r="106" spans="1:20" ht="15.75">
      <c r="B106" s="158"/>
      <c r="C106" s="158"/>
      <c r="D106" s="158"/>
      <c r="E106" s="158"/>
      <c r="F106" s="158"/>
      <c r="G106" s="158"/>
      <c r="H106" s="158"/>
      <c r="I106" s="158"/>
      <c r="J106" s="158"/>
      <c r="K106" s="158"/>
      <c r="L106" s="158"/>
      <c r="M106" s="158"/>
      <c r="N106" s="158"/>
      <c r="O106" s="158"/>
      <c r="P106" s="158"/>
      <c r="Q106" s="158"/>
      <c r="R106" s="158"/>
      <c r="S106" s="158"/>
      <c r="T106" s="160" t="str">
        <f>"(1)"</f>
        <v>(1)</v>
      </c>
    </row>
    <row r="107" spans="1:20" ht="15.75">
      <c r="B107" s="154"/>
      <c r="C107" s="154"/>
      <c r="D107" s="154"/>
      <c r="E107" s="154"/>
      <c r="F107" s="154"/>
      <c r="G107" s="154"/>
      <c r="H107" s="154"/>
      <c r="I107" s="154"/>
      <c r="J107" s="154"/>
      <c r="K107" s="154"/>
      <c r="L107" s="154"/>
      <c r="M107" s="154"/>
      <c r="N107" s="154"/>
      <c r="O107" s="154"/>
      <c r="P107" s="154"/>
      <c r="Q107" s="154"/>
      <c r="R107" s="158"/>
      <c r="S107" s="158"/>
      <c r="T107" s="158"/>
    </row>
    <row r="108" spans="1:20" ht="38.25" customHeight="1">
      <c r="A108" s="111" t="s">
        <v>362</v>
      </c>
      <c r="B108" s="1140" t="s">
        <v>423</v>
      </c>
      <c r="C108" s="1140"/>
      <c r="D108" s="1140"/>
      <c r="E108" s="1140"/>
      <c r="F108" s="1140"/>
      <c r="G108" s="1140"/>
      <c r="H108" s="1140"/>
      <c r="I108" s="1140"/>
      <c r="J108" s="1140"/>
      <c r="K108" s="1140"/>
      <c r="L108" s="1140"/>
      <c r="M108" s="1140"/>
      <c r="N108" s="1140"/>
      <c r="O108" s="1140"/>
      <c r="P108" s="1140"/>
      <c r="Q108" s="1140"/>
      <c r="R108" s="1140"/>
      <c r="S108" s="1140"/>
      <c r="T108" s="1140"/>
    </row>
    <row r="109" spans="1:20" ht="15" customHeight="1">
      <c r="A109" s="111"/>
      <c r="B109" s="125"/>
      <c r="C109" s="125"/>
      <c r="D109" s="125"/>
      <c r="E109" s="125"/>
      <c r="F109" s="125"/>
      <c r="G109" s="125"/>
      <c r="H109" s="125"/>
      <c r="I109" s="125"/>
      <c r="J109" s="125"/>
      <c r="K109" s="125"/>
      <c r="L109" s="125"/>
      <c r="M109" s="125"/>
      <c r="N109" s="125"/>
      <c r="O109" s="125"/>
      <c r="P109" s="125"/>
      <c r="Q109" s="125"/>
      <c r="R109" s="158"/>
      <c r="S109" s="158"/>
      <c r="T109" s="158"/>
    </row>
    <row r="110" spans="1:20" ht="15" customHeight="1">
      <c r="A110" s="111"/>
      <c r="B110" s="125"/>
      <c r="C110" s="125"/>
      <c r="D110" s="125"/>
      <c r="E110" s="125"/>
      <c r="F110" s="125"/>
      <c r="G110" s="125"/>
      <c r="H110" s="125"/>
      <c r="I110" s="125"/>
      <c r="J110" s="125"/>
      <c r="K110" s="125"/>
      <c r="L110" s="125"/>
      <c r="M110" s="125"/>
      <c r="N110" s="125"/>
      <c r="O110" s="125"/>
      <c r="P110" s="125"/>
      <c r="Q110" s="125"/>
      <c r="R110" s="158"/>
      <c r="S110" s="158"/>
      <c r="T110" s="158"/>
    </row>
    <row r="111" spans="1:20" ht="15" customHeight="1">
      <c r="A111" s="112" t="s">
        <v>368</v>
      </c>
      <c r="B111" s="125"/>
      <c r="C111" s="125"/>
      <c r="D111" s="125"/>
      <c r="E111" s="125"/>
      <c r="F111" s="125"/>
      <c r="G111" s="125"/>
      <c r="H111" s="125"/>
      <c r="I111" s="125"/>
      <c r="J111" s="125"/>
      <c r="K111" s="125"/>
      <c r="L111" s="125"/>
      <c r="M111" s="125"/>
      <c r="N111" s="125"/>
      <c r="O111" s="125"/>
      <c r="P111" s="125"/>
      <c r="Q111" s="125"/>
      <c r="R111" s="158"/>
      <c r="S111" s="158"/>
      <c r="T111" s="158"/>
    </row>
    <row r="112" spans="1:20" ht="38.25" customHeight="1">
      <c r="A112" s="111" t="s">
        <v>362</v>
      </c>
      <c r="B112" s="1140" t="s">
        <v>424</v>
      </c>
      <c r="C112" s="1140"/>
      <c r="D112" s="1140"/>
      <c r="E112" s="1140"/>
      <c r="F112" s="1140"/>
      <c r="G112" s="1140"/>
      <c r="H112" s="1140"/>
      <c r="I112" s="1140"/>
      <c r="J112" s="1140"/>
      <c r="K112" s="1140"/>
      <c r="L112" s="1140"/>
      <c r="M112" s="1140"/>
      <c r="N112" s="1140"/>
      <c r="O112" s="1140"/>
      <c r="P112" s="1140"/>
      <c r="Q112" s="1140"/>
      <c r="R112" s="1140"/>
      <c r="S112" s="1140"/>
      <c r="T112" s="1140"/>
    </row>
    <row r="113" spans="1:20" ht="15" customHeight="1">
      <c r="A113" s="111"/>
      <c r="B113" s="125"/>
      <c r="C113" s="125"/>
      <c r="D113" s="125"/>
      <c r="E113" s="125"/>
      <c r="F113" s="125"/>
      <c r="G113" s="125"/>
      <c r="H113" s="125"/>
      <c r="I113" s="125"/>
      <c r="J113" s="125"/>
      <c r="K113" s="125"/>
      <c r="L113" s="125"/>
      <c r="M113" s="125"/>
      <c r="N113" s="125"/>
      <c r="O113" s="125"/>
      <c r="P113" s="125"/>
      <c r="Q113" s="125"/>
      <c r="R113" s="158"/>
      <c r="S113" s="158"/>
      <c r="T113" s="158"/>
    </row>
    <row r="114" spans="1:20" ht="15" customHeight="1">
      <c r="A114" s="111"/>
      <c r="B114" s="125"/>
      <c r="C114" s="125"/>
      <c r="D114" s="125"/>
      <c r="E114" s="125"/>
      <c r="F114" s="125"/>
      <c r="G114" s="125"/>
      <c r="H114" s="125"/>
      <c r="I114" s="125"/>
      <c r="J114" s="125"/>
      <c r="K114" s="125"/>
      <c r="L114" s="125"/>
      <c r="M114" s="125"/>
      <c r="N114" s="125"/>
      <c r="O114" s="125"/>
      <c r="P114" s="125"/>
      <c r="Q114" s="125"/>
      <c r="R114" s="158"/>
      <c r="S114" s="158"/>
      <c r="T114" s="160" t="str">
        <f>"(2)"</f>
        <v>(2)</v>
      </c>
    </row>
    <row r="115" spans="1:20" ht="15" customHeight="1">
      <c r="A115" s="112"/>
      <c r="B115" s="158"/>
      <c r="C115" s="158"/>
      <c r="D115" s="158"/>
      <c r="E115" s="158"/>
      <c r="F115" s="158"/>
      <c r="G115" s="158"/>
      <c r="H115" s="158"/>
      <c r="J115" s="158"/>
      <c r="K115" s="158"/>
      <c r="L115" s="158"/>
      <c r="M115" s="158"/>
      <c r="N115" s="158"/>
      <c r="O115" s="158"/>
      <c r="P115" s="158"/>
      <c r="Q115" s="158"/>
      <c r="R115" s="158"/>
      <c r="S115" s="158"/>
      <c r="T115" s="158"/>
    </row>
    <row r="116" spans="1:20" ht="33.6" customHeight="1">
      <c r="A116" s="111" t="s">
        <v>362</v>
      </c>
      <c r="B116" s="1204" t="s">
        <v>863</v>
      </c>
      <c r="C116" s="1204"/>
      <c r="D116" s="1204"/>
      <c r="E116" s="1204"/>
      <c r="F116" s="1204"/>
      <c r="G116" s="1204"/>
      <c r="H116" s="1204"/>
      <c r="I116" s="1204"/>
      <c r="J116" s="1204"/>
      <c r="K116" s="1204"/>
      <c r="L116" s="1204"/>
      <c r="M116" s="1204"/>
      <c r="N116" s="1204"/>
      <c r="O116" s="1204"/>
      <c r="P116" s="1204"/>
      <c r="Q116" s="1204"/>
      <c r="R116" s="1204"/>
      <c r="S116" s="1204"/>
      <c r="T116" s="1204"/>
    </row>
    <row r="117" spans="1:20" ht="15" customHeight="1">
      <c r="A117" s="111" t="s">
        <v>362</v>
      </c>
      <c r="B117" s="1140" t="str">
        <f>"The chamber has been calibrated with the "&amp;Client!Q10&amp;" ("&amp;Client!T10&amp;")."</f>
        <v>The chamber has been calibrated with the Central Electrode Negative (CEN).</v>
      </c>
      <c r="C117" s="1140"/>
      <c r="D117" s="1140"/>
      <c r="E117" s="1140"/>
      <c r="F117" s="1140"/>
      <c r="G117" s="1140"/>
      <c r="H117" s="1140"/>
      <c r="I117" s="1140"/>
      <c r="J117" s="1140"/>
      <c r="K117" s="1140"/>
      <c r="L117" s="1140"/>
      <c r="M117" s="1140"/>
      <c r="N117" s="1140"/>
      <c r="O117" s="1140"/>
      <c r="P117" s="1140"/>
      <c r="Q117" s="1140"/>
      <c r="R117" s="1140"/>
      <c r="S117" s="1140"/>
      <c r="T117" s="1140"/>
    </row>
    <row r="118" spans="1:20" ht="15" customHeight="1">
      <c r="A118" s="112"/>
      <c r="B118" s="158"/>
      <c r="C118" s="158"/>
      <c r="D118" s="158"/>
      <c r="E118" s="158"/>
      <c r="F118" s="158"/>
      <c r="G118" s="158"/>
      <c r="H118" s="158"/>
      <c r="J118" s="158"/>
      <c r="K118" s="158"/>
      <c r="L118" s="158"/>
      <c r="M118" s="158"/>
      <c r="N118" s="158"/>
      <c r="O118" s="158"/>
      <c r="P118" s="158"/>
      <c r="Q118" s="158"/>
      <c r="R118" s="158"/>
      <c r="S118" s="158"/>
      <c r="T118" s="158"/>
    </row>
    <row r="119" spans="1:20" ht="23.25" customHeight="1">
      <c r="A119" s="112"/>
      <c r="B119" s="158" t="s">
        <v>436</v>
      </c>
    </row>
    <row r="120" spans="1:20" ht="32.25" customHeight="1">
      <c r="A120" s="112"/>
      <c r="B120" s="1183" t="s">
        <v>413</v>
      </c>
      <c r="C120" s="1184"/>
      <c r="D120" s="1184"/>
      <c r="E120" s="1184"/>
      <c r="F120" s="1185"/>
      <c r="G120" s="1183" t="s">
        <v>414</v>
      </c>
      <c r="H120" s="1184"/>
      <c r="I120" s="1184"/>
      <c r="J120" s="1184"/>
      <c r="K120" s="1184"/>
      <c r="L120" s="1184"/>
      <c r="M120" s="1185"/>
      <c r="N120" s="1183" t="s">
        <v>415</v>
      </c>
      <c r="O120" s="1184"/>
      <c r="P120" s="1185"/>
      <c r="Q120" s="1186" t="s">
        <v>588</v>
      </c>
      <c r="R120" s="1187"/>
      <c r="S120" s="1187"/>
      <c r="T120" s="1188"/>
    </row>
    <row r="121" spans="1:20" ht="18" customHeight="1">
      <c r="A121" s="112"/>
      <c r="B121" s="1189" t="s">
        <v>419</v>
      </c>
      <c r="C121" s="1190"/>
      <c r="D121" s="1190"/>
      <c r="E121" s="1190"/>
      <c r="F121" s="1191"/>
      <c r="G121" s="1189" t="str">
        <f>G99</f>
        <v>-242 V</v>
      </c>
      <c r="H121" s="1190"/>
      <c r="I121" s="1190"/>
      <c r="J121" s="1190"/>
      <c r="K121" s="1190"/>
      <c r="L121" s="1190"/>
      <c r="M121" s="1191"/>
      <c r="N121" s="1189" t="str">
        <f>N99</f>
        <v>CEN</v>
      </c>
      <c r="O121" s="1190"/>
      <c r="P121" s="1190"/>
      <c r="Q121" s="1197" t="s">
        <v>426</v>
      </c>
      <c r="R121" s="1198"/>
      <c r="S121" s="1199" t="str">
        <f>Co!R29</f>
        <v>-</v>
      </c>
      <c r="T121" s="1201"/>
    </row>
    <row r="122" spans="1:20" ht="18" customHeight="1">
      <c r="A122" s="112"/>
      <c r="B122" s="1189" t="s">
        <v>442</v>
      </c>
      <c r="C122" s="1190"/>
      <c r="D122" s="1190"/>
      <c r="E122" s="1190"/>
      <c r="F122" s="1191"/>
      <c r="G122" s="1189" t="str">
        <f>Client!V11</f>
        <v>242 V</v>
      </c>
      <c r="H122" s="1190"/>
      <c r="I122" s="1190"/>
      <c r="J122" s="1190"/>
      <c r="K122" s="1190"/>
      <c r="L122" s="1190"/>
      <c r="M122" s="1191"/>
      <c r="N122" s="1189" t="str">
        <f>Client!T11</f>
        <v>CEP</v>
      </c>
      <c r="O122" s="1190"/>
      <c r="P122" s="1190"/>
      <c r="Q122" s="1202" t="s">
        <v>427</v>
      </c>
      <c r="R122" s="1203"/>
      <c r="S122" s="1192" t="str">
        <f>Co!R30</f>
        <v>-</v>
      </c>
      <c r="T122" s="1193"/>
    </row>
    <row r="123" spans="1:20" ht="18" customHeight="1">
      <c r="A123" s="112"/>
      <c r="B123" s="1194" t="s">
        <v>429</v>
      </c>
      <c r="C123" s="1195"/>
      <c r="D123" s="1195"/>
      <c r="E123" s="1195"/>
      <c r="F123" s="1195"/>
      <c r="G123" s="1195"/>
      <c r="H123" s="1195"/>
      <c r="I123" s="1195"/>
      <c r="J123" s="1195"/>
      <c r="K123" s="1195"/>
      <c r="L123" s="1195"/>
      <c r="M123" s="1195"/>
      <c r="N123" s="1195"/>
      <c r="O123" s="1195"/>
      <c r="P123" s="1196"/>
      <c r="Q123" s="1206" t="str">
        <f>Co!N34</f>
        <v>-</v>
      </c>
      <c r="R123" s="1207"/>
      <c r="S123" s="1207"/>
      <c r="T123" s="1208"/>
    </row>
    <row r="124" spans="1:20" ht="18" customHeight="1">
      <c r="A124" s="112"/>
      <c r="B124" s="1194" t="s">
        <v>416</v>
      </c>
      <c r="C124" s="1195"/>
      <c r="D124" s="1195"/>
      <c r="E124" s="1195"/>
      <c r="F124" s="1195"/>
      <c r="G124" s="1195"/>
      <c r="H124" s="1195"/>
      <c r="I124" s="1195"/>
      <c r="J124" s="1195"/>
      <c r="K124" s="1195"/>
      <c r="L124" s="1195"/>
      <c r="M124" s="1195"/>
      <c r="N124" s="1195"/>
      <c r="O124" s="1195"/>
      <c r="P124" s="1196"/>
      <c r="Q124" s="1183" t="str">
        <f>Q102</f>
        <v>0.0 mGy/s</v>
      </c>
      <c r="R124" s="1184"/>
      <c r="S124" s="1184"/>
      <c r="T124" s="1185"/>
    </row>
    <row r="125" spans="1:20" ht="15.75">
      <c r="A125" s="112"/>
    </row>
    <row r="126" spans="1:20" ht="34.5" customHeight="1">
      <c r="A126" s="111" t="s">
        <v>362</v>
      </c>
      <c r="B126" s="1140" t="s">
        <v>425</v>
      </c>
      <c r="C126" s="1140"/>
      <c r="D126" s="1140"/>
      <c r="E126" s="1140"/>
      <c r="F126" s="1140"/>
      <c r="G126" s="1140"/>
      <c r="H126" s="1140"/>
      <c r="I126" s="1140"/>
      <c r="J126" s="1140"/>
      <c r="K126" s="1140"/>
      <c r="L126" s="1140"/>
      <c r="M126" s="1140"/>
      <c r="N126" s="1140"/>
      <c r="O126" s="1140"/>
      <c r="P126" s="1140"/>
      <c r="Q126" s="1140"/>
      <c r="R126" s="1140"/>
      <c r="S126" s="1140"/>
      <c r="T126" s="1140"/>
    </row>
    <row r="127" spans="1:20" ht="15" customHeight="1">
      <c r="A127" s="111"/>
      <c r="B127" s="153"/>
      <c r="C127" s="153"/>
      <c r="D127" s="153"/>
      <c r="E127" s="153"/>
      <c r="F127" s="153"/>
      <c r="G127" s="153"/>
      <c r="H127" s="153"/>
      <c r="I127" s="153"/>
      <c r="J127" s="153"/>
      <c r="K127" s="153"/>
      <c r="L127" s="153"/>
      <c r="M127" s="153"/>
      <c r="N127" s="153"/>
      <c r="O127" s="153"/>
      <c r="P127" s="153"/>
      <c r="Q127" s="153"/>
      <c r="R127" s="153"/>
      <c r="S127" s="153"/>
      <c r="T127" s="153"/>
    </row>
    <row r="128" spans="1:20" ht="15" customHeight="1">
      <c r="A128" s="111"/>
      <c r="B128" s="153"/>
      <c r="C128" s="153"/>
      <c r="D128" s="153"/>
      <c r="E128" s="153"/>
      <c r="F128" s="153"/>
      <c r="G128" s="153"/>
      <c r="H128" s="153"/>
      <c r="I128" s="153"/>
      <c r="J128" s="153"/>
      <c r="K128" s="153"/>
      <c r="L128" s="153"/>
      <c r="M128" s="153"/>
      <c r="N128" s="153"/>
      <c r="O128" s="153"/>
      <c r="P128" s="153"/>
      <c r="Q128" s="153"/>
      <c r="R128" s="153"/>
      <c r="S128" s="153"/>
      <c r="T128" s="153"/>
    </row>
    <row r="129" spans="1:20" ht="15" customHeight="1">
      <c r="A129" s="472" t="s">
        <v>478</v>
      </c>
      <c r="B129" s="471"/>
      <c r="C129" s="471"/>
      <c r="D129" s="471"/>
      <c r="E129" s="471"/>
      <c r="F129" s="471"/>
      <c r="G129" s="471"/>
      <c r="H129" s="471"/>
      <c r="I129" s="471"/>
      <c r="J129" s="471"/>
      <c r="K129" s="471"/>
      <c r="L129" s="471"/>
      <c r="M129" s="471"/>
      <c r="N129" s="471"/>
      <c r="O129" s="471"/>
      <c r="P129" s="471"/>
      <c r="Q129" s="471"/>
      <c r="R129" s="471"/>
      <c r="S129" s="471"/>
      <c r="T129" s="471"/>
    </row>
    <row r="130" spans="1:20" ht="34.5" customHeight="1">
      <c r="A130" s="111" t="s">
        <v>362</v>
      </c>
      <c r="B130" s="1140" t="s">
        <v>1309</v>
      </c>
      <c r="C130" s="1140"/>
      <c r="D130" s="1140"/>
      <c r="E130" s="1140"/>
      <c r="F130" s="1140"/>
      <c r="G130" s="1140"/>
      <c r="H130" s="1140"/>
      <c r="I130" s="1140"/>
      <c r="J130" s="1140"/>
      <c r="K130" s="1140"/>
      <c r="L130" s="1140"/>
      <c r="M130" s="1140"/>
      <c r="N130" s="1140"/>
      <c r="O130" s="1140"/>
      <c r="P130" s="1140"/>
      <c r="Q130" s="1140"/>
      <c r="R130" s="1140"/>
      <c r="S130" s="1140"/>
      <c r="T130" s="1140"/>
    </row>
    <row r="131" spans="1:20" ht="15.75" customHeight="1">
      <c r="A131" s="111"/>
      <c r="B131" s="153"/>
      <c r="C131" s="153"/>
      <c r="D131" s="153"/>
      <c r="E131" s="153"/>
      <c r="F131" s="153"/>
      <c r="G131" s="153"/>
      <c r="H131" s="153"/>
      <c r="I131" s="153"/>
      <c r="J131" s="153"/>
      <c r="K131" s="153"/>
      <c r="L131" s="153"/>
      <c r="M131" s="153"/>
      <c r="N131" s="153"/>
      <c r="O131" s="153"/>
      <c r="P131" s="153"/>
      <c r="Q131" s="153"/>
      <c r="R131" s="153"/>
      <c r="S131" s="153"/>
      <c r="T131" s="153"/>
    </row>
    <row r="132" spans="1:20" ht="15.75" customHeight="1">
      <c r="A132" s="111"/>
      <c r="B132" s="153"/>
      <c r="C132" s="153"/>
      <c r="D132" s="153"/>
      <c r="E132" s="153"/>
      <c r="F132" s="153"/>
      <c r="G132" s="153"/>
      <c r="H132" s="153"/>
      <c r="I132" s="153"/>
      <c r="J132" s="153"/>
      <c r="K132" s="153"/>
      <c r="L132" s="153"/>
      <c r="M132" s="153"/>
      <c r="N132" s="153"/>
      <c r="O132" s="153"/>
      <c r="P132" s="153"/>
      <c r="Q132" s="153"/>
      <c r="R132" s="153"/>
      <c r="S132" s="153"/>
      <c r="T132" s="153"/>
    </row>
    <row r="133" spans="1:20">
      <c r="A133" s="420" t="str">
        <f>"Calibration No.: "&amp;$T$12</f>
        <v>Calibration No.: CAL11957/00</v>
      </c>
      <c r="B133" s="421"/>
      <c r="C133" s="421"/>
      <c r="D133" s="421"/>
      <c r="E133" s="421"/>
      <c r="F133" s="421"/>
      <c r="G133" s="421"/>
      <c r="H133" s="421"/>
      <c r="I133" s="422" t="str">
        <f>$G$32</f>
        <v>0</v>
      </c>
      <c r="J133" s="421"/>
      <c r="K133" s="421"/>
      <c r="L133" s="421"/>
      <c r="M133" s="421"/>
      <c r="N133" s="420" t="s">
        <v>360</v>
      </c>
      <c r="O133" s="423"/>
      <c r="P133" s="423"/>
      <c r="Q133" s="423"/>
      <c r="R133" s="423"/>
      <c r="S133" s="423"/>
      <c r="T133" s="423" t="s">
        <v>795</v>
      </c>
    </row>
    <row r="134" spans="1:20" ht="15.75" customHeight="1">
      <c r="A134" s="119"/>
      <c r="B134" s="155"/>
      <c r="C134" s="155"/>
      <c r="D134" s="155"/>
      <c r="E134" s="155"/>
      <c r="F134" s="155"/>
      <c r="G134" s="155"/>
      <c r="H134" s="155"/>
      <c r="I134" s="156"/>
      <c r="J134" s="155"/>
      <c r="K134" s="155"/>
      <c r="L134" s="155"/>
      <c r="M134" s="155"/>
      <c r="N134" s="119"/>
      <c r="O134" s="157"/>
      <c r="P134" s="157"/>
      <c r="Q134" s="157"/>
      <c r="R134" s="157"/>
      <c r="S134" s="157"/>
      <c r="T134" s="157"/>
    </row>
    <row r="135" spans="1:20" ht="15.75">
      <c r="A135" s="112"/>
      <c r="B135" s="154"/>
      <c r="C135" s="154"/>
      <c r="D135" s="154"/>
      <c r="E135" s="154"/>
      <c r="F135" s="154"/>
      <c r="G135" s="154"/>
      <c r="H135" s="154"/>
      <c r="I135" s="154"/>
      <c r="J135" s="154"/>
      <c r="K135" s="154"/>
      <c r="L135" s="154"/>
      <c r="M135" s="154"/>
      <c r="N135" s="154"/>
      <c r="O135" s="154"/>
      <c r="P135" s="154"/>
      <c r="Q135" s="154"/>
    </row>
    <row r="136" spans="1:20" ht="18" customHeight="1">
      <c r="A136" s="1212" t="s">
        <v>369</v>
      </c>
      <c r="B136" s="1213"/>
      <c r="C136" s="1213"/>
      <c r="D136" s="205"/>
      <c r="E136" s="205"/>
      <c r="F136" s="205"/>
      <c r="G136" s="205"/>
      <c r="H136" s="205"/>
      <c r="I136" s="205"/>
      <c r="J136" s="205"/>
      <c r="K136" s="205"/>
      <c r="L136" s="205"/>
      <c r="M136" s="205"/>
      <c r="N136" s="205"/>
      <c r="O136" s="205"/>
      <c r="P136" s="205"/>
      <c r="Q136" s="205"/>
      <c r="R136" s="205"/>
      <c r="S136" s="205"/>
      <c r="T136" s="205"/>
    </row>
    <row r="137" spans="1:20" ht="63.75" customHeight="1">
      <c r="A137" s="113" t="s">
        <v>370</v>
      </c>
      <c r="B137" s="1136" t="s">
        <v>1298</v>
      </c>
      <c r="C137" s="1136"/>
      <c r="D137" s="1136"/>
      <c r="E137" s="1136"/>
      <c r="F137" s="1136"/>
      <c r="G137" s="1136"/>
      <c r="H137" s="1136"/>
      <c r="I137" s="1136"/>
      <c r="J137" s="1136"/>
      <c r="K137" s="1136"/>
      <c r="L137" s="1136"/>
      <c r="M137" s="1136"/>
      <c r="N137" s="1136"/>
      <c r="O137" s="1136"/>
      <c r="P137" s="1136"/>
      <c r="Q137" s="1136"/>
      <c r="R137" s="1136"/>
      <c r="S137" s="1136"/>
      <c r="T137" s="1136"/>
    </row>
    <row r="138" spans="1:20" ht="18" customHeight="1">
      <c r="A138" s="111"/>
      <c r="B138" s="205"/>
      <c r="C138" s="205"/>
      <c r="D138" s="205"/>
      <c r="E138" s="205"/>
      <c r="F138" s="205"/>
      <c r="G138" s="205"/>
      <c r="H138" s="205"/>
      <c r="I138" s="205"/>
      <c r="J138" s="205"/>
      <c r="K138" s="205"/>
      <c r="L138" s="205"/>
      <c r="M138" s="205"/>
      <c r="N138" s="205"/>
      <c r="O138" s="205"/>
      <c r="P138" s="205"/>
      <c r="Q138" s="205"/>
      <c r="R138" s="205"/>
      <c r="S138" s="205"/>
      <c r="T138" s="205"/>
    </row>
    <row r="139" spans="1:20" ht="18" customHeight="1">
      <c r="A139" s="111"/>
      <c r="B139" s="205"/>
      <c r="C139" s="205"/>
      <c r="D139" s="205"/>
      <c r="E139" s="205"/>
      <c r="F139" s="205"/>
      <c r="G139" s="205"/>
      <c r="H139" s="205"/>
      <c r="I139" s="205"/>
      <c r="J139" s="205"/>
      <c r="K139" s="205"/>
      <c r="L139" s="205"/>
      <c r="M139" s="205"/>
      <c r="N139" s="205"/>
      <c r="O139" s="205"/>
      <c r="P139" s="205"/>
      <c r="Q139" s="205"/>
      <c r="R139" s="205"/>
      <c r="S139" s="205"/>
      <c r="T139" s="205"/>
    </row>
    <row r="140" spans="1:20" ht="18" customHeight="1">
      <c r="A140" s="111"/>
      <c r="B140" s="205"/>
      <c r="C140" s="205"/>
      <c r="D140" s="205"/>
      <c r="E140" s="205"/>
      <c r="F140" s="205"/>
      <c r="G140" s="205"/>
      <c r="H140" s="205"/>
      <c r="I140" s="205"/>
      <c r="J140" s="205"/>
      <c r="K140" s="205"/>
      <c r="L140" s="205"/>
      <c r="M140" s="205"/>
      <c r="N140" s="205"/>
      <c r="O140" s="205"/>
      <c r="P140" s="205"/>
      <c r="Q140" s="205"/>
      <c r="R140" s="205"/>
      <c r="S140" s="205"/>
      <c r="T140" s="205"/>
    </row>
    <row r="141" spans="1:20" ht="18" customHeight="1">
      <c r="A141" s="111"/>
      <c r="B141" s="205"/>
      <c r="C141" s="205"/>
      <c r="D141" s="205"/>
      <c r="E141" s="205"/>
      <c r="F141" s="205"/>
      <c r="G141" s="205"/>
      <c r="H141" s="205"/>
      <c r="I141" s="205"/>
      <c r="J141" s="205"/>
      <c r="K141" s="205"/>
      <c r="L141" s="205"/>
      <c r="M141" s="205"/>
      <c r="N141" s="205"/>
      <c r="O141" s="205"/>
      <c r="P141" s="205"/>
      <c r="Q141" s="205"/>
      <c r="R141" s="205"/>
      <c r="S141" s="205"/>
      <c r="T141" s="205"/>
    </row>
    <row r="142" spans="1:20" ht="18" customHeight="1">
      <c r="A142" s="111"/>
      <c r="B142" s="183"/>
      <c r="C142" s="183"/>
      <c r="D142" s="183"/>
      <c r="E142" s="183"/>
      <c r="F142" s="183"/>
      <c r="G142" s="183"/>
      <c r="H142" s="183"/>
      <c r="I142" s="183"/>
      <c r="J142" s="183"/>
      <c r="K142" s="183"/>
      <c r="L142" s="183"/>
      <c r="M142" s="183"/>
      <c r="N142" s="183"/>
      <c r="O142" s="183"/>
      <c r="P142" s="183"/>
      <c r="Q142" s="183"/>
      <c r="R142" s="183"/>
      <c r="S142" s="183"/>
      <c r="T142" s="183"/>
    </row>
    <row r="143" spans="1:20" ht="15.75">
      <c r="A143" s="112"/>
      <c r="B143" s="112"/>
      <c r="C143" s="112"/>
      <c r="D143" s="112"/>
      <c r="E143" s="112"/>
      <c r="F143" s="112"/>
      <c r="G143" s="112"/>
      <c r="H143" s="112"/>
      <c r="I143" s="112"/>
      <c r="J143" s="112"/>
      <c r="K143" s="112"/>
      <c r="L143" s="112"/>
      <c r="M143" s="112"/>
      <c r="N143" s="112"/>
      <c r="O143" s="112"/>
      <c r="P143" s="112"/>
      <c r="Q143" s="112"/>
    </row>
    <row r="144" spans="1:20" ht="15.75">
      <c r="A144" s="112"/>
      <c r="B144" s="112"/>
      <c r="C144" s="112"/>
      <c r="D144" s="112"/>
      <c r="E144" s="112"/>
      <c r="F144" s="112"/>
      <c r="G144" s="112"/>
      <c r="H144" s="112"/>
      <c r="I144" s="112"/>
      <c r="J144" s="112"/>
      <c r="K144" s="112"/>
      <c r="L144" s="112"/>
      <c r="M144" s="112"/>
      <c r="N144" s="112"/>
      <c r="O144" s="112"/>
      <c r="P144" s="112"/>
      <c r="Q144" s="112"/>
    </row>
    <row r="145" spans="1:20" ht="18" customHeight="1">
      <c r="A145" s="113"/>
      <c r="B145" s="205"/>
      <c r="C145" s="205"/>
      <c r="D145" s="205"/>
      <c r="E145" s="205"/>
      <c r="F145" s="205"/>
      <c r="G145" s="205"/>
      <c r="H145" s="205"/>
      <c r="I145" s="205"/>
      <c r="J145" s="205"/>
      <c r="K145" s="205"/>
      <c r="L145" s="205"/>
      <c r="M145" s="205"/>
      <c r="N145" s="205"/>
      <c r="O145" s="205"/>
      <c r="P145" s="205"/>
      <c r="Q145" s="205"/>
      <c r="R145" s="205"/>
      <c r="S145" s="205"/>
      <c r="T145" s="205"/>
    </row>
    <row r="146" spans="1:20" ht="15" customHeight="1">
      <c r="A146" s="112"/>
      <c r="B146" s="112"/>
      <c r="C146" s="112"/>
      <c r="D146" s="112"/>
      <c r="E146" s="112"/>
      <c r="F146" s="112"/>
      <c r="G146" s="112"/>
      <c r="H146" s="112"/>
      <c r="I146" s="112"/>
      <c r="J146" s="112"/>
      <c r="K146" s="112"/>
      <c r="L146" s="112"/>
      <c r="M146" s="112"/>
      <c r="N146" s="112"/>
      <c r="O146" s="112"/>
      <c r="P146" s="112"/>
      <c r="Q146" s="112"/>
    </row>
    <row r="147" spans="1:20" ht="15" customHeight="1">
      <c r="A147" s="112"/>
      <c r="B147" s="112"/>
      <c r="C147" s="112"/>
      <c r="D147" s="112"/>
      <c r="E147" s="112"/>
      <c r="F147" s="112"/>
      <c r="G147" s="112"/>
      <c r="H147" s="112"/>
      <c r="I147" s="112"/>
      <c r="J147" s="112"/>
      <c r="K147" s="112"/>
      <c r="L147" s="112"/>
      <c r="M147" s="112"/>
      <c r="N147" s="112"/>
      <c r="O147" s="112"/>
      <c r="P147" s="112"/>
      <c r="Q147" s="112"/>
    </row>
    <row r="148" spans="1:20" ht="15" customHeight="1">
      <c r="A148" s="112"/>
      <c r="B148" s="112"/>
      <c r="C148" s="112"/>
      <c r="D148" s="112"/>
      <c r="E148" s="112"/>
      <c r="F148" s="112"/>
      <c r="G148" s="112"/>
      <c r="H148" s="112"/>
      <c r="I148" s="112"/>
      <c r="J148" s="112"/>
      <c r="K148" s="112"/>
      <c r="L148" s="112"/>
      <c r="M148" s="112"/>
      <c r="N148" s="112"/>
      <c r="O148" s="112"/>
      <c r="P148" s="112"/>
      <c r="Q148" s="112"/>
    </row>
    <row r="149" spans="1:20" ht="15" customHeight="1">
      <c r="A149" s="112"/>
      <c r="B149" s="112"/>
      <c r="C149" s="112"/>
      <c r="D149" s="112"/>
      <c r="E149" s="112"/>
      <c r="F149" s="112"/>
      <c r="G149" s="112"/>
      <c r="H149" s="112"/>
      <c r="I149" s="112"/>
      <c r="J149" s="112"/>
      <c r="K149" s="112"/>
      <c r="L149" s="112"/>
      <c r="M149" s="112"/>
      <c r="N149" s="112"/>
      <c r="O149" s="112"/>
      <c r="P149" s="112"/>
      <c r="Q149" s="112"/>
    </row>
    <row r="150" spans="1:20" ht="15" customHeight="1">
      <c r="A150" s="112"/>
      <c r="B150" s="112"/>
      <c r="C150" s="112"/>
      <c r="D150" s="112"/>
      <c r="E150" s="112"/>
      <c r="F150" s="112"/>
      <c r="G150" s="112"/>
      <c r="H150" s="112"/>
      <c r="I150" s="112"/>
      <c r="J150" s="112"/>
      <c r="K150" s="112"/>
      <c r="L150" s="112"/>
      <c r="M150" s="112"/>
      <c r="N150" s="112"/>
      <c r="O150" s="112"/>
      <c r="P150" s="112"/>
      <c r="Q150" s="112"/>
    </row>
    <row r="151" spans="1:20" ht="15" customHeight="1">
      <c r="A151" s="112"/>
      <c r="B151" s="112"/>
      <c r="C151" s="112"/>
      <c r="D151" s="112"/>
      <c r="E151" s="112"/>
      <c r="F151" s="112"/>
      <c r="G151" s="112"/>
      <c r="H151" s="112"/>
      <c r="I151" s="112"/>
      <c r="J151" s="112"/>
      <c r="K151" s="112"/>
      <c r="L151" s="112"/>
      <c r="M151" s="112"/>
      <c r="N151" s="112"/>
      <c r="O151" s="112"/>
      <c r="P151" s="112"/>
      <c r="Q151" s="112"/>
    </row>
    <row r="152" spans="1:20" ht="15" customHeight="1">
      <c r="A152" s="112"/>
      <c r="B152" s="112"/>
      <c r="C152" s="112"/>
      <c r="D152" s="112"/>
      <c r="E152" s="112"/>
      <c r="F152" s="112"/>
      <c r="G152" s="112"/>
      <c r="H152" s="112"/>
      <c r="I152" s="112"/>
      <c r="J152" s="112"/>
      <c r="K152" s="112"/>
      <c r="L152" s="112"/>
      <c r="M152" s="112"/>
      <c r="N152" s="112"/>
      <c r="O152" s="112"/>
      <c r="P152" s="112"/>
      <c r="Q152" s="112"/>
    </row>
    <row r="153" spans="1:20" ht="15" customHeight="1">
      <c r="A153" s="112"/>
      <c r="B153" s="112"/>
      <c r="C153" s="112"/>
      <c r="D153" s="112"/>
      <c r="E153" s="112"/>
      <c r="F153" s="112"/>
      <c r="G153" s="112"/>
      <c r="H153" s="112"/>
      <c r="I153" s="112"/>
      <c r="J153" s="112"/>
      <c r="K153" s="112"/>
      <c r="L153" s="112"/>
      <c r="M153" s="112"/>
      <c r="N153" s="112"/>
      <c r="O153" s="112"/>
      <c r="P153" s="112"/>
      <c r="Q153" s="112"/>
    </row>
    <row r="154" spans="1:20" ht="15" customHeight="1">
      <c r="A154" s="112"/>
      <c r="B154" s="112"/>
      <c r="C154" s="112"/>
      <c r="D154" s="112"/>
      <c r="E154" s="112"/>
      <c r="F154" s="112"/>
      <c r="G154" s="112"/>
      <c r="H154" s="112"/>
      <c r="I154" s="112"/>
      <c r="J154" s="112"/>
      <c r="K154" s="112"/>
      <c r="L154" s="112"/>
      <c r="M154" s="112"/>
      <c r="N154" s="112"/>
      <c r="O154" s="112"/>
      <c r="P154" s="112"/>
      <c r="Q154" s="112"/>
    </row>
    <row r="155" spans="1:20" ht="15" customHeight="1">
      <c r="A155" s="112"/>
      <c r="B155" s="112"/>
      <c r="C155" s="112"/>
      <c r="D155" s="112"/>
      <c r="E155" s="112"/>
      <c r="F155" s="112"/>
      <c r="G155" s="112"/>
      <c r="H155" s="112"/>
      <c r="I155" s="112"/>
      <c r="J155" s="112"/>
      <c r="K155" s="112"/>
      <c r="L155" s="112"/>
      <c r="M155" s="112"/>
      <c r="N155" s="112"/>
      <c r="O155" s="112"/>
      <c r="P155" s="112"/>
      <c r="Q155" s="112"/>
    </row>
    <row r="156" spans="1:20" ht="15" customHeight="1">
      <c r="A156" s="112"/>
      <c r="B156" s="112"/>
      <c r="C156" s="112"/>
      <c r="D156" s="112"/>
      <c r="E156" s="112"/>
      <c r="F156" s="112"/>
      <c r="G156" s="112"/>
      <c r="H156" s="112"/>
      <c r="I156" s="112"/>
      <c r="J156" s="112"/>
      <c r="K156" s="112"/>
      <c r="L156" s="112"/>
      <c r="M156" s="112"/>
      <c r="N156" s="112"/>
      <c r="O156" s="112"/>
      <c r="P156" s="112"/>
      <c r="Q156" s="112"/>
    </row>
    <row r="157" spans="1:20" ht="15" customHeight="1">
      <c r="A157" s="112"/>
      <c r="B157" s="112"/>
      <c r="C157" s="112"/>
      <c r="D157" s="112"/>
      <c r="E157" s="112"/>
      <c r="F157" s="112"/>
      <c r="G157" s="112"/>
      <c r="H157" s="112"/>
      <c r="I157" s="112"/>
      <c r="J157" s="112"/>
      <c r="K157" s="112"/>
      <c r="L157" s="112"/>
      <c r="M157" s="112"/>
      <c r="N157" s="112"/>
      <c r="O157" s="112"/>
      <c r="P157" s="112"/>
      <c r="Q157" s="112"/>
    </row>
    <row r="158" spans="1:20" ht="15" customHeight="1">
      <c r="A158" s="112"/>
      <c r="B158" s="112"/>
      <c r="C158" s="112"/>
      <c r="D158" s="112"/>
      <c r="E158" s="112"/>
      <c r="F158" s="112"/>
      <c r="G158" s="112"/>
      <c r="H158" s="112"/>
      <c r="I158" s="112"/>
      <c r="J158" s="112"/>
      <c r="K158" s="112"/>
      <c r="L158" s="112"/>
      <c r="M158" s="112"/>
      <c r="N158" s="112"/>
      <c r="O158" s="112"/>
      <c r="P158" s="112"/>
      <c r="Q158" s="112"/>
    </row>
    <row r="159" spans="1:20" ht="198.75" customHeight="1">
      <c r="A159" s="112"/>
      <c r="B159" s="112"/>
      <c r="C159" s="112"/>
      <c r="D159" s="112"/>
      <c r="E159" s="112"/>
      <c r="F159" s="112"/>
      <c r="G159" s="112"/>
      <c r="H159" s="112"/>
      <c r="I159" s="112"/>
      <c r="J159" s="112"/>
      <c r="K159" s="112"/>
      <c r="L159" s="112"/>
      <c r="M159" s="112"/>
      <c r="N159" s="112"/>
      <c r="O159" s="112"/>
      <c r="P159" s="112"/>
      <c r="Q159" s="112"/>
    </row>
    <row r="160" spans="1:20" ht="15" customHeight="1">
      <c r="A160" s="112"/>
      <c r="B160" s="112"/>
      <c r="C160" s="112"/>
      <c r="D160" s="112"/>
      <c r="E160" s="112"/>
      <c r="F160" s="112"/>
      <c r="G160" s="112"/>
      <c r="H160" s="112"/>
      <c r="I160" s="112"/>
      <c r="J160" s="112"/>
      <c r="K160" s="112"/>
      <c r="L160" s="112"/>
      <c r="M160" s="112"/>
      <c r="N160" s="112"/>
      <c r="O160" s="112"/>
      <c r="P160" s="112"/>
      <c r="Q160" s="112"/>
    </row>
    <row r="161" spans="1:20" ht="15" customHeight="1">
      <c r="A161" s="112"/>
      <c r="B161" s="112"/>
      <c r="C161" s="112"/>
      <c r="D161" s="112"/>
      <c r="E161" s="112"/>
      <c r="F161" s="112"/>
      <c r="G161" s="112"/>
      <c r="H161" s="112"/>
      <c r="I161" s="112"/>
      <c r="J161" s="112"/>
      <c r="K161" s="112"/>
      <c r="L161" s="112"/>
      <c r="M161" s="112"/>
      <c r="N161" s="112"/>
      <c r="O161" s="112"/>
      <c r="P161" s="112"/>
      <c r="Q161" s="112"/>
    </row>
    <row r="162" spans="1:20" ht="15" customHeight="1">
      <c r="A162" s="112"/>
      <c r="B162" s="112"/>
      <c r="C162" s="112"/>
      <c r="D162" s="112"/>
      <c r="E162" s="112"/>
      <c r="F162" s="112"/>
      <c r="G162" s="112"/>
      <c r="H162" s="112"/>
      <c r="I162" s="112"/>
      <c r="J162" s="112"/>
      <c r="K162" s="112"/>
      <c r="L162" s="112"/>
      <c r="M162" s="112"/>
      <c r="N162" s="112"/>
      <c r="O162" s="112"/>
      <c r="P162" s="112"/>
      <c r="Q162" s="112"/>
    </row>
    <row r="163" spans="1:20" ht="15" customHeight="1">
      <c r="A163" s="112"/>
      <c r="B163" s="112"/>
      <c r="C163" s="112"/>
      <c r="D163" s="112"/>
      <c r="E163" s="112"/>
      <c r="F163" s="112"/>
      <c r="G163" s="112"/>
      <c r="H163" s="112"/>
      <c r="I163" s="112"/>
      <c r="J163" s="112"/>
      <c r="K163" s="112"/>
      <c r="L163" s="112"/>
      <c r="M163" s="112"/>
      <c r="N163" s="112"/>
      <c r="O163" s="112"/>
      <c r="P163" s="112"/>
      <c r="Q163" s="112"/>
    </row>
    <row r="164" spans="1:20" ht="15" customHeight="1">
      <c r="A164" s="112"/>
      <c r="B164" s="112"/>
      <c r="C164" s="112"/>
      <c r="D164" s="112"/>
      <c r="E164" s="112"/>
      <c r="F164" s="112"/>
      <c r="G164" s="112"/>
      <c r="H164" s="112"/>
      <c r="I164" s="112"/>
      <c r="J164" s="112"/>
      <c r="K164" s="112"/>
      <c r="L164" s="112"/>
      <c r="M164" s="112"/>
      <c r="N164" s="112"/>
      <c r="O164" s="112"/>
      <c r="P164" s="112"/>
      <c r="Q164" s="112"/>
    </row>
    <row r="165" spans="1:20" ht="15" customHeight="1">
      <c r="A165" s="112"/>
      <c r="B165" s="112"/>
      <c r="C165" s="112"/>
      <c r="D165" s="112"/>
      <c r="E165" s="112"/>
      <c r="F165" s="112"/>
      <c r="G165" s="112"/>
      <c r="H165" s="112"/>
      <c r="I165" s="112"/>
      <c r="J165" s="112"/>
      <c r="K165" s="112"/>
      <c r="L165" s="112"/>
      <c r="M165" s="112"/>
      <c r="N165" s="112"/>
      <c r="O165" s="112"/>
      <c r="P165" s="112"/>
      <c r="Q165" s="112"/>
    </row>
    <row r="166" spans="1:20" ht="15" customHeight="1">
      <c r="A166" s="112"/>
      <c r="B166" s="112"/>
      <c r="C166" s="112"/>
      <c r="D166" s="112"/>
      <c r="E166" s="112"/>
      <c r="F166" s="112"/>
      <c r="G166" s="112"/>
      <c r="H166" s="112"/>
      <c r="I166" s="112"/>
      <c r="J166" s="112"/>
      <c r="K166" s="112"/>
      <c r="L166" s="112"/>
      <c r="M166" s="112"/>
      <c r="N166" s="112"/>
      <c r="O166" s="112"/>
      <c r="P166" s="112"/>
      <c r="Q166" s="112"/>
    </row>
    <row r="167" spans="1:20" ht="15" customHeight="1"/>
    <row r="168" spans="1:20" ht="15" customHeight="1"/>
    <row r="169" spans="1:20" ht="15" customHeight="1"/>
    <row r="170" spans="1:20" ht="15" customHeight="1">
      <c r="A170" s="420" t="str">
        <f>"Calibration No.: "&amp;$T$12</f>
        <v>Calibration No.: CAL11957/00</v>
      </c>
      <c r="B170" s="421"/>
      <c r="C170" s="421"/>
      <c r="D170" s="421"/>
      <c r="E170" s="421"/>
      <c r="F170" s="421"/>
      <c r="G170" s="421"/>
      <c r="H170" s="421"/>
      <c r="I170" s="422" t="str">
        <f>$G$32</f>
        <v>0</v>
      </c>
      <c r="J170" s="421"/>
      <c r="K170" s="421"/>
      <c r="L170" s="421"/>
      <c r="M170" s="421"/>
      <c r="N170" s="420" t="s">
        <v>360</v>
      </c>
      <c r="O170" s="423"/>
      <c r="P170" s="423"/>
      <c r="Q170" s="423"/>
      <c r="R170" s="423"/>
      <c r="S170" s="423"/>
      <c r="T170" s="423" t="s">
        <v>782</v>
      </c>
    </row>
    <row r="171" spans="1:20" ht="15" customHeight="1">
      <c r="A171" s="122"/>
      <c r="B171" s="120"/>
      <c r="C171" s="120"/>
      <c r="D171" s="120"/>
      <c r="E171" s="120"/>
      <c r="F171" s="120"/>
      <c r="G171" s="120"/>
      <c r="H171" s="120"/>
      <c r="I171" s="121"/>
      <c r="J171" s="120"/>
      <c r="K171" s="120"/>
      <c r="L171" s="120"/>
      <c r="M171" s="120"/>
      <c r="N171" s="122"/>
      <c r="O171" s="123"/>
      <c r="P171" s="123"/>
      <c r="Q171" s="123"/>
      <c r="R171" s="123"/>
      <c r="S171" s="123"/>
      <c r="T171" s="123"/>
    </row>
    <row r="172" spans="1:20" ht="15" customHeight="1">
      <c r="A172" s="122"/>
      <c r="B172" s="120"/>
      <c r="C172" s="120"/>
      <c r="D172" s="120"/>
      <c r="E172" s="120"/>
      <c r="F172" s="120"/>
      <c r="G172" s="120"/>
      <c r="H172" s="120"/>
      <c r="I172" s="121"/>
      <c r="J172" s="120"/>
      <c r="K172" s="120"/>
      <c r="L172" s="120"/>
      <c r="M172" s="120"/>
      <c r="N172" s="122"/>
      <c r="O172" s="123"/>
      <c r="P172" s="123"/>
      <c r="Q172" s="123"/>
      <c r="R172" s="123"/>
      <c r="S172" s="123"/>
      <c r="T172" s="123"/>
    </row>
    <row r="173" spans="1:20" ht="15" customHeight="1">
      <c r="A173" s="122"/>
      <c r="B173" s="120"/>
      <c r="C173" s="120"/>
      <c r="D173" s="120"/>
      <c r="E173" s="120"/>
      <c r="F173" s="120"/>
      <c r="G173" s="120"/>
      <c r="H173" s="120"/>
      <c r="I173" s="121"/>
      <c r="J173" s="120"/>
      <c r="K173" s="120"/>
      <c r="L173" s="120"/>
      <c r="M173" s="120"/>
      <c r="N173" s="122"/>
      <c r="O173" s="123"/>
      <c r="P173" s="123"/>
      <c r="Q173" s="123"/>
      <c r="R173" s="123"/>
      <c r="S173" s="123"/>
      <c r="T173" s="123"/>
    </row>
    <row r="174" spans="1:20" ht="15" customHeight="1">
      <c r="A174" s="122"/>
      <c r="B174" s="120"/>
      <c r="C174" s="120"/>
      <c r="D174" s="120"/>
      <c r="E174" s="120"/>
      <c r="F174" s="120"/>
      <c r="G174" s="120"/>
      <c r="H174" s="120"/>
      <c r="I174" s="121"/>
      <c r="J174" s="120"/>
      <c r="K174" s="120"/>
      <c r="L174" s="120"/>
      <c r="M174" s="120"/>
      <c r="N174" s="122"/>
      <c r="O174" s="123"/>
      <c r="P174" s="123"/>
      <c r="Q174" s="123"/>
      <c r="R174" s="123"/>
      <c r="S174" s="123"/>
      <c r="T174" s="123"/>
    </row>
    <row r="175" spans="1:20" ht="15" customHeight="1">
      <c r="A175" s="122"/>
      <c r="B175" s="120"/>
      <c r="C175" s="120"/>
      <c r="D175" s="120"/>
      <c r="E175" s="120"/>
      <c r="F175" s="120"/>
      <c r="G175" s="120"/>
      <c r="H175" s="120"/>
      <c r="I175" s="121"/>
      <c r="J175" s="120"/>
      <c r="K175" s="120"/>
      <c r="L175" s="120"/>
      <c r="M175" s="120"/>
      <c r="N175" s="122"/>
      <c r="O175" s="123"/>
      <c r="P175" s="123"/>
      <c r="Q175" s="123"/>
      <c r="R175" s="123"/>
      <c r="S175" s="123"/>
      <c r="T175" s="123"/>
    </row>
    <row r="176" spans="1:20" ht="31.5" customHeight="1">
      <c r="A176" s="1148" t="s">
        <v>872</v>
      </c>
      <c r="B176" s="1148"/>
      <c r="C176" s="1148"/>
      <c r="D176" s="1148"/>
      <c r="E176" s="1148"/>
      <c r="F176" s="1148"/>
      <c r="G176" s="1148"/>
      <c r="H176" s="1148"/>
      <c r="I176" s="1148"/>
      <c r="J176" s="1148"/>
      <c r="K176" s="1148"/>
      <c r="L176" s="1148"/>
      <c r="M176" s="1148"/>
      <c r="N176" s="1148"/>
      <c r="O176" s="1148"/>
      <c r="P176" s="1148"/>
      <c r="Q176" s="1148"/>
      <c r="R176" s="1148"/>
      <c r="S176" s="1148"/>
      <c r="T176" s="1148"/>
    </row>
    <row r="177" spans="1:20" ht="15" customHeight="1">
      <c r="A177" s="122"/>
      <c r="B177" s="120"/>
      <c r="C177" s="120"/>
      <c r="D177" s="120"/>
      <c r="E177" s="120"/>
      <c r="F177" s="120"/>
      <c r="G177" s="120"/>
      <c r="H177" s="120"/>
      <c r="I177" s="121"/>
      <c r="J177" s="120"/>
      <c r="K177" s="120"/>
      <c r="L177" s="120"/>
      <c r="M177" s="120"/>
      <c r="N177" s="122"/>
      <c r="O177" s="123"/>
      <c r="P177" s="123"/>
      <c r="Q177" s="123"/>
      <c r="R177" s="123"/>
      <c r="S177" s="123"/>
      <c r="T177" s="123"/>
    </row>
    <row r="178" spans="1:20" ht="18" customHeight="1">
      <c r="A178" s="465" t="s">
        <v>2</v>
      </c>
      <c r="B178" s="465"/>
      <c r="C178" s="120"/>
      <c r="D178" s="120"/>
      <c r="E178" s="120"/>
      <c r="F178" s="120"/>
      <c r="G178" s="1214" t="str">
        <f>G19</f>
        <v>De-identified for distribution</v>
      </c>
      <c r="H178" s="1215"/>
      <c r="I178" s="1215"/>
      <c r="J178" s="1215"/>
      <c r="K178" s="1215"/>
      <c r="L178" s="1215"/>
      <c r="M178" s="1215"/>
      <c r="N178" s="1215"/>
      <c r="O178" s="1215"/>
      <c r="P178" s="1215"/>
      <c r="Q178" s="1215"/>
      <c r="R178" s="1215"/>
      <c r="S178" s="1215"/>
      <c r="T178" s="123"/>
    </row>
    <row r="179" spans="1:20" ht="18" customHeight="1">
      <c r="A179" s="465" t="s">
        <v>1311</v>
      </c>
      <c r="B179" s="465"/>
      <c r="C179" s="465"/>
      <c r="D179" s="465"/>
      <c r="E179" s="465"/>
      <c r="F179" s="465"/>
      <c r="G179" s="466" t="str">
        <f>G24</f>
        <v>IBA FC65-G, serial number 457</v>
      </c>
      <c r="H179" s="466"/>
      <c r="I179" s="466"/>
      <c r="J179" s="466"/>
      <c r="K179" s="466"/>
      <c r="L179" s="466"/>
      <c r="M179" s="460"/>
      <c r="N179" s="459"/>
      <c r="O179" s="462"/>
      <c r="P179" s="462"/>
      <c r="Q179" s="462"/>
      <c r="R179" s="462"/>
      <c r="S179" s="462"/>
      <c r="T179" s="123"/>
    </row>
    <row r="180" spans="1:20" ht="18" customHeight="1">
      <c r="A180" s="466" t="s">
        <v>1327</v>
      </c>
      <c r="B180" s="466"/>
      <c r="C180" s="466"/>
      <c r="D180" s="466"/>
      <c r="E180" s="120"/>
      <c r="F180" s="120"/>
      <c r="G180" s="165" t="str">
        <f>Client!B31&amp;" V on the guard electrode"</f>
        <v>-242 V on the guard electrode</v>
      </c>
      <c r="H180" s="460"/>
      <c r="I180" s="461"/>
      <c r="J180" s="460"/>
      <c r="K180" s="460"/>
      <c r="L180" s="460"/>
      <c r="M180" s="460"/>
      <c r="N180" s="459"/>
      <c r="O180" s="462"/>
      <c r="P180" s="462"/>
      <c r="Q180" s="462"/>
      <c r="R180" s="462"/>
      <c r="S180" s="462"/>
      <c r="T180" s="123"/>
    </row>
    <row r="181" spans="1:20" ht="18" customHeight="1">
      <c r="A181" s="466" t="s">
        <v>373</v>
      </c>
      <c r="B181" s="466"/>
      <c r="C181" s="466"/>
      <c r="D181" s="466"/>
      <c r="E181" s="466"/>
      <c r="F181" s="120"/>
      <c r="G181" s="165" t="str">
        <f>Client!Q13</f>
        <v>Positive (Central Electrode Negative)</v>
      </c>
      <c r="H181" s="460"/>
      <c r="I181" s="461"/>
      <c r="J181" s="460"/>
      <c r="K181" s="460"/>
      <c r="L181" s="460"/>
      <c r="M181" s="460"/>
      <c r="N181" s="459"/>
      <c r="O181" s="462"/>
      <c r="P181" s="462"/>
      <c r="Q181" s="462"/>
      <c r="R181" s="462"/>
      <c r="S181" s="462"/>
      <c r="T181" s="123"/>
    </row>
    <row r="182" spans="1:20" ht="18" customHeight="1">
      <c r="A182" s="466" t="s">
        <v>332</v>
      </c>
      <c r="B182" s="466"/>
      <c r="C182" s="466"/>
      <c r="D182" s="466"/>
      <c r="E182" s="120"/>
      <c r="F182" s="120"/>
      <c r="G182" s="460" t="s">
        <v>873</v>
      </c>
      <c r="H182" s="460"/>
      <c r="I182" s="461"/>
      <c r="J182" s="460"/>
      <c r="K182" s="460"/>
      <c r="L182" s="460"/>
      <c r="M182" s="460"/>
      <c r="N182" s="459"/>
      <c r="O182" s="462"/>
      <c r="P182" s="462"/>
      <c r="Q182" s="462"/>
      <c r="R182" s="462"/>
      <c r="S182" s="462"/>
      <c r="T182" s="123"/>
    </row>
    <row r="183" spans="1:20" ht="18" customHeight="1">
      <c r="A183" s="466"/>
      <c r="B183" s="466"/>
      <c r="C183" s="460"/>
      <c r="D183" s="460"/>
      <c r="E183" s="460"/>
      <c r="F183" s="460"/>
      <c r="G183" s="460" t="s">
        <v>874</v>
      </c>
      <c r="H183" s="460"/>
      <c r="I183" s="463"/>
      <c r="J183" s="460"/>
      <c r="K183" s="460"/>
      <c r="L183" s="460"/>
      <c r="M183" s="460"/>
      <c r="N183" s="460"/>
      <c r="O183" s="464"/>
      <c r="P183" s="464"/>
      <c r="Q183" s="464"/>
      <c r="R183" s="464"/>
      <c r="S183" s="464"/>
      <c r="T183" s="464"/>
    </row>
    <row r="184" spans="1:20" ht="18" customHeight="1">
      <c r="A184" s="466" t="s">
        <v>374</v>
      </c>
      <c r="B184" s="466"/>
      <c r="C184" s="460"/>
      <c r="D184" s="460"/>
      <c r="E184" s="460"/>
      <c r="F184" s="460"/>
      <c r="G184" s="460" t="s">
        <v>875</v>
      </c>
      <c r="H184" s="460"/>
      <c r="I184" s="463"/>
      <c r="J184" s="460"/>
      <c r="K184" s="460"/>
      <c r="L184" s="460"/>
      <c r="M184" s="460"/>
      <c r="N184" s="460"/>
      <c r="O184" s="464"/>
      <c r="P184" s="464"/>
      <c r="Q184" s="464"/>
      <c r="R184" s="464"/>
      <c r="S184" s="464"/>
      <c r="T184" s="464"/>
    </row>
    <row r="185" spans="1:20" ht="18" customHeight="1">
      <c r="A185" s="460"/>
      <c r="B185" s="460"/>
      <c r="C185" s="460"/>
      <c r="D185" s="460"/>
      <c r="E185" s="460"/>
      <c r="F185" s="460"/>
      <c r="G185" s="460" t="s">
        <v>864</v>
      </c>
      <c r="H185" s="460"/>
      <c r="I185" s="463"/>
      <c r="J185" s="460"/>
      <c r="K185" s="460"/>
      <c r="L185" s="460"/>
      <c r="M185" s="460"/>
      <c r="N185" s="460"/>
      <c r="O185" s="464"/>
      <c r="P185" s="464"/>
      <c r="Q185" s="464"/>
      <c r="R185" s="464"/>
      <c r="S185" s="464"/>
      <c r="T185" s="464"/>
    </row>
    <row r="186" spans="1:20" ht="18" customHeight="1">
      <c r="A186" s="460"/>
      <c r="B186" s="460"/>
      <c r="C186" s="460"/>
      <c r="D186" s="460"/>
      <c r="E186" s="460"/>
      <c r="F186" s="460"/>
      <c r="G186" s="460" t="s">
        <v>377</v>
      </c>
      <c r="H186" s="460"/>
      <c r="I186" s="463"/>
      <c r="J186" s="460"/>
      <c r="K186" s="460"/>
      <c r="L186" s="460"/>
      <c r="M186" s="460"/>
      <c r="N186" s="460"/>
      <c r="O186" s="464"/>
      <c r="P186" s="464"/>
      <c r="Q186" s="464"/>
      <c r="R186" s="464"/>
      <c r="S186" s="464"/>
      <c r="T186" s="464"/>
    </row>
    <row r="187" spans="1:20" ht="18" customHeight="1">
      <c r="A187" s="460"/>
      <c r="B187" s="460"/>
      <c r="C187" s="460"/>
      <c r="D187" s="460"/>
      <c r="E187" s="460"/>
      <c r="F187" s="460"/>
      <c r="G187" s="460" t="s">
        <v>1294</v>
      </c>
      <c r="H187" s="460"/>
      <c r="I187" s="463"/>
      <c r="J187" s="460"/>
      <c r="K187" s="460"/>
      <c r="L187" s="460"/>
      <c r="M187" s="460"/>
      <c r="N187" s="460"/>
      <c r="O187" s="464"/>
      <c r="P187" s="464"/>
      <c r="Q187" s="464"/>
      <c r="R187" s="464"/>
      <c r="S187" s="464"/>
      <c r="T187" s="464"/>
    </row>
    <row r="188" spans="1:20" ht="18" customHeight="1">
      <c r="A188" s="460"/>
      <c r="B188" s="460"/>
      <c r="C188" s="460"/>
      <c r="D188" s="460"/>
      <c r="E188" s="460"/>
      <c r="F188" s="460"/>
      <c r="G188" s="460" t="s">
        <v>876</v>
      </c>
      <c r="H188" s="460"/>
      <c r="I188" s="463"/>
      <c r="J188" s="460"/>
      <c r="K188" s="460"/>
      <c r="L188" s="460"/>
      <c r="M188" s="460"/>
      <c r="N188" s="460"/>
      <c r="O188" s="464"/>
      <c r="P188" s="464"/>
      <c r="Q188" s="464"/>
      <c r="R188" s="464"/>
      <c r="S188" s="464"/>
      <c r="T188" s="464"/>
    </row>
    <row r="189" spans="1:20" ht="18" customHeight="1">
      <c r="A189" s="460" t="s">
        <v>877</v>
      </c>
      <c r="B189" s="460"/>
      <c r="C189" s="460"/>
      <c r="D189" s="460"/>
      <c r="E189" s="460"/>
      <c r="F189" s="460"/>
      <c r="G189" s="460" t="str">
        <f ca="1">Client!T6&amp;" build up cap as supplied"</f>
        <v>Delrin build up cap as supplied</v>
      </c>
      <c r="H189" s="460"/>
      <c r="I189" s="463"/>
      <c r="J189" s="460"/>
      <c r="K189" s="460"/>
      <c r="L189" s="460"/>
      <c r="M189" s="460"/>
      <c r="N189" s="460"/>
      <c r="O189" s="464"/>
      <c r="P189" s="464"/>
      <c r="Q189" s="464"/>
      <c r="R189" s="464"/>
      <c r="S189" s="464"/>
      <c r="T189" s="464"/>
    </row>
    <row r="190" spans="1:20" ht="18" customHeight="1">
      <c r="A190" s="460" t="s">
        <v>382</v>
      </c>
      <c r="B190" s="460"/>
      <c r="C190" s="460"/>
      <c r="D190" s="460"/>
      <c r="E190" s="460"/>
      <c r="F190" s="460"/>
      <c r="G190" s="460" t="s">
        <v>383</v>
      </c>
      <c r="H190" s="460"/>
      <c r="I190" s="463"/>
      <c r="J190" s="460"/>
      <c r="K190" s="460"/>
      <c r="L190" s="460"/>
      <c r="M190" s="460"/>
      <c r="N190" s="460"/>
      <c r="O190" s="464"/>
      <c r="P190" s="464"/>
      <c r="Q190" s="464"/>
      <c r="R190" s="464"/>
      <c r="S190" s="464"/>
      <c r="T190" s="464"/>
    </row>
    <row r="191" spans="1:20" ht="18" customHeight="1">
      <c r="A191" s="460" t="s">
        <v>384</v>
      </c>
      <c r="B191" s="460"/>
      <c r="C191" s="460"/>
      <c r="D191" s="460"/>
      <c r="E191" s="460"/>
      <c r="F191" s="460"/>
      <c r="G191" s="165" t="s">
        <v>385</v>
      </c>
      <c r="H191" s="460"/>
      <c r="I191" s="463"/>
      <c r="J191" s="460"/>
      <c r="K191" s="460"/>
      <c r="L191" s="460"/>
      <c r="M191" s="460"/>
      <c r="N191" s="460"/>
      <c r="O191" s="464"/>
      <c r="P191" s="464"/>
      <c r="Q191" s="464"/>
      <c r="R191" s="464"/>
      <c r="S191" s="464"/>
      <c r="T191" s="464"/>
    </row>
    <row r="192" spans="1:20" ht="18" customHeight="1">
      <c r="A192" s="165" t="s">
        <v>386</v>
      </c>
      <c r="B192" s="460"/>
      <c r="C192" s="460"/>
      <c r="D192" s="460"/>
      <c r="E192" s="460"/>
      <c r="F192" s="460"/>
      <c r="G192" s="165" t="str" cm="1">
        <f t="array" ref="G192">make_Date_range(Co!Q10,Co!R10)</f>
        <v>0</v>
      </c>
      <c r="H192" s="460"/>
      <c r="I192" s="463"/>
      <c r="J192" s="460"/>
      <c r="K192" s="460"/>
      <c r="L192" s="460"/>
      <c r="M192" s="460"/>
      <c r="N192" s="460"/>
      <c r="O192" s="464"/>
      <c r="P192" s="464"/>
      <c r="Q192" s="464"/>
      <c r="R192" s="464"/>
      <c r="S192" s="464"/>
      <c r="T192" s="464"/>
    </row>
    <row r="193" spans="1:20" ht="18" customHeight="1">
      <c r="A193" s="163" t="s">
        <v>387</v>
      </c>
      <c r="B193" s="460"/>
      <c r="C193" s="460"/>
      <c r="D193" s="460"/>
      <c r="E193" s="460"/>
      <c r="F193" s="460"/>
      <c r="G193" s="460"/>
      <c r="H193" s="460"/>
      <c r="I193" s="463"/>
      <c r="J193" s="460"/>
      <c r="K193" s="460"/>
      <c r="L193" s="460"/>
      <c r="M193" s="460"/>
      <c r="N193" s="460"/>
      <c r="O193" s="464"/>
      <c r="P193" s="464"/>
      <c r="Q193" s="464"/>
      <c r="R193" s="464"/>
      <c r="S193" s="464"/>
      <c r="T193" s="464"/>
    </row>
    <row r="194" spans="1:20" ht="18" customHeight="1">
      <c r="A194" s="460"/>
      <c r="B194" s="460"/>
      <c r="C194" s="460"/>
      <c r="D194" s="460"/>
      <c r="E194" s="460"/>
      <c r="F194" s="460"/>
      <c r="G194" s="460"/>
      <c r="H194" s="460"/>
      <c r="I194" s="463"/>
      <c r="J194" s="460"/>
      <c r="K194" s="460"/>
      <c r="L194" s="460"/>
      <c r="M194" s="460"/>
      <c r="N194" s="460"/>
      <c r="O194" s="464"/>
      <c r="P194" s="464"/>
      <c r="Q194" s="464"/>
      <c r="R194" s="464"/>
      <c r="S194" s="464"/>
      <c r="T194" s="464"/>
    </row>
    <row r="195" spans="1:20" ht="18" customHeight="1">
      <c r="A195" s="460"/>
      <c r="B195" s="460"/>
      <c r="C195" s="460"/>
      <c r="D195" s="460"/>
      <c r="E195" s="460"/>
      <c r="F195" s="460"/>
      <c r="G195" s="460"/>
      <c r="H195" s="460"/>
      <c r="I195" s="463"/>
      <c r="J195" s="460"/>
      <c r="K195" s="460"/>
      <c r="L195" s="460"/>
      <c r="M195" s="460"/>
      <c r="N195" s="460"/>
      <c r="O195" s="464"/>
      <c r="P195" s="464"/>
      <c r="Q195" s="464"/>
      <c r="R195" s="464"/>
      <c r="S195" s="464"/>
      <c r="T195" s="464"/>
    </row>
    <row r="196" spans="1:20" ht="15" customHeight="1">
      <c r="A196" s="460"/>
      <c r="B196" s="460"/>
      <c r="C196" s="460"/>
      <c r="D196" s="460"/>
      <c r="E196" s="460"/>
      <c r="F196" s="460"/>
      <c r="G196" s="460"/>
      <c r="H196" s="460"/>
      <c r="I196" s="463"/>
      <c r="J196" s="460"/>
      <c r="K196" s="460"/>
      <c r="L196" s="460"/>
      <c r="M196" s="460"/>
      <c r="N196" s="460"/>
      <c r="O196" s="464"/>
      <c r="P196" s="464"/>
      <c r="Q196" s="464"/>
      <c r="R196" s="464"/>
      <c r="S196" s="464"/>
      <c r="T196" s="464"/>
    </row>
    <row r="197" spans="1:20" ht="19.5" customHeight="1">
      <c r="A197" s="460"/>
      <c r="B197" s="460"/>
      <c r="C197" s="460"/>
      <c r="D197" s="460"/>
      <c r="E197" s="460"/>
      <c r="F197" s="460"/>
      <c r="G197" s="460"/>
      <c r="H197" s="460"/>
      <c r="I197" s="161" t="s">
        <v>881</v>
      </c>
      <c r="J197" s="460"/>
      <c r="K197" s="460"/>
      <c r="L197" s="460"/>
      <c r="M197" s="460"/>
      <c r="N197" s="460"/>
      <c r="O197" s="464"/>
      <c r="P197" s="464"/>
      <c r="Q197" s="464"/>
      <c r="R197" s="464"/>
      <c r="S197" s="464"/>
      <c r="T197" s="464"/>
    </row>
    <row r="198" spans="1:20" ht="48" customHeight="1">
      <c r="A198" s="1216" t="s">
        <v>532</v>
      </c>
      <c r="B198" s="1217"/>
      <c r="C198" s="1217"/>
      <c r="D198" s="1217"/>
      <c r="E198" s="1087" t="s">
        <v>1265</v>
      </c>
      <c r="F198" s="1088"/>
      <c r="G198" s="1088"/>
      <c r="H198" s="1089"/>
      <c r="I198" s="1087" t="s">
        <v>883</v>
      </c>
      <c r="J198" s="1088"/>
      <c r="K198" s="1088"/>
      <c r="L198" s="1089"/>
      <c r="M198" s="1087" t="s">
        <v>1266</v>
      </c>
      <c r="N198" s="1088"/>
      <c r="O198" s="1088"/>
      <c r="P198" s="1089"/>
      <c r="Q198" s="1087" t="s">
        <v>1267</v>
      </c>
      <c r="R198" s="1088"/>
      <c r="S198" s="1088"/>
      <c r="T198" s="1089"/>
    </row>
    <row r="199" spans="1:20" ht="18.75" customHeight="1">
      <c r="A199" s="1209"/>
      <c r="B199" s="1210"/>
      <c r="C199" s="1210"/>
      <c r="D199" s="1211"/>
      <c r="E199" s="1209" t="s">
        <v>1250</v>
      </c>
      <c r="F199" s="1210"/>
      <c r="G199" s="1210"/>
      <c r="H199" s="1211"/>
      <c r="I199" s="1209" t="s">
        <v>63</v>
      </c>
      <c r="J199" s="1210"/>
      <c r="K199" s="1210"/>
      <c r="L199" s="1211"/>
      <c r="M199" s="1209" t="s">
        <v>7</v>
      </c>
      <c r="N199" s="1210"/>
      <c r="O199" s="1210"/>
      <c r="P199" s="1211"/>
      <c r="Q199" s="1209" t="s">
        <v>140</v>
      </c>
      <c r="R199" s="1210"/>
      <c r="S199" s="1210"/>
      <c r="T199" s="1211"/>
    </row>
    <row r="200" spans="1:20" ht="47.25" customHeight="1">
      <c r="A200" s="1177" t="s">
        <v>882</v>
      </c>
      <c r="B200" s="1178"/>
      <c r="C200" s="1178"/>
      <c r="D200" s="1178"/>
      <c r="E200" s="1177">
        <v>1250</v>
      </c>
      <c r="F200" s="1178"/>
      <c r="G200" s="1178"/>
      <c r="H200" s="1179"/>
      <c r="I200" s="1149">
        <f>Co!N38</f>
        <v>0</v>
      </c>
      <c r="J200" s="1149"/>
      <c r="K200" s="1149"/>
      <c r="L200" s="1149"/>
      <c r="M200" s="1180">
        <f>Co!D18</f>
        <v>0</v>
      </c>
      <c r="N200" s="1180"/>
      <c r="O200" s="1180"/>
      <c r="P200" s="1180"/>
      <c r="Q200" s="1138">
        <v>1</v>
      </c>
      <c r="R200" s="1138"/>
      <c r="S200" s="1138"/>
      <c r="T200" s="1139"/>
    </row>
    <row r="201" spans="1:20" ht="18" customHeight="1">
      <c r="A201" s="122" t="s">
        <v>1162</v>
      </c>
      <c r="B201" s="120"/>
      <c r="C201" s="120"/>
      <c r="D201" s="120"/>
      <c r="E201" s="120"/>
      <c r="F201" s="120"/>
      <c r="G201" s="120"/>
      <c r="H201" s="460"/>
      <c r="I201" s="463"/>
      <c r="J201" s="460"/>
      <c r="K201" s="460"/>
      <c r="L201" s="460"/>
      <c r="M201" s="460"/>
      <c r="N201" s="460"/>
      <c r="O201" s="464"/>
      <c r="P201" s="464"/>
      <c r="Q201" s="464"/>
      <c r="R201" s="464"/>
      <c r="S201" s="464"/>
      <c r="T201" s="464"/>
    </row>
    <row r="202" spans="1:20" ht="15" customHeight="1">
      <c r="A202" s="122" t="s">
        <v>1163</v>
      </c>
      <c r="B202" s="120"/>
      <c r="C202" s="120"/>
      <c r="D202" s="120"/>
      <c r="E202" s="120"/>
      <c r="F202" s="120"/>
      <c r="G202" s="120"/>
      <c r="H202" s="460"/>
      <c r="I202" s="463"/>
      <c r="J202" s="460"/>
      <c r="K202" s="460"/>
      <c r="L202" s="460"/>
      <c r="M202" s="460"/>
      <c r="N202" s="460"/>
      <c r="O202" s="464"/>
      <c r="P202" s="464"/>
      <c r="Q202" s="464"/>
      <c r="R202" s="464"/>
      <c r="S202" s="464"/>
      <c r="T202" s="464"/>
    </row>
    <row r="203" spans="1:20" ht="15" customHeight="1">
      <c r="A203" s="122" t="s">
        <v>1164</v>
      </c>
      <c r="B203" s="120"/>
      <c r="C203" s="120"/>
      <c r="D203" s="120"/>
      <c r="E203" s="120"/>
      <c r="F203" s="120"/>
      <c r="G203" s="120"/>
      <c r="H203" s="460"/>
      <c r="I203" s="463"/>
      <c r="J203" s="460"/>
      <c r="K203" s="460"/>
      <c r="L203" s="460"/>
      <c r="M203" s="460"/>
      <c r="N203" s="460"/>
      <c r="O203" s="464"/>
      <c r="P203" s="464"/>
      <c r="Q203" s="464"/>
      <c r="R203" s="464"/>
      <c r="S203" s="464"/>
      <c r="T203" s="464"/>
    </row>
    <row r="204" spans="1:20" ht="15" customHeight="1">
      <c r="A204" s="460"/>
      <c r="B204" s="460"/>
      <c r="C204" s="460"/>
      <c r="D204" s="460"/>
      <c r="E204" s="460"/>
      <c r="F204" s="460"/>
      <c r="G204" s="460"/>
      <c r="H204" s="460"/>
      <c r="I204" s="463"/>
      <c r="J204" s="460"/>
      <c r="K204" s="460"/>
      <c r="L204" s="460"/>
      <c r="M204" s="460"/>
      <c r="N204" s="460"/>
      <c r="O204" s="464"/>
      <c r="P204" s="464"/>
      <c r="Q204" s="464"/>
      <c r="R204" s="464"/>
      <c r="S204" s="464"/>
      <c r="T204" s="464"/>
    </row>
    <row r="205" spans="1:20" ht="15" customHeight="1">
      <c r="A205" s="122"/>
      <c r="B205" s="120"/>
      <c r="C205" s="120"/>
      <c r="D205" s="120"/>
      <c r="E205" s="120"/>
      <c r="F205" s="120"/>
      <c r="G205" s="120"/>
      <c r="H205" s="120"/>
      <c r="I205" s="121"/>
      <c r="J205" s="120"/>
      <c r="T205" s="123"/>
    </row>
    <row r="206" spans="1:20" ht="15" customHeight="1">
      <c r="A206" s="122"/>
      <c r="B206" s="120"/>
      <c r="C206" s="120"/>
      <c r="D206" s="120"/>
      <c r="E206" s="120"/>
      <c r="F206" s="120"/>
      <c r="G206" s="120"/>
      <c r="H206" s="120"/>
      <c r="I206" s="121"/>
      <c r="J206" s="120"/>
      <c r="K206" s="177"/>
      <c r="L206" s="177"/>
      <c r="M206" s="177"/>
      <c r="N206" s="177"/>
      <c r="O206" s="177"/>
      <c r="P206" s="177"/>
      <c r="Q206" s="137"/>
      <c r="R206" s="39"/>
      <c r="S206" s="123"/>
      <c r="T206" s="123"/>
    </row>
    <row r="207" spans="1:20" ht="15" customHeight="1">
      <c r="A207" s="122"/>
      <c r="B207" s="120"/>
      <c r="C207" s="120"/>
      <c r="D207" s="120"/>
      <c r="E207" s="120"/>
      <c r="F207" s="120"/>
      <c r="G207" s="120"/>
      <c r="H207" s="120"/>
      <c r="I207" s="121"/>
      <c r="J207" s="120"/>
      <c r="K207" s="467" t="str">
        <f>"Calibrated by "&amp;Client!B42</f>
        <v xml:space="preserve">Calibrated by </v>
      </c>
      <c r="L207" s="468"/>
      <c r="M207" s="468"/>
      <c r="N207" s="469"/>
      <c r="O207" s="470"/>
      <c r="P207" s="470"/>
      <c r="Q207" s="470"/>
      <c r="R207" s="470"/>
      <c r="S207" s="470"/>
      <c r="T207" s="123"/>
    </row>
    <row r="208" spans="1:20" ht="15" customHeight="1">
      <c r="A208" s="122"/>
      <c r="B208" s="120"/>
      <c r="C208" s="120"/>
      <c r="D208" s="120"/>
      <c r="E208" s="120"/>
      <c r="F208" s="120"/>
      <c r="G208" s="120"/>
      <c r="H208" s="120"/>
      <c r="I208" s="121"/>
      <c r="J208" s="120"/>
      <c r="K208" s="120"/>
      <c r="L208" s="120"/>
      <c r="M208" s="120"/>
      <c r="N208" s="122"/>
      <c r="O208" s="123"/>
      <c r="P208" s="123"/>
      <c r="Q208" s="123"/>
      <c r="R208" s="123"/>
      <c r="S208" s="123"/>
      <c r="T208" s="123"/>
    </row>
    <row r="209" spans="1:20" ht="15" customHeight="1">
      <c r="A209" s="122"/>
      <c r="B209" s="120"/>
      <c r="C209" s="120"/>
      <c r="D209" s="120"/>
      <c r="E209" s="120"/>
      <c r="F209" s="120"/>
      <c r="G209" s="120"/>
      <c r="H209" s="120"/>
      <c r="I209" s="121"/>
      <c r="J209" s="120"/>
      <c r="K209" s="120"/>
      <c r="L209" s="120"/>
      <c r="M209" s="120"/>
      <c r="N209" s="122"/>
      <c r="O209" s="123"/>
      <c r="P209" s="123"/>
      <c r="Q209" s="123"/>
      <c r="R209" s="123"/>
      <c r="S209" s="123"/>
      <c r="T209" s="123"/>
    </row>
    <row r="210" spans="1:20" ht="15" customHeight="1">
      <c r="A210" s="122"/>
      <c r="B210" s="120"/>
      <c r="C210" s="120"/>
      <c r="D210" s="120"/>
      <c r="E210" s="120"/>
      <c r="F210" s="120"/>
      <c r="G210" s="120"/>
      <c r="H210" s="120"/>
      <c r="I210" s="121"/>
      <c r="J210" s="120"/>
      <c r="K210" s="120"/>
      <c r="L210" s="120"/>
      <c r="M210" s="120"/>
      <c r="N210" s="122"/>
      <c r="O210" s="123"/>
      <c r="P210" s="123"/>
      <c r="Q210" s="123"/>
      <c r="R210" s="123"/>
      <c r="S210" s="123"/>
      <c r="T210" s="123"/>
    </row>
    <row r="211" spans="1:20" ht="15" customHeight="1">
      <c r="A211" s="122"/>
      <c r="B211" s="120"/>
      <c r="C211" s="120"/>
      <c r="D211" s="120"/>
      <c r="E211" s="120"/>
      <c r="F211" s="120"/>
      <c r="G211" s="120"/>
      <c r="H211" s="120"/>
      <c r="I211" s="121"/>
      <c r="J211" s="120"/>
      <c r="K211" s="120"/>
      <c r="L211" s="120"/>
      <c r="M211" s="120"/>
      <c r="N211" s="122"/>
      <c r="O211" s="123"/>
      <c r="P211" s="123"/>
      <c r="Q211" s="123"/>
      <c r="R211" s="123"/>
      <c r="S211" s="123"/>
      <c r="T211" s="123"/>
    </row>
    <row r="212" spans="1:20" ht="15" customHeight="1">
      <c r="A212" s="122"/>
      <c r="B212" s="120"/>
      <c r="C212" s="120"/>
      <c r="D212" s="120"/>
      <c r="E212" s="120"/>
      <c r="F212" s="120"/>
      <c r="G212" s="120"/>
      <c r="H212" s="120"/>
      <c r="I212" s="121"/>
      <c r="J212" s="120"/>
      <c r="K212" s="120"/>
      <c r="L212" s="120"/>
      <c r="M212" s="120"/>
      <c r="N212" s="122"/>
      <c r="O212" s="123"/>
      <c r="P212" s="123"/>
      <c r="Q212" s="123"/>
      <c r="R212" s="123"/>
      <c r="S212" s="123"/>
      <c r="T212" s="123"/>
    </row>
    <row r="213" spans="1:20" ht="15" customHeight="1">
      <c r="A213" s="122"/>
      <c r="B213" s="120"/>
      <c r="C213" s="120"/>
      <c r="D213" s="120"/>
      <c r="E213" s="120"/>
      <c r="F213" s="120"/>
      <c r="G213" s="120"/>
      <c r="H213" s="120"/>
      <c r="I213" s="121"/>
      <c r="J213" s="120"/>
      <c r="K213" s="120"/>
      <c r="L213" s="120"/>
      <c r="M213" s="120"/>
      <c r="N213" s="122"/>
      <c r="O213" s="123"/>
      <c r="P213" s="123"/>
      <c r="Q213" s="123"/>
      <c r="R213" s="123"/>
      <c r="S213" s="123"/>
      <c r="T213" s="123"/>
    </row>
    <row r="214" spans="1:20" ht="15" customHeight="1">
      <c r="A214" s="420" t="str">
        <f>"Calibration No.: "&amp;$T$12</f>
        <v>Calibration No.: CAL11957/00</v>
      </c>
      <c r="B214" s="421"/>
      <c r="C214" s="421"/>
      <c r="D214" s="421"/>
      <c r="E214" s="421"/>
      <c r="F214" s="421"/>
      <c r="G214" s="421"/>
      <c r="H214" s="421"/>
      <c r="I214" s="422" t="str">
        <f>$G$32</f>
        <v>0</v>
      </c>
      <c r="J214" s="421"/>
      <c r="K214" s="421"/>
      <c r="L214" s="421"/>
      <c r="M214" s="421"/>
      <c r="N214" s="420" t="s">
        <v>360</v>
      </c>
      <c r="O214" s="423"/>
      <c r="P214" s="423"/>
      <c r="Q214" s="423"/>
      <c r="R214" s="423"/>
      <c r="S214" s="423"/>
      <c r="T214" s="423" t="s">
        <v>781</v>
      </c>
    </row>
    <row r="220" spans="1:20" ht="31.5" customHeight="1">
      <c r="A220" s="1148" t="s">
        <v>437</v>
      </c>
      <c r="B220" s="1148"/>
      <c r="C220" s="1148"/>
      <c r="D220" s="1148"/>
      <c r="E220" s="1148"/>
      <c r="F220" s="1148"/>
      <c r="G220" s="1148"/>
      <c r="H220" s="1148"/>
      <c r="I220" s="1148"/>
      <c r="J220" s="1148"/>
      <c r="K220" s="1148"/>
      <c r="L220" s="1148"/>
      <c r="M220" s="1148"/>
      <c r="N220" s="1148"/>
      <c r="O220" s="1148"/>
      <c r="P220" s="1148"/>
      <c r="Q220" s="1148"/>
      <c r="R220" s="1148"/>
      <c r="S220" s="1148"/>
      <c r="T220" s="1148"/>
    </row>
    <row r="221" spans="1:20" ht="15">
      <c r="A221" s="96"/>
      <c r="B221" s="96"/>
      <c r="C221" s="96"/>
      <c r="D221" s="96"/>
      <c r="E221" s="96"/>
      <c r="F221" s="96"/>
      <c r="G221" s="96"/>
      <c r="H221" s="96"/>
      <c r="I221" s="96"/>
      <c r="J221" s="96"/>
      <c r="K221" s="96"/>
      <c r="L221" s="96"/>
      <c r="M221" s="96"/>
      <c r="N221" s="96"/>
      <c r="O221" s="96"/>
      <c r="P221" s="96"/>
      <c r="Q221" s="96"/>
    </row>
    <row r="222" spans="1:20" ht="18" customHeight="1">
      <c r="A222" s="164" t="s">
        <v>2</v>
      </c>
      <c r="B222" s="165"/>
      <c r="C222" s="165"/>
      <c r="D222" s="165"/>
      <c r="E222" s="165"/>
      <c r="F222" s="2"/>
      <c r="G222" s="165" t="str">
        <f>G19</f>
        <v>De-identified for distribution</v>
      </c>
      <c r="H222" s="165"/>
      <c r="I222" s="165"/>
      <c r="J222" s="165"/>
      <c r="K222" s="165"/>
      <c r="L222" s="165"/>
      <c r="M222" s="165"/>
      <c r="N222" s="165"/>
      <c r="O222" s="165"/>
      <c r="P222" s="165"/>
      <c r="Q222" s="165"/>
      <c r="R222" s="134"/>
      <c r="S222" s="2"/>
    </row>
    <row r="223" spans="1:20" ht="18" customHeight="1">
      <c r="A223" s="164" t="s">
        <v>1311</v>
      </c>
      <c r="B223" s="165"/>
      <c r="C223" s="165"/>
      <c r="D223" s="165"/>
      <c r="E223" s="165"/>
      <c r="F223" s="2"/>
      <c r="G223" s="165" t="str">
        <f>G24</f>
        <v>IBA FC65-G, serial number 457</v>
      </c>
      <c r="H223" s="165"/>
      <c r="I223" s="165"/>
      <c r="J223" s="165"/>
      <c r="K223" s="165"/>
      <c r="L223" s="165"/>
      <c r="M223" s="165"/>
      <c r="N223" s="165"/>
      <c r="O223" s="165"/>
      <c r="P223" s="165"/>
      <c r="Q223" s="165"/>
      <c r="R223" s="134"/>
      <c r="S223" s="2"/>
    </row>
    <row r="224" spans="1:20" ht="18" customHeight="1">
      <c r="A224" s="165" t="s">
        <v>1327</v>
      </c>
      <c r="B224" s="165"/>
      <c r="C224" s="165"/>
      <c r="D224" s="165"/>
      <c r="E224" s="165"/>
      <c r="F224" s="2"/>
      <c r="G224" s="165" t="str">
        <f>Client!B31&amp;" V on the guard electrode"</f>
        <v>-242 V on the guard electrode</v>
      </c>
      <c r="H224" s="165"/>
      <c r="I224" s="165"/>
      <c r="J224" s="165"/>
      <c r="K224" s="165"/>
      <c r="L224" s="165"/>
      <c r="M224" s="165"/>
      <c r="N224" s="165"/>
      <c r="O224" s="165"/>
      <c r="P224" s="165"/>
      <c r="Q224" s="165"/>
      <c r="R224" s="134"/>
      <c r="S224" s="2"/>
    </row>
    <row r="225" spans="1:20" ht="18" customHeight="1">
      <c r="A225" s="165" t="s">
        <v>373</v>
      </c>
      <c r="B225" s="165"/>
      <c r="C225" s="165"/>
      <c r="D225" s="165"/>
      <c r="E225" s="165"/>
      <c r="F225" s="2"/>
      <c r="G225" s="166" t="str">
        <f>Client!Q13</f>
        <v>Positive (Central Electrode Negative)</v>
      </c>
      <c r="H225" s="165"/>
      <c r="I225" s="165"/>
      <c r="J225" s="165"/>
      <c r="K225" s="165"/>
      <c r="L225" s="165"/>
      <c r="M225" s="165"/>
      <c r="N225" s="165"/>
      <c r="O225" s="165"/>
      <c r="P225" s="165"/>
      <c r="Q225" s="165"/>
      <c r="R225" s="134"/>
      <c r="S225" s="2"/>
    </row>
    <row r="226" spans="1:20" ht="18" customHeight="1">
      <c r="A226" s="165" t="s">
        <v>332</v>
      </c>
      <c r="B226" s="165"/>
      <c r="C226" s="165"/>
      <c r="D226" s="165"/>
      <c r="E226" s="165"/>
      <c r="F226" s="2"/>
      <c r="G226" s="165" t="str">
        <f ca="1">Client!Q8</f>
        <v>The geometrical centre of the cavity</v>
      </c>
      <c r="H226" s="165"/>
      <c r="I226" s="165"/>
      <c r="J226" s="165"/>
      <c r="K226" s="165"/>
      <c r="L226" s="165"/>
      <c r="M226" s="165"/>
      <c r="N226" s="165"/>
      <c r="O226" s="165"/>
      <c r="P226" s="165"/>
      <c r="Q226" s="165"/>
      <c r="R226" s="134"/>
      <c r="S226" s="2"/>
    </row>
    <row r="227" spans="1:20" ht="18" customHeight="1">
      <c r="A227" s="165" t="s">
        <v>374</v>
      </c>
      <c r="B227" s="165"/>
      <c r="C227" s="165"/>
      <c r="D227" s="165"/>
      <c r="E227" s="165"/>
      <c r="F227" s="2"/>
      <c r="G227" s="165" t="s">
        <v>375</v>
      </c>
      <c r="H227" s="165"/>
      <c r="I227" s="165"/>
      <c r="J227" s="165"/>
      <c r="K227" s="165"/>
      <c r="L227" s="165"/>
      <c r="M227" s="165"/>
      <c r="N227" s="165"/>
      <c r="O227" s="165"/>
      <c r="P227" s="165"/>
      <c r="Q227" s="165"/>
      <c r="R227" s="134"/>
      <c r="S227" s="2"/>
    </row>
    <row r="228" spans="1:20" ht="18" customHeight="1">
      <c r="A228" s="165"/>
      <c r="B228" s="165"/>
      <c r="C228" s="165"/>
      <c r="D228" s="165"/>
      <c r="E228" s="165"/>
      <c r="F228" s="2"/>
      <c r="G228" s="165" t="s">
        <v>864</v>
      </c>
      <c r="H228" s="165"/>
      <c r="I228" s="165"/>
      <c r="J228" s="165"/>
      <c r="K228" s="165"/>
      <c r="L228" s="165"/>
      <c r="M228" s="165"/>
      <c r="N228" s="165"/>
      <c r="O228" s="165"/>
      <c r="P228" s="165"/>
      <c r="Q228" s="165"/>
      <c r="R228" s="134"/>
      <c r="S228" s="2"/>
    </row>
    <row r="229" spans="1:20" ht="18" customHeight="1">
      <c r="A229" s="165"/>
      <c r="B229" s="165"/>
      <c r="C229" s="165"/>
      <c r="D229" s="165"/>
      <c r="E229" s="165"/>
      <c r="F229" s="2"/>
      <c r="G229" s="165" t="s">
        <v>377</v>
      </c>
      <c r="H229" s="165"/>
      <c r="I229" s="165"/>
      <c r="J229" s="165"/>
      <c r="K229" s="165"/>
      <c r="L229" s="165"/>
      <c r="M229" s="165"/>
      <c r="N229" s="165"/>
      <c r="O229" s="165"/>
      <c r="P229" s="165"/>
      <c r="Q229" s="165"/>
      <c r="R229" s="134"/>
      <c r="S229" s="2"/>
    </row>
    <row r="230" spans="1:20" ht="18" customHeight="1">
      <c r="A230" s="165"/>
      <c r="B230" s="165"/>
      <c r="C230" s="165"/>
      <c r="D230" s="165"/>
      <c r="E230" s="165"/>
      <c r="F230" s="2"/>
      <c r="G230" s="165" t="s">
        <v>441</v>
      </c>
      <c r="H230" s="165"/>
      <c r="I230" s="165"/>
      <c r="J230" s="165"/>
      <c r="K230" s="165"/>
      <c r="L230" s="165"/>
      <c r="M230" s="165"/>
      <c r="N230" s="165"/>
      <c r="O230" s="165"/>
      <c r="P230" s="165"/>
      <c r="Q230" s="165"/>
      <c r="R230" s="134"/>
      <c r="S230" s="2"/>
    </row>
    <row r="231" spans="1:20" ht="18" customHeight="1">
      <c r="A231" s="165"/>
      <c r="B231" s="165"/>
      <c r="C231" s="165"/>
      <c r="D231" s="165"/>
      <c r="E231" s="165"/>
      <c r="F231" s="2"/>
      <c r="G231" s="165" t="s">
        <v>440</v>
      </c>
      <c r="H231" s="165"/>
      <c r="I231" s="165"/>
      <c r="J231" s="165"/>
      <c r="K231" s="165"/>
      <c r="L231" s="165"/>
      <c r="M231" s="165"/>
      <c r="N231" s="165"/>
      <c r="O231" s="165"/>
      <c r="P231" s="165"/>
      <c r="Q231" s="165"/>
      <c r="R231" s="134"/>
      <c r="S231" s="2"/>
    </row>
    <row r="232" spans="1:20" ht="18" customHeight="1">
      <c r="A232" s="165" t="s">
        <v>439</v>
      </c>
      <c r="B232" s="165"/>
      <c r="C232" s="165"/>
      <c r="D232" s="165"/>
      <c r="E232" s="165"/>
      <c r="F232" s="2"/>
      <c r="G232" s="165" t="s">
        <v>865</v>
      </c>
      <c r="H232" s="165"/>
      <c r="I232" s="165"/>
      <c r="J232" s="165"/>
      <c r="K232" s="165"/>
      <c r="L232" s="165"/>
      <c r="M232" s="165"/>
      <c r="N232" s="165"/>
      <c r="O232" s="165"/>
      <c r="P232" s="165"/>
      <c r="Q232" s="165"/>
      <c r="R232" s="134"/>
      <c r="S232" s="2"/>
    </row>
    <row r="233" spans="1:20" ht="31.5" customHeight="1">
      <c r="A233" s="186" t="s">
        <v>380</v>
      </c>
      <c r="B233" s="165"/>
      <c r="C233" s="165"/>
      <c r="D233" s="165"/>
      <c r="E233" s="165"/>
      <c r="F233" s="2"/>
      <c r="G233" s="1133" t="str">
        <f ca="1">Client!Q14</f>
        <v>The buildup cap was removed and the chamber placed directly in the water phantom (no sleeve)</v>
      </c>
      <c r="H233" s="1133"/>
      <c r="I233" s="1133"/>
      <c r="J233" s="1133"/>
      <c r="K233" s="1133"/>
      <c r="L233" s="1133"/>
      <c r="M233" s="1133"/>
      <c r="N233" s="1133"/>
      <c r="O233" s="1133"/>
      <c r="P233" s="1133"/>
      <c r="Q233" s="1133"/>
      <c r="R233" s="1133"/>
      <c r="S233" s="1133"/>
      <c r="T233" s="1133"/>
    </row>
    <row r="234" spans="1:20" ht="18" customHeight="1">
      <c r="A234" s="165" t="s">
        <v>382</v>
      </c>
      <c r="B234" s="167"/>
      <c r="C234" s="165"/>
      <c r="D234" s="165"/>
      <c r="E234" s="165"/>
      <c r="F234" s="2"/>
      <c r="G234" s="165" t="s">
        <v>383</v>
      </c>
      <c r="H234" s="165"/>
      <c r="I234" s="165"/>
      <c r="J234" s="165"/>
      <c r="K234" s="165"/>
      <c r="L234" s="165"/>
      <c r="M234" s="165"/>
      <c r="N234" s="165"/>
      <c r="O234" s="165"/>
      <c r="P234" s="165"/>
      <c r="Q234" s="165"/>
      <c r="R234" s="134"/>
      <c r="S234" s="2"/>
    </row>
    <row r="235" spans="1:20" ht="18" customHeight="1">
      <c r="A235" s="165" t="s">
        <v>384</v>
      </c>
      <c r="B235" s="167"/>
      <c r="C235" s="165"/>
      <c r="D235" s="165"/>
      <c r="E235" s="165"/>
      <c r="F235" s="2"/>
      <c r="G235" s="165" t="s">
        <v>385</v>
      </c>
      <c r="H235" s="165"/>
      <c r="I235" s="165"/>
      <c r="J235" s="165"/>
      <c r="K235" s="165"/>
      <c r="L235" s="165"/>
      <c r="M235" s="165"/>
      <c r="N235" s="165"/>
      <c r="O235" s="165"/>
      <c r="P235" s="165"/>
      <c r="Q235" s="165"/>
      <c r="R235" s="134"/>
      <c r="S235" s="2"/>
    </row>
    <row r="236" spans="1:20" ht="18" customHeight="1">
      <c r="A236" s="165" t="s">
        <v>386</v>
      </c>
      <c r="B236" s="167"/>
      <c r="C236" s="165"/>
      <c r="D236" s="165"/>
      <c r="E236" s="165"/>
      <c r="F236" s="2"/>
      <c r="G236" s="165" t="str" cm="1">
        <f t="array" ref="G236">make_Date_range(Co!Q9,Co!R9)</f>
        <v>0</v>
      </c>
      <c r="H236" s="165"/>
      <c r="I236" s="165"/>
      <c r="J236" s="165"/>
      <c r="K236" s="165"/>
      <c r="L236" s="165"/>
      <c r="M236" s="165"/>
      <c r="N236" s="165"/>
      <c r="O236" s="165"/>
      <c r="P236" s="165"/>
      <c r="Q236" s="165"/>
      <c r="R236" s="134"/>
      <c r="S236" s="2"/>
    </row>
    <row r="237" spans="1:20" ht="18" customHeight="1">
      <c r="A237" s="163" t="s">
        <v>387</v>
      </c>
      <c r="B237" s="162"/>
      <c r="C237" s="91"/>
      <c r="D237" s="91"/>
      <c r="E237" s="91"/>
      <c r="F237" s="91"/>
      <c r="G237" s="91"/>
      <c r="H237" s="91"/>
      <c r="I237" s="91"/>
      <c r="J237" s="91"/>
      <c r="K237" s="91"/>
      <c r="L237" s="91"/>
      <c r="M237" s="91"/>
      <c r="N237" s="91"/>
      <c r="O237" s="91"/>
      <c r="P237" s="91"/>
      <c r="Q237" s="91"/>
      <c r="R237" s="97"/>
    </row>
    <row r="238" spans="1:20" ht="18" customHeight="1">
      <c r="A238" s="163"/>
      <c r="B238" s="162"/>
      <c r="C238" s="91"/>
      <c r="D238" s="91"/>
      <c r="E238" s="91"/>
      <c r="F238" s="91"/>
      <c r="G238" s="91"/>
      <c r="H238" s="91"/>
      <c r="I238" s="91"/>
      <c r="J238" s="91"/>
      <c r="K238" s="91"/>
      <c r="L238" s="91"/>
      <c r="M238" s="91"/>
      <c r="N238" s="91"/>
      <c r="O238" s="91"/>
      <c r="P238" s="91"/>
      <c r="Q238" s="91"/>
      <c r="R238" s="97"/>
    </row>
    <row r="239" spans="1:20" ht="18" customHeight="1">
      <c r="A239" s="163"/>
      <c r="B239" s="162"/>
      <c r="C239" s="91"/>
      <c r="D239" s="91"/>
      <c r="E239" s="91"/>
      <c r="F239" s="91"/>
      <c r="G239" s="91"/>
      <c r="H239" s="91"/>
      <c r="I239" s="91"/>
      <c r="J239" s="91"/>
      <c r="K239" s="91"/>
      <c r="L239" s="91"/>
      <c r="M239" s="91"/>
      <c r="N239" s="91"/>
      <c r="O239" s="91"/>
      <c r="P239" s="91"/>
      <c r="Q239" s="91"/>
      <c r="R239" s="97"/>
    </row>
    <row r="240" spans="1:20" ht="18" customHeight="1">
      <c r="A240" s="163"/>
      <c r="B240" s="162"/>
      <c r="C240" s="91"/>
      <c r="D240" s="91"/>
      <c r="E240" s="91"/>
      <c r="F240" s="91"/>
      <c r="G240" s="91"/>
      <c r="H240" s="91"/>
      <c r="I240" s="91"/>
      <c r="J240" s="91"/>
      <c r="K240" s="91"/>
      <c r="L240" s="91"/>
      <c r="M240" s="91"/>
      <c r="N240" s="91"/>
      <c r="O240" s="91"/>
      <c r="P240" s="91"/>
      <c r="Q240" s="91"/>
      <c r="R240" s="97"/>
    </row>
    <row r="241" spans="1:20" ht="15">
      <c r="A241" s="91"/>
      <c r="B241" s="91"/>
      <c r="C241" s="91"/>
      <c r="D241" s="91"/>
      <c r="E241" s="91"/>
      <c r="F241" s="91"/>
      <c r="G241" s="91"/>
      <c r="H241" s="91"/>
      <c r="I241" s="91"/>
      <c r="J241" s="91"/>
      <c r="K241" s="91"/>
      <c r="L241" s="91"/>
      <c r="M241" s="91"/>
      <c r="N241" s="91"/>
      <c r="O241" s="91"/>
      <c r="P241" s="91"/>
      <c r="Q241" s="91"/>
      <c r="R241" s="97"/>
    </row>
    <row r="242" spans="1:20" ht="18.75">
      <c r="A242" s="91"/>
      <c r="B242" s="91"/>
      <c r="C242" s="91"/>
      <c r="D242" s="91"/>
      <c r="E242" s="91"/>
      <c r="F242" s="91"/>
      <c r="G242" s="91"/>
      <c r="H242" s="91"/>
      <c r="I242" s="91"/>
      <c r="J242" s="161" t="s">
        <v>1290</v>
      </c>
      <c r="K242" s="91"/>
      <c r="L242" s="91"/>
      <c r="M242" s="91"/>
      <c r="N242" s="91"/>
      <c r="O242" s="91"/>
      <c r="P242" s="91"/>
      <c r="Q242" s="91"/>
      <c r="R242" s="97"/>
    </row>
    <row r="243" spans="1:20" ht="51.75" customHeight="1">
      <c r="A243" s="1091" t="s">
        <v>532</v>
      </c>
      <c r="B243" s="1091"/>
      <c r="C243" s="1091"/>
      <c r="D243" s="1091"/>
      <c r="E243" s="1091"/>
      <c r="F243" s="1096" t="s">
        <v>1288</v>
      </c>
      <c r="G243" s="1096"/>
      <c r="H243" s="1096"/>
      <c r="I243" s="1096"/>
      <c r="J243" s="1096"/>
      <c r="K243" s="1091" t="s">
        <v>1287</v>
      </c>
      <c r="L243" s="1091"/>
      <c r="M243" s="1091"/>
      <c r="N243" s="1091"/>
      <c r="O243" s="1091"/>
      <c r="P243" s="1091" t="s">
        <v>1267</v>
      </c>
      <c r="Q243" s="1091"/>
      <c r="R243" s="1091"/>
      <c r="S243" s="1091"/>
      <c r="T243" s="1091"/>
    </row>
    <row r="244" spans="1:20" ht="18.75" customHeight="1">
      <c r="A244" s="1103"/>
      <c r="B244" s="1104"/>
      <c r="C244" s="1104"/>
      <c r="D244" s="1104"/>
      <c r="E244" s="1105"/>
      <c r="F244" s="1097" t="s">
        <v>63</v>
      </c>
      <c r="G244" s="1098"/>
      <c r="H244" s="1098"/>
      <c r="I244" s="1098"/>
      <c r="J244" s="1099"/>
      <c r="K244" s="1103" t="s">
        <v>7</v>
      </c>
      <c r="L244" s="1104"/>
      <c r="M244" s="1104"/>
      <c r="N244" s="1104"/>
      <c r="O244" s="1105"/>
      <c r="P244" s="1103" t="s">
        <v>140</v>
      </c>
      <c r="Q244" s="1104"/>
      <c r="R244" s="1104"/>
      <c r="S244" s="1104"/>
      <c r="T244" s="1105"/>
    </row>
    <row r="245" spans="1:20" ht="43.5" customHeight="1">
      <c r="A245" s="1157" t="s">
        <v>533</v>
      </c>
      <c r="B245" s="1157"/>
      <c r="C245" s="1157"/>
      <c r="D245" s="1157"/>
      <c r="E245" s="1157"/>
      <c r="F245" s="1181">
        <f>Combined!C19</f>
        <v>0</v>
      </c>
      <c r="G245" s="1181"/>
      <c r="H245" s="1181"/>
      <c r="I245" s="1181"/>
      <c r="J245" s="1181"/>
      <c r="K245" s="1182">
        <f>Co!D17</f>
        <v>0</v>
      </c>
      <c r="L245" s="1157"/>
      <c r="M245" s="1157"/>
      <c r="N245" s="1157"/>
      <c r="O245" s="1157"/>
      <c r="P245" s="1157">
        <v>0.8</v>
      </c>
      <c r="Q245" s="1157"/>
      <c r="R245" s="1157"/>
      <c r="S245" s="1157"/>
      <c r="T245" s="1157"/>
    </row>
    <row r="246" spans="1:20" ht="18" customHeight="1">
      <c r="A246" s="91"/>
      <c r="B246" s="91"/>
      <c r="C246" s="91"/>
      <c r="D246" s="91"/>
      <c r="E246" s="91"/>
      <c r="F246" s="91"/>
      <c r="G246" s="91"/>
      <c r="H246" s="91"/>
      <c r="I246" s="91"/>
      <c r="J246" s="91"/>
      <c r="K246" s="91"/>
      <c r="L246" s="91"/>
      <c r="M246" s="91"/>
      <c r="N246" s="91"/>
      <c r="O246" s="91"/>
      <c r="P246" s="91"/>
      <c r="Q246" s="91"/>
      <c r="R246" s="97"/>
    </row>
    <row r="247" spans="1:20" ht="18" customHeight="1">
      <c r="A247" s="91"/>
      <c r="B247" s="91"/>
      <c r="C247" s="91"/>
      <c r="D247" s="91"/>
      <c r="E247" s="91"/>
      <c r="F247" s="91"/>
      <c r="G247" s="91"/>
      <c r="H247" s="91"/>
      <c r="I247" s="91"/>
      <c r="J247" s="91"/>
      <c r="K247" s="91"/>
      <c r="L247" s="91"/>
      <c r="M247" s="91"/>
      <c r="N247" s="91"/>
      <c r="O247" s="91"/>
      <c r="P247" s="91"/>
      <c r="Q247" s="91"/>
      <c r="R247" s="97"/>
    </row>
    <row r="248" spans="1:20" ht="15">
      <c r="A248" s="91"/>
      <c r="B248" s="91"/>
      <c r="C248" s="91"/>
      <c r="D248" s="91"/>
      <c r="E248" s="91"/>
      <c r="F248" s="91"/>
      <c r="G248" s="91"/>
      <c r="H248" s="91"/>
      <c r="I248" s="91"/>
      <c r="J248" s="91"/>
      <c r="K248" s="91"/>
      <c r="L248" s="91"/>
      <c r="M248" s="91"/>
      <c r="N248" s="91"/>
      <c r="O248" s="91"/>
      <c r="P248" s="91"/>
      <c r="Q248" s="91"/>
      <c r="R248" s="97"/>
    </row>
    <row r="249" spans="1:20" ht="15">
      <c r="A249" s="91"/>
      <c r="B249" s="91"/>
      <c r="C249" s="91"/>
      <c r="D249" s="91"/>
      <c r="E249" s="91"/>
      <c r="F249" s="91"/>
      <c r="G249" s="91"/>
      <c r="H249" s="91"/>
      <c r="I249" s="91"/>
      <c r="J249" s="91"/>
      <c r="K249" s="91"/>
      <c r="L249" s="91"/>
      <c r="M249" s="91"/>
      <c r="N249" s="91"/>
      <c r="O249" s="91"/>
      <c r="P249" s="91"/>
      <c r="Q249" s="91"/>
      <c r="R249" s="97"/>
    </row>
    <row r="250" spans="1:20" ht="15">
      <c r="A250" s="91"/>
      <c r="B250" s="91"/>
      <c r="C250" s="91"/>
      <c r="D250" s="91"/>
      <c r="E250" s="91"/>
      <c r="F250" s="91"/>
      <c r="G250" s="91"/>
      <c r="H250" s="91"/>
      <c r="I250" s="91"/>
      <c r="J250" s="91"/>
      <c r="K250" s="91"/>
      <c r="L250" s="93" t="str">
        <f>"Calibrated by "&amp;Client!B42</f>
        <v xml:space="preserve">Calibrated by </v>
      </c>
      <c r="M250" s="93"/>
      <c r="N250" s="93"/>
      <c r="O250" s="93"/>
      <c r="P250" s="93"/>
      <c r="Q250" s="93"/>
      <c r="R250" s="117"/>
      <c r="S250" s="48"/>
    </row>
    <row r="251" spans="1:20" ht="15">
      <c r="A251" s="91"/>
      <c r="B251" s="91"/>
      <c r="C251" s="91"/>
      <c r="D251" s="91"/>
      <c r="E251" s="91"/>
      <c r="F251" s="91"/>
      <c r="G251" s="91"/>
      <c r="H251" s="91"/>
      <c r="I251" s="91"/>
      <c r="J251" s="91"/>
      <c r="K251" s="91"/>
      <c r="L251" s="91"/>
      <c r="M251" s="91"/>
      <c r="N251" s="91"/>
      <c r="O251" s="91"/>
      <c r="P251" s="91"/>
      <c r="Q251" s="91"/>
      <c r="R251" s="97"/>
    </row>
    <row r="252" spans="1:20" ht="15">
      <c r="A252" s="91"/>
      <c r="B252" s="91"/>
      <c r="C252" s="91"/>
      <c r="D252" s="91"/>
      <c r="E252" s="91"/>
      <c r="F252" s="91"/>
      <c r="G252" s="91"/>
      <c r="H252" s="91"/>
      <c r="I252" s="91"/>
      <c r="J252" s="91"/>
      <c r="K252" s="91"/>
      <c r="L252" s="91"/>
      <c r="M252" s="91"/>
      <c r="N252" s="91"/>
      <c r="O252" s="91"/>
      <c r="P252" s="91"/>
      <c r="Q252" s="91"/>
      <c r="R252" s="97"/>
    </row>
    <row r="253" spans="1:20" ht="15">
      <c r="A253" s="91"/>
      <c r="B253" s="91"/>
      <c r="C253" s="91"/>
      <c r="D253" s="91"/>
      <c r="E253" s="91"/>
      <c r="F253" s="91"/>
      <c r="G253" s="91"/>
      <c r="H253" s="91"/>
      <c r="I253" s="91"/>
      <c r="J253" s="91"/>
      <c r="K253" s="91"/>
      <c r="L253" s="91"/>
      <c r="M253" s="91"/>
      <c r="N253" s="91"/>
      <c r="O253" s="91"/>
      <c r="P253" s="91"/>
      <c r="Q253" s="91"/>
      <c r="R253" s="97"/>
    </row>
    <row r="254" spans="1:20" ht="15">
      <c r="A254" s="91"/>
      <c r="B254" s="91"/>
      <c r="C254" s="91"/>
      <c r="D254" s="91"/>
      <c r="E254" s="91"/>
      <c r="F254" s="91"/>
      <c r="G254" s="91"/>
      <c r="H254" s="91"/>
      <c r="I254" s="91"/>
      <c r="J254" s="91"/>
      <c r="K254" s="91"/>
      <c r="L254" s="91"/>
      <c r="M254" s="91"/>
      <c r="N254" s="91"/>
      <c r="O254" s="91"/>
      <c r="P254" s="91"/>
      <c r="Q254" s="91"/>
      <c r="R254" s="97"/>
    </row>
    <row r="255" spans="1:20" ht="15">
      <c r="A255" s="91"/>
      <c r="B255" s="91"/>
      <c r="C255" s="91"/>
      <c r="D255" s="91"/>
      <c r="E255" s="91"/>
      <c r="F255" s="91"/>
      <c r="G255" s="91"/>
      <c r="H255" s="91"/>
      <c r="I255" s="91"/>
      <c r="J255" s="91"/>
      <c r="K255" s="91"/>
      <c r="L255" s="91"/>
      <c r="M255" s="91"/>
      <c r="N255" s="91"/>
      <c r="O255" s="91"/>
      <c r="P255" s="91"/>
      <c r="Q255" s="91"/>
      <c r="R255" s="97"/>
    </row>
    <row r="256" spans="1:20" ht="22.5" customHeight="1">
      <c r="A256" s="91"/>
      <c r="B256" s="91"/>
      <c r="C256" s="91"/>
      <c r="D256" s="91"/>
      <c r="E256" s="91"/>
      <c r="F256" s="91"/>
      <c r="G256" s="91"/>
      <c r="H256" s="91"/>
      <c r="I256" s="91"/>
      <c r="J256" s="91"/>
      <c r="K256" s="91"/>
      <c r="L256" s="91"/>
      <c r="M256" s="91"/>
      <c r="N256" s="91"/>
      <c r="O256" s="91"/>
      <c r="P256" s="91"/>
      <c r="Q256" s="91"/>
      <c r="R256" s="97"/>
    </row>
    <row r="257" spans="1:20">
      <c r="A257" s="420" t="str">
        <f>"Calibration No.: "&amp;$T$12</f>
        <v>Calibration No.: CAL11957/00</v>
      </c>
      <c r="B257" s="421"/>
      <c r="C257" s="421"/>
      <c r="D257" s="421"/>
      <c r="E257" s="421"/>
      <c r="F257" s="421"/>
      <c r="G257" s="421"/>
      <c r="H257" s="421"/>
      <c r="I257" s="422" t="str">
        <f>$G$32</f>
        <v>0</v>
      </c>
      <c r="J257" s="421"/>
      <c r="K257" s="421"/>
      <c r="L257" s="421"/>
      <c r="M257" s="421"/>
      <c r="N257" s="420" t="s">
        <v>360</v>
      </c>
      <c r="O257" s="423"/>
      <c r="P257" s="423"/>
      <c r="Q257" s="423"/>
      <c r="R257" s="423"/>
      <c r="S257" s="423"/>
      <c r="T257" s="423" t="s">
        <v>779</v>
      </c>
    </row>
    <row r="258" spans="1:20" ht="15.75">
      <c r="A258" s="197"/>
      <c r="B258" s="197"/>
      <c r="C258" s="197"/>
      <c r="D258" s="197"/>
      <c r="E258" s="197"/>
      <c r="F258" s="197"/>
      <c r="G258" s="197"/>
      <c r="H258" s="197"/>
      <c r="I258" s="197"/>
      <c r="J258" s="197"/>
      <c r="K258" s="197"/>
      <c r="L258" s="197"/>
      <c r="M258" s="197"/>
      <c r="N258" s="197"/>
      <c r="O258" s="197"/>
      <c r="P258" s="197"/>
      <c r="Q258" s="197"/>
      <c r="R258" s="197"/>
      <c r="S258" s="158"/>
      <c r="T258" s="158"/>
    </row>
    <row r="259" spans="1:20" ht="15.75">
      <c r="A259" s="1175" t="s">
        <v>558</v>
      </c>
      <c r="B259" s="1175"/>
      <c r="C259" s="1175"/>
      <c r="D259" s="1175"/>
      <c r="E259" s="1175"/>
      <c r="F259" s="1175"/>
      <c r="G259" s="1175"/>
      <c r="H259" s="1175"/>
      <c r="I259" s="1175"/>
      <c r="J259" s="1175"/>
      <c r="K259" s="1175"/>
      <c r="L259" s="1175"/>
      <c r="M259" s="1175"/>
      <c r="N259" s="1175"/>
      <c r="O259" s="1175"/>
      <c r="P259" s="1175"/>
      <c r="Q259" s="1175"/>
      <c r="R259" s="1175"/>
      <c r="S259" s="1175"/>
      <c r="T259" s="1175"/>
    </row>
    <row r="260" spans="1:20" ht="15.75">
      <c r="A260" s="198"/>
      <c r="B260" s="198"/>
      <c r="C260" s="198"/>
      <c r="D260" s="198"/>
      <c r="E260" s="198"/>
      <c r="F260" s="198"/>
      <c r="G260" s="198"/>
      <c r="H260" s="198"/>
      <c r="I260" s="198"/>
      <c r="J260" s="198"/>
      <c r="K260" s="198"/>
      <c r="L260" s="198"/>
      <c r="M260" s="198"/>
      <c r="N260" s="198"/>
      <c r="O260" s="198"/>
      <c r="P260" s="198"/>
      <c r="Q260" s="198"/>
      <c r="R260" s="198"/>
      <c r="S260" s="199"/>
      <c r="T260" s="199"/>
    </row>
    <row r="261" spans="1:20" ht="15.75">
      <c r="A261" s="1175" t="s">
        <v>557</v>
      </c>
      <c r="B261" s="1175"/>
      <c r="C261" s="1175"/>
      <c r="D261" s="1175"/>
      <c r="E261" s="1175"/>
      <c r="F261" s="1175"/>
      <c r="G261" s="1175"/>
      <c r="H261" s="1175"/>
      <c r="I261" s="1175"/>
      <c r="J261" s="1175"/>
      <c r="K261" s="1175"/>
      <c r="L261" s="1175"/>
      <c r="M261" s="1175"/>
      <c r="N261" s="1175"/>
      <c r="O261" s="1175"/>
      <c r="P261" s="1175"/>
      <c r="Q261" s="1175"/>
      <c r="R261" s="1175"/>
      <c r="S261" s="1175"/>
      <c r="T261" s="1175"/>
    </row>
    <row r="262" spans="1:20" ht="15.75">
      <c r="A262" s="197"/>
      <c r="B262" s="197"/>
      <c r="C262" s="197"/>
      <c r="D262" s="197"/>
      <c r="E262" s="197"/>
      <c r="F262" s="197"/>
      <c r="G262" s="197"/>
      <c r="H262" s="197"/>
      <c r="I262" s="197"/>
      <c r="J262" s="197"/>
      <c r="K262" s="197"/>
      <c r="L262" s="197"/>
      <c r="M262" s="197"/>
      <c r="N262" s="197"/>
      <c r="O262" s="197"/>
      <c r="P262" s="197"/>
      <c r="Q262" s="197"/>
      <c r="R262" s="197"/>
      <c r="S262" s="158"/>
      <c r="T262" s="158"/>
    </row>
    <row r="263" spans="1:20" ht="39" customHeight="1">
      <c r="A263" s="1176" t="s">
        <v>559</v>
      </c>
      <c r="B263" s="1176"/>
      <c r="C263" s="1176"/>
      <c r="D263" s="1176"/>
      <c r="E263" s="1176"/>
      <c r="F263" s="1176"/>
      <c r="G263" s="1176"/>
      <c r="H263" s="1176"/>
      <c r="I263" s="1176"/>
      <c r="J263" s="1176"/>
      <c r="K263" s="1176"/>
      <c r="L263" s="1176"/>
      <c r="M263" s="1176"/>
      <c r="N263" s="1176"/>
      <c r="O263" s="1176"/>
      <c r="P263" s="1176"/>
      <c r="Q263" s="1176"/>
      <c r="R263" s="1176"/>
      <c r="S263" s="1176"/>
      <c r="T263" s="1176"/>
    </row>
    <row r="264" spans="1:20" ht="15.75">
      <c r="A264" s="197"/>
      <c r="B264" s="197"/>
      <c r="C264" s="197"/>
      <c r="D264" s="197"/>
      <c r="E264" s="197"/>
      <c r="F264" s="197"/>
      <c r="G264" s="197"/>
      <c r="H264" s="197"/>
      <c r="I264" s="197"/>
      <c r="J264" s="197"/>
      <c r="K264" s="197"/>
      <c r="L264" s="197"/>
      <c r="M264" s="197"/>
      <c r="N264" s="197"/>
      <c r="O264" s="197"/>
      <c r="P264" s="197"/>
      <c r="Q264" s="197"/>
      <c r="R264" s="197"/>
      <c r="S264" s="158"/>
      <c r="T264" s="158"/>
    </row>
    <row r="265" spans="1:20" ht="15.75">
      <c r="A265" s="197"/>
      <c r="B265" s="197"/>
      <c r="C265" s="197"/>
      <c r="D265" s="197"/>
      <c r="E265" s="197"/>
      <c r="F265" s="197"/>
      <c r="G265" s="197"/>
      <c r="H265" s="197"/>
      <c r="I265" s="197"/>
      <c r="J265" s="197"/>
      <c r="K265" s="197"/>
      <c r="L265" s="197"/>
      <c r="M265" s="197"/>
      <c r="N265" s="197"/>
      <c r="O265" s="197"/>
      <c r="P265" s="197"/>
      <c r="Q265" s="197"/>
      <c r="R265" s="197"/>
      <c r="S265" s="158"/>
      <c r="T265" s="160" t="str">
        <f>"(3)"</f>
        <v>(3)</v>
      </c>
    </row>
    <row r="266" spans="1:20" ht="15.75">
      <c r="A266" s="197" t="s">
        <v>560</v>
      </c>
      <c r="B266" s="197"/>
      <c r="C266" s="197"/>
      <c r="D266" s="197"/>
      <c r="E266" s="197"/>
      <c r="F266" s="197"/>
      <c r="G266" s="197"/>
      <c r="H266" s="197"/>
      <c r="I266" s="197"/>
      <c r="J266" s="197"/>
      <c r="K266" s="197"/>
      <c r="M266" s="197"/>
      <c r="N266" s="197"/>
      <c r="O266" s="197"/>
      <c r="P266" s="197"/>
      <c r="Q266" s="197"/>
      <c r="R266" s="197"/>
      <c r="S266" s="158"/>
      <c r="T266" s="158"/>
    </row>
    <row r="267" spans="1:20" ht="33.75" customHeight="1">
      <c r="A267" s="197"/>
      <c r="B267" s="197"/>
      <c r="C267" s="200" t="s">
        <v>561</v>
      </c>
      <c r="D267" s="197"/>
      <c r="E267" s="197"/>
      <c r="F267" s="1140" t="s">
        <v>562</v>
      </c>
      <c r="G267" s="1140"/>
      <c r="H267" s="1140"/>
      <c r="I267" s="1140"/>
      <c r="J267" s="1140"/>
      <c r="K267" s="1140"/>
      <c r="L267" s="1140"/>
      <c r="M267" s="1140"/>
      <c r="N267" s="1140"/>
      <c r="O267" s="1140"/>
      <c r="P267" s="1140"/>
      <c r="Q267" s="1140"/>
      <c r="R267" s="1140"/>
      <c r="S267" s="1140"/>
      <c r="T267" s="1140"/>
    </row>
    <row r="268" spans="1:20" ht="15.75">
      <c r="A268" s="197"/>
      <c r="B268" s="197"/>
      <c r="C268" s="201" t="s">
        <v>564</v>
      </c>
      <c r="D268" s="197"/>
      <c r="E268" s="197"/>
      <c r="F268" s="1173" t="s">
        <v>563</v>
      </c>
      <c r="G268" s="1173"/>
      <c r="H268" s="1173"/>
      <c r="I268" s="1173"/>
      <c r="J268" s="1173"/>
      <c r="K268" s="1173"/>
      <c r="L268" s="1173"/>
      <c r="M268" s="1173"/>
      <c r="N268" s="1173"/>
      <c r="O268" s="1173"/>
      <c r="P268" s="1173"/>
      <c r="Q268" s="1173"/>
      <c r="R268" s="1173"/>
      <c r="S268" s="1173"/>
      <c r="T268" s="1173"/>
    </row>
    <row r="269" spans="1:20" ht="33.75" customHeight="1">
      <c r="A269" s="197"/>
      <c r="B269" s="197"/>
      <c r="C269" s="200" t="s">
        <v>565</v>
      </c>
      <c r="D269" s="197"/>
      <c r="E269" s="197"/>
      <c r="F269" s="1172" t="s">
        <v>566</v>
      </c>
      <c r="G269" s="1172"/>
      <c r="H269" s="1172"/>
      <c r="I269" s="1172"/>
      <c r="J269" s="1172"/>
      <c r="K269" s="1172"/>
      <c r="L269" s="1172"/>
      <c r="M269" s="1172"/>
      <c r="N269" s="1172"/>
      <c r="O269" s="1172"/>
      <c r="P269" s="1172"/>
      <c r="Q269" s="1172"/>
      <c r="R269" s="1172"/>
      <c r="S269" s="1172"/>
      <c r="T269" s="1172"/>
    </row>
    <row r="270" spans="1:20" ht="33.75" customHeight="1">
      <c r="A270" s="197"/>
      <c r="B270" s="197"/>
      <c r="C270" s="202" t="s">
        <v>568</v>
      </c>
      <c r="D270" s="197"/>
      <c r="E270" s="197"/>
      <c r="F270" s="1172" t="s">
        <v>567</v>
      </c>
      <c r="G270" s="1172"/>
      <c r="H270" s="1172"/>
      <c r="I270" s="1172"/>
      <c r="J270" s="1172"/>
      <c r="K270" s="1172"/>
      <c r="L270" s="1172"/>
      <c r="M270" s="1172"/>
      <c r="N270" s="1172"/>
      <c r="O270" s="1172"/>
      <c r="P270" s="1172"/>
      <c r="Q270" s="1172"/>
      <c r="R270" s="1172"/>
      <c r="S270" s="1172"/>
      <c r="T270" s="1172"/>
    </row>
    <row r="271" spans="1:20" ht="69" customHeight="1">
      <c r="A271" s="197"/>
      <c r="B271" s="197"/>
      <c r="D271" s="197"/>
      <c r="E271" s="197"/>
      <c r="F271" s="1172" t="s">
        <v>569</v>
      </c>
      <c r="G271" s="1172"/>
      <c r="H271" s="1172"/>
      <c r="I271" s="1172"/>
      <c r="J271" s="1172"/>
      <c r="K271" s="1172"/>
      <c r="L271" s="1172"/>
      <c r="M271" s="1172"/>
      <c r="N271" s="1172"/>
      <c r="O271" s="1172"/>
      <c r="P271" s="1172"/>
      <c r="Q271" s="1172"/>
      <c r="R271" s="1172"/>
      <c r="S271" s="1172"/>
      <c r="T271" s="1172"/>
    </row>
    <row r="272" spans="1:20" ht="18.75">
      <c r="A272" s="197"/>
      <c r="B272" s="197"/>
      <c r="C272" s="124" t="s">
        <v>570</v>
      </c>
      <c r="D272" s="197"/>
      <c r="E272" s="197"/>
      <c r="F272" s="1172" t="s">
        <v>575</v>
      </c>
      <c r="G272" s="1172"/>
      <c r="H272" s="1172"/>
      <c r="I272" s="1172"/>
      <c r="J272" s="1172"/>
      <c r="K272" s="1172"/>
      <c r="L272" s="1172"/>
      <c r="M272" s="1172"/>
      <c r="N272" s="1172"/>
      <c r="O272" s="1172"/>
      <c r="P272" s="1172"/>
      <c r="Q272" s="1172"/>
      <c r="R272" s="1172"/>
      <c r="S272" s="1172"/>
      <c r="T272" s="1172"/>
    </row>
    <row r="273" spans="1:20" ht="18.75">
      <c r="A273" s="197"/>
      <c r="B273" s="197"/>
      <c r="C273" s="124" t="s">
        <v>571</v>
      </c>
      <c r="D273" s="197"/>
      <c r="E273" s="197"/>
      <c r="F273" s="1172" t="s">
        <v>888</v>
      </c>
      <c r="G273" s="1172"/>
      <c r="H273" s="1172"/>
      <c r="I273" s="1172"/>
      <c r="J273" s="1172"/>
      <c r="K273" s="1172"/>
      <c r="L273" s="1172"/>
      <c r="M273" s="1172"/>
      <c r="N273" s="1172"/>
      <c r="O273" s="1172"/>
      <c r="P273" s="1172"/>
      <c r="Q273" s="1172"/>
      <c r="R273" s="1172"/>
      <c r="S273" s="1172"/>
      <c r="T273" s="1172"/>
    </row>
    <row r="274" spans="1:20" ht="33.75" customHeight="1">
      <c r="A274" s="197"/>
      <c r="B274" s="197"/>
      <c r="C274" s="124" t="s">
        <v>572</v>
      </c>
      <c r="D274" s="197"/>
      <c r="E274" s="197"/>
      <c r="F274" s="1172" t="s">
        <v>577</v>
      </c>
      <c r="G274" s="1172"/>
      <c r="H274" s="1172"/>
      <c r="I274" s="1172"/>
      <c r="J274" s="1172"/>
      <c r="K274" s="1172"/>
      <c r="L274" s="1172"/>
      <c r="M274" s="1172"/>
      <c r="N274" s="1172"/>
      <c r="O274" s="1172"/>
      <c r="P274" s="1172"/>
      <c r="Q274" s="1172"/>
      <c r="R274" s="1172"/>
      <c r="S274" s="1172"/>
      <c r="T274" s="1172"/>
    </row>
    <row r="275" spans="1:20" ht="33.75" customHeight="1">
      <c r="A275" s="197"/>
      <c r="B275" s="197"/>
      <c r="C275" s="124" t="s">
        <v>573</v>
      </c>
      <c r="D275" s="197"/>
      <c r="E275" s="197"/>
      <c r="F275" s="1172" t="s">
        <v>576</v>
      </c>
      <c r="G275" s="1172"/>
      <c r="H275" s="1172"/>
      <c r="I275" s="1172"/>
      <c r="J275" s="1172"/>
      <c r="K275" s="1172"/>
      <c r="L275" s="1172"/>
      <c r="M275" s="1172"/>
      <c r="N275" s="1172"/>
      <c r="O275" s="1172"/>
      <c r="P275" s="1172"/>
      <c r="Q275" s="1172"/>
      <c r="R275" s="1172"/>
      <c r="S275" s="1172"/>
      <c r="T275" s="1172"/>
    </row>
    <row r="276" spans="1:20" ht="15.75">
      <c r="A276" s="197"/>
      <c r="B276" s="197"/>
      <c r="C276" s="197"/>
      <c r="D276" s="197"/>
      <c r="E276" s="197"/>
      <c r="F276" s="197"/>
      <c r="G276" s="197"/>
      <c r="H276" s="197"/>
      <c r="I276" s="197"/>
      <c r="J276" s="197"/>
      <c r="K276" s="197"/>
      <c r="L276" s="197"/>
      <c r="M276" s="197"/>
      <c r="N276" s="197"/>
      <c r="O276" s="197"/>
      <c r="P276" s="197"/>
      <c r="Q276" s="197"/>
      <c r="R276" s="197"/>
      <c r="S276" s="158"/>
      <c r="T276" s="158"/>
    </row>
    <row r="277" spans="1:20" ht="18.75">
      <c r="A277" s="1174" t="s">
        <v>578</v>
      </c>
      <c r="B277" s="1174"/>
      <c r="C277" s="1174"/>
      <c r="D277" s="1174"/>
      <c r="E277" s="1174"/>
      <c r="F277" s="1174"/>
      <c r="G277" s="1174"/>
      <c r="H277" s="1174"/>
      <c r="I277" s="1174"/>
      <c r="J277" s="1174"/>
      <c r="K277" s="1174"/>
      <c r="L277" s="1174"/>
      <c r="M277" s="1174"/>
      <c r="N277" s="1174"/>
      <c r="O277" s="1174"/>
      <c r="P277" s="1174"/>
      <c r="Q277" s="1174"/>
      <c r="R277" s="1174"/>
      <c r="S277" s="1174"/>
      <c r="T277" s="1174"/>
    </row>
    <row r="278" spans="1:20" ht="15.75">
      <c r="A278" s="197"/>
      <c r="B278" s="197"/>
      <c r="C278" s="197"/>
      <c r="D278" s="197"/>
      <c r="E278" s="197"/>
      <c r="F278" s="197"/>
      <c r="G278" s="197"/>
      <c r="H278" s="197"/>
      <c r="I278" s="197"/>
      <c r="J278" s="197"/>
      <c r="K278" s="197"/>
      <c r="L278" s="197"/>
      <c r="M278" s="197"/>
      <c r="N278" s="197"/>
      <c r="O278" s="197"/>
      <c r="P278" s="197"/>
      <c r="Q278" s="197"/>
      <c r="R278" s="197"/>
      <c r="S278" s="158"/>
      <c r="T278" s="158"/>
    </row>
    <row r="279" spans="1:20" ht="15.75">
      <c r="A279" s="197"/>
      <c r="B279" s="197"/>
      <c r="C279" s="197"/>
      <c r="D279" s="197"/>
      <c r="E279" s="197"/>
      <c r="F279" s="197"/>
      <c r="G279" s="197"/>
      <c r="H279" s="197"/>
      <c r="I279" s="197"/>
      <c r="J279" s="197"/>
      <c r="K279" s="197"/>
      <c r="L279" s="197"/>
      <c r="M279" s="197"/>
      <c r="N279" s="197"/>
      <c r="O279" s="197"/>
      <c r="P279" s="197"/>
      <c r="Q279" s="197"/>
      <c r="R279" s="197"/>
      <c r="S279" s="158"/>
      <c r="T279" s="158" t="str">
        <f>"(4)"</f>
        <v>(4)</v>
      </c>
    </row>
    <row r="280" spans="1:20" ht="15.75">
      <c r="A280" s="197"/>
      <c r="B280" s="197"/>
      <c r="C280" s="197"/>
      <c r="D280" s="197"/>
      <c r="E280" s="197"/>
      <c r="F280" s="197"/>
      <c r="G280" s="203" t="s">
        <v>448</v>
      </c>
      <c r="H280" s="197" t="str">
        <f>TEXT(Co!D17,"0.00")&amp; " / "&amp;TEXT(Co!N22,"0.0000")&amp;" / "&amp;TEXT(Co!N34,"0.0000")</f>
        <v>0.00 / - / -</v>
      </c>
      <c r="I280" s="197"/>
      <c r="J280" s="197"/>
      <c r="K280" s="197"/>
      <c r="L280" s="197"/>
      <c r="M280" s="197"/>
      <c r="N280" s="197"/>
      <c r="O280" s="197"/>
      <c r="P280" s="197"/>
      <c r="Q280" s="197"/>
      <c r="R280" s="197"/>
      <c r="S280" s="158"/>
      <c r="T280" s="158"/>
    </row>
    <row r="281" spans="1:20" ht="15.75">
      <c r="A281" s="197"/>
      <c r="B281" s="197"/>
      <c r="C281" s="197"/>
      <c r="D281" s="197"/>
      <c r="E281" s="197"/>
      <c r="F281" s="197"/>
      <c r="G281" s="203" t="s">
        <v>448</v>
      </c>
      <c r="H281" s="197" t="e">
        <f>TEXT(Co!$N$41/Co!$N$42/Co!$N$43,"0.00")&amp;" mGy/nC"</f>
        <v>#VALUE!</v>
      </c>
      <c r="I281" s="197"/>
      <c r="J281" s="197"/>
      <c r="K281" s="197"/>
      <c r="L281" s="197"/>
      <c r="M281" s="197"/>
      <c r="N281" s="197"/>
      <c r="O281" s="197"/>
      <c r="P281" s="197"/>
      <c r="Q281" s="197"/>
      <c r="R281" s="197"/>
      <c r="S281" s="158"/>
      <c r="T281" s="158"/>
    </row>
    <row r="282" spans="1:20" ht="15.75">
      <c r="A282" s="197"/>
      <c r="B282" s="197"/>
      <c r="C282" s="197"/>
      <c r="D282" s="197"/>
      <c r="E282" s="197"/>
      <c r="F282" s="197"/>
      <c r="G282" s="197"/>
      <c r="H282" s="197"/>
      <c r="I282" s="197"/>
      <c r="J282" s="197"/>
      <c r="K282" s="197"/>
      <c r="L282" s="197"/>
      <c r="M282" s="197"/>
      <c r="N282" s="197"/>
      <c r="O282" s="197"/>
      <c r="P282" s="197"/>
      <c r="Q282" s="197"/>
      <c r="R282" s="197"/>
      <c r="S282" s="158"/>
      <c r="T282" s="158"/>
    </row>
    <row r="283" spans="1:20" ht="15.75">
      <c r="A283" s="197" t="s">
        <v>560</v>
      </c>
      <c r="B283" s="197"/>
      <c r="C283" s="197"/>
      <c r="D283" s="197"/>
      <c r="E283" s="197"/>
      <c r="F283" s="197"/>
      <c r="G283" s="197"/>
      <c r="H283" s="197"/>
      <c r="I283" s="197"/>
      <c r="J283" s="197"/>
      <c r="K283" s="197"/>
      <c r="L283" s="197"/>
      <c r="M283" s="197"/>
      <c r="N283" s="197"/>
      <c r="O283" s="197"/>
      <c r="P283" s="197"/>
      <c r="Q283" s="197"/>
      <c r="R283" s="197"/>
      <c r="S283" s="158"/>
      <c r="T283" s="158"/>
    </row>
    <row r="284" spans="1:20" ht="42" customHeight="1">
      <c r="A284" s="197"/>
      <c r="B284" s="197"/>
      <c r="D284" s="197"/>
      <c r="E284" s="197"/>
      <c r="F284" s="1140" t="s">
        <v>885</v>
      </c>
      <c r="G284" s="1140"/>
      <c r="H284" s="1140"/>
      <c r="I284" s="1140"/>
      <c r="J284" s="1140"/>
      <c r="K284" s="1140"/>
      <c r="L284" s="1140"/>
      <c r="M284" s="1140"/>
      <c r="N284" s="1140"/>
      <c r="O284" s="1140"/>
      <c r="P284" s="1140"/>
      <c r="Q284" s="1140"/>
      <c r="R284" s="1140"/>
      <c r="S284" s="1140"/>
      <c r="T284" s="1140"/>
    </row>
    <row r="285" spans="1:20" ht="18.75">
      <c r="A285" s="197"/>
      <c r="B285" s="197"/>
      <c r="C285" s="124" t="s">
        <v>579</v>
      </c>
      <c r="D285" s="197"/>
      <c r="E285" s="197"/>
      <c r="F285" s="1172" t="s">
        <v>581</v>
      </c>
      <c r="G285" s="1172"/>
      <c r="H285" s="1172"/>
      <c r="I285" s="1172"/>
      <c r="J285" s="1172"/>
      <c r="K285" s="1172"/>
      <c r="L285" s="1172"/>
      <c r="M285" s="1172"/>
      <c r="N285" s="1172"/>
      <c r="O285" s="1172"/>
      <c r="P285" s="1172"/>
      <c r="Q285" s="1172"/>
      <c r="R285" s="1172"/>
      <c r="S285" s="1172"/>
      <c r="T285" s="1172"/>
    </row>
    <row r="286" spans="1:20" ht="18.75">
      <c r="A286" s="197"/>
      <c r="B286" s="197"/>
      <c r="C286" s="124" t="s">
        <v>580</v>
      </c>
      <c r="D286" s="197"/>
      <c r="E286" s="197"/>
      <c r="F286" s="1172" t="s">
        <v>582</v>
      </c>
      <c r="G286" s="1172"/>
      <c r="H286" s="1172"/>
      <c r="I286" s="1172"/>
      <c r="J286" s="1172"/>
      <c r="K286" s="1172"/>
      <c r="L286" s="1172"/>
      <c r="M286" s="1172"/>
      <c r="N286" s="1172"/>
      <c r="O286" s="1172"/>
      <c r="P286" s="1172"/>
      <c r="Q286" s="1172"/>
      <c r="R286" s="1172"/>
      <c r="S286" s="1172"/>
      <c r="T286" s="1172"/>
    </row>
    <row r="287" spans="1:20" ht="15.75">
      <c r="A287" s="197"/>
      <c r="B287" s="197"/>
      <c r="C287" s="197"/>
      <c r="D287" s="197"/>
      <c r="E287" s="197"/>
      <c r="F287" s="197"/>
      <c r="G287" s="197"/>
      <c r="H287" s="197"/>
      <c r="I287" s="197"/>
      <c r="J287" s="197"/>
      <c r="K287" s="197"/>
      <c r="L287" s="197"/>
      <c r="M287" s="197"/>
      <c r="N287" s="197"/>
      <c r="O287" s="197"/>
      <c r="P287" s="197"/>
      <c r="Q287" s="197"/>
      <c r="R287" s="197"/>
      <c r="S287" s="158"/>
      <c r="T287" s="158"/>
    </row>
    <row r="288" spans="1:20" ht="15.75">
      <c r="A288" s="197"/>
      <c r="B288" s="197"/>
      <c r="C288" s="197"/>
      <c r="D288" s="197"/>
      <c r="E288" s="197"/>
      <c r="F288" s="197"/>
      <c r="G288" s="197"/>
      <c r="H288" s="197"/>
      <c r="I288" s="197"/>
      <c r="J288" s="197"/>
      <c r="K288" s="197"/>
      <c r="L288" s="197"/>
      <c r="M288" s="197"/>
      <c r="N288" s="197"/>
      <c r="O288" s="197"/>
      <c r="P288" s="197"/>
      <c r="Q288" s="197"/>
      <c r="R288" s="197"/>
      <c r="S288" s="158"/>
      <c r="T288" s="158"/>
    </row>
    <row r="289" spans="1:20" ht="15.75">
      <c r="A289" s="197"/>
      <c r="B289" s="197"/>
      <c r="C289" s="197"/>
      <c r="D289" s="197"/>
      <c r="E289" s="197"/>
      <c r="F289" s="197"/>
      <c r="G289" s="197"/>
      <c r="H289" s="197"/>
      <c r="I289" s="197"/>
      <c r="J289" s="197"/>
      <c r="K289" s="197"/>
      <c r="L289" s="197"/>
      <c r="M289" s="197"/>
      <c r="N289" s="197"/>
      <c r="O289" s="197"/>
      <c r="P289" s="197"/>
      <c r="Q289" s="197"/>
      <c r="R289" s="197"/>
      <c r="S289" s="158"/>
      <c r="T289" s="158"/>
    </row>
    <row r="290" spans="1:20" ht="15.75">
      <c r="A290" s="197"/>
      <c r="B290" s="197"/>
      <c r="C290" s="197"/>
      <c r="D290" s="197"/>
      <c r="E290" s="197"/>
      <c r="F290" s="197"/>
      <c r="G290" s="197"/>
      <c r="H290" s="197"/>
      <c r="I290" s="197"/>
      <c r="J290" s="197"/>
      <c r="K290" s="197"/>
      <c r="L290" s="197"/>
      <c r="M290" s="197"/>
      <c r="N290" s="197"/>
      <c r="O290" s="197"/>
      <c r="P290" s="197"/>
      <c r="Q290" s="197"/>
      <c r="R290" s="197"/>
      <c r="S290" s="158"/>
      <c r="T290" s="158"/>
    </row>
    <row r="291" spans="1:20" ht="15.75">
      <c r="A291" s="197"/>
      <c r="B291" s="197"/>
      <c r="C291" s="197"/>
      <c r="D291" s="197"/>
      <c r="E291" s="197"/>
      <c r="F291" s="197"/>
      <c r="G291" s="197"/>
      <c r="H291" s="197"/>
      <c r="I291" s="197"/>
      <c r="J291" s="197"/>
      <c r="K291" s="197"/>
      <c r="L291" s="197"/>
      <c r="M291" s="197"/>
      <c r="N291" s="197"/>
      <c r="O291" s="197"/>
      <c r="P291" s="197"/>
      <c r="Q291" s="197"/>
      <c r="R291" s="197"/>
      <c r="S291" s="158"/>
      <c r="T291" s="158"/>
    </row>
    <row r="292" spans="1:20" ht="15.75">
      <c r="A292" s="197"/>
      <c r="B292" s="197"/>
      <c r="C292" s="197"/>
      <c r="D292" s="197"/>
      <c r="E292" s="197"/>
      <c r="F292" s="197"/>
      <c r="G292" s="197"/>
      <c r="H292" s="197"/>
      <c r="I292" s="197"/>
      <c r="J292" s="197"/>
      <c r="K292" s="197"/>
      <c r="L292" s="197"/>
      <c r="M292" s="197"/>
      <c r="N292" s="197"/>
      <c r="O292" s="197"/>
      <c r="P292" s="197"/>
      <c r="Q292" s="197"/>
      <c r="R292" s="197"/>
      <c r="S292" s="158"/>
      <c r="T292" s="158"/>
    </row>
    <row r="293" spans="1:20" ht="15.75">
      <c r="A293" s="197"/>
      <c r="B293" s="197"/>
      <c r="C293" s="197"/>
      <c r="D293" s="197"/>
      <c r="E293" s="197"/>
      <c r="F293" s="197"/>
      <c r="G293" s="197"/>
      <c r="H293" s="197"/>
      <c r="I293" s="197"/>
      <c r="J293" s="197"/>
      <c r="K293" s="197"/>
      <c r="L293" s="197"/>
      <c r="M293" s="197"/>
      <c r="N293" s="197"/>
      <c r="O293" s="197"/>
      <c r="P293" s="197"/>
      <c r="Q293" s="197"/>
      <c r="R293" s="197"/>
      <c r="S293" s="158"/>
      <c r="T293" s="158"/>
    </row>
    <row r="294" spans="1:20" ht="15.75">
      <c r="A294" s="197"/>
      <c r="B294" s="197"/>
      <c r="C294" s="197"/>
      <c r="D294" s="197"/>
      <c r="E294" s="197"/>
      <c r="F294" s="197"/>
      <c r="G294" s="197"/>
      <c r="H294" s="197"/>
      <c r="I294" s="197"/>
      <c r="J294" s="197"/>
      <c r="K294" s="197"/>
      <c r="L294" s="197"/>
      <c r="M294" s="197"/>
      <c r="N294" s="197"/>
      <c r="O294" s="197"/>
      <c r="P294" s="197"/>
      <c r="Q294" s="197"/>
      <c r="R294" s="197"/>
      <c r="S294" s="158"/>
      <c r="T294" s="158"/>
    </row>
    <row r="295" spans="1:20">
      <c r="A295" s="420" t="str">
        <f>"Calibration No.: "&amp;$T$12</f>
        <v>Calibration No.: CAL11957/00</v>
      </c>
      <c r="B295" s="421"/>
      <c r="C295" s="421"/>
      <c r="D295" s="421"/>
      <c r="E295" s="421"/>
      <c r="F295" s="421"/>
      <c r="G295" s="421"/>
      <c r="H295" s="421"/>
      <c r="I295" s="422" t="str">
        <f>$G$32</f>
        <v>0</v>
      </c>
      <c r="J295" s="421"/>
      <c r="K295" s="421"/>
      <c r="L295" s="421"/>
      <c r="M295" s="421"/>
      <c r="N295" s="420" t="s">
        <v>360</v>
      </c>
      <c r="O295" s="423"/>
      <c r="P295" s="423"/>
      <c r="Q295" s="423"/>
      <c r="R295" s="423"/>
      <c r="S295" s="423"/>
      <c r="T295" s="423" t="s">
        <v>780</v>
      </c>
    </row>
    <row r="296" spans="1:20" ht="15.75">
      <c r="A296" s="197"/>
      <c r="B296" s="197"/>
      <c r="C296" s="197"/>
      <c r="D296" s="197"/>
      <c r="E296" s="197"/>
      <c r="F296" s="197"/>
      <c r="G296" s="197"/>
      <c r="H296" s="197"/>
      <c r="I296" s="197"/>
      <c r="J296" s="197"/>
      <c r="K296" s="197"/>
      <c r="L296" s="197"/>
      <c r="M296" s="197"/>
      <c r="N296" s="197"/>
      <c r="O296" s="197"/>
      <c r="P296" s="197"/>
      <c r="Q296" s="197"/>
      <c r="R296" s="197"/>
      <c r="S296" s="158"/>
      <c r="T296" s="158"/>
    </row>
    <row r="297" spans="1:20" ht="15.75">
      <c r="A297" s="197"/>
      <c r="B297" s="197"/>
      <c r="C297" s="197"/>
      <c r="D297" s="197"/>
      <c r="E297" s="197"/>
      <c r="F297" s="197"/>
      <c r="G297" s="197"/>
      <c r="H297" s="197"/>
      <c r="I297" s="197"/>
      <c r="J297" s="197"/>
      <c r="K297" s="197"/>
      <c r="L297" s="197"/>
      <c r="M297" s="197"/>
      <c r="N297" s="197"/>
      <c r="O297" s="197"/>
      <c r="P297" s="197"/>
      <c r="Q297" s="197"/>
      <c r="R297" s="197"/>
      <c r="S297" s="158"/>
      <c r="T297" s="158"/>
    </row>
    <row r="298" spans="1:20" ht="15.75">
      <c r="A298" s="197"/>
      <c r="B298" s="197"/>
      <c r="C298" s="197"/>
      <c r="D298" s="197"/>
      <c r="E298" s="197"/>
      <c r="F298" s="197"/>
      <c r="G298" s="197"/>
      <c r="H298" s="197"/>
      <c r="I298" s="197"/>
      <c r="J298" s="197"/>
      <c r="K298" s="197"/>
      <c r="L298" s="197"/>
      <c r="M298" s="197"/>
      <c r="N298" s="197"/>
      <c r="O298" s="197"/>
      <c r="P298" s="197"/>
      <c r="Q298" s="197"/>
      <c r="R298" s="197"/>
      <c r="S298" s="158"/>
      <c r="T298" s="158"/>
    </row>
    <row r="299" spans="1:20" ht="15.75">
      <c r="A299" s="197"/>
      <c r="B299" s="197"/>
      <c r="C299" s="197"/>
      <c r="D299" s="197"/>
      <c r="E299" s="197"/>
      <c r="F299" s="197"/>
      <c r="G299" s="197"/>
      <c r="H299" s="197"/>
      <c r="I299" s="197"/>
      <c r="J299" s="197"/>
      <c r="K299" s="197"/>
      <c r="L299" s="197"/>
      <c r="M299" s="197"/>
      <c r="N299" s="197"/>
      <c r="O299" s="197"/>
      <c r="P299" s="197"/>
      <c r="Q299" s="197"/>
      <c r="R299" s="197"/>
      <c r="S299" s="158"/>
      <c r="T299" s="158"/>
    </row>
    <row r="300" spans="1:20" ht="15.75">
      <c r="A300" s="197"/>
      <c r="B300" s="197"/>
      <c r="C300" s="197"/>
      <c r="D300" s="197"/>
      <c r="E300" s="197"/>
      <c r="F300" s="197"/>
      <c r="G300" s="197"/>
      <c r="H300" s="197"/>
      <c r="I300" s="197"/>
      <c r="J300" s="197"/>
      <c r="K300" s="197"/>
      <c r="L300" s="197"/>
      <c r="M300" s="197"/>
      <c r="N300" s="197"/>
      <c r="O300" s="197"/>
      <c r="P300" s="197"/>
      <c r="Q300" s="197"/>
      <c r="R300" s="197"/>
      <c r="S300" s="158"/>
      <c r="T300" s="158"/>
    </row>
    <row r="301" spans="1:20" ht="15.75">
      <c r="A301" s="197"/>
      <c r="B301" s="197"/>
      <c r="C301" s="197"/>
      <c r="D301" s="197"/>
      <c r="E301" s="197"/>
      <c r="F301" s="197"/>
      <c r="G301" s="197"/>
      <c r="H301" s="197"/>
      <c r="I301" s="197"/>
      <c r="J301" s="197"/>
      <c r="K301" s="197"/>
      <c r="L301" s="197"/>
      <c r="M301" s="197"/>
      <c r="N301" s="197"/>
      <c r="O301" s="197"/>
      <c r="P301" s="197"/>
      <c r="Q301" s="197"/>
      <c r="R301" s="197"/>
      <c r="S301" s="158"/>
      <c r="T301" s="158"/>
    </row>
    <row r="302" spans="1:20" ht="15.75">
      <c r="A302" s="197"/>
      <c r="B302" s="197"/>
      <c r="C302" s="197"/>
      <c r="D302" s="197"/>
      <c r="E302" s="197"/>
      <c r="F302" s="197"/>
      <c r="G302" s="197"/>
      <c r="H302" s="197"/>
      <c r="I302" s="197"/>
      <c r="J302" s="197"/>
      <c r="K302" s="197"/>
      <c r="L302" s="197"/>
      <c r="M302" s="197"/>
      <c r="N302" s="197"/>
      <c r="O302" s="197"/>
      <c r="P302" s="197"/>
      <c r="Q302" s="197"/>
      <c r="R302" s="197"/>
      <c r="S302" s="158"/>
      <c r="T302" s="158"/>
    </row>
    <row r="303" spans="1:20" ht="15.75">
      <c r="A303" s="197"/>
      <c r="B303" s="197"/>
      <c r="C303" s="197"/>
      <c r="D303" s="197"/>
      <c r="E303" s="197"/>
      <c r="F303" s="197"/>
      <c r="G303" s="197"/>
      <c r="H303" s="197"/>
      <c r="I303" s="197"/>
      <c r="J303" s="197"/>
      <c r="K303" s="197"/>
      <c r="L303" s="197"/>
      <c r="M303" s="197"/>
      <c r="N303" s="197"/>
      <c r="O303" s="197"/>
      <c r="P303" s="197"/>
      <c r="Q303" s="197"/>
      <c r="R303" s="197"/>
      <c r="S303" s="158"/>
      <c r="T303" s="158"/>
    </row>
    <row r="304" spans="1:20" ht="15.75">
      <c r="A304" s="197"/>
      <c r="B304" s="197"/>
      <c r="C304" s="197"/>
      <c r="D304" s="197"/>
      <c r="E304" s="197"/>
      <c r="F304" s="197"/>
      <c r="G304" s="197"/>
      <c r="H304" s="197"/>
      <c r="I304" s="197"/>
      <c r="J304" s="197"/>
      <c r="K304" s="197"/>
      <c r="L304" s="197"/>
      <c r="M304" s="197"/>
      <c r="N304" s="197"/>
      <c r="O304" s="197"/>
      <c r="P304" s="197"/>
      <c r="Q304" s="197"/>
      <c r="R304" s="197"/>
      <c r="S304" s="158"/>
      <c r="T304" s="158"/>
    </row>
    <row r="305" spans="1:20" ht="15.75">
      <c r="A305" s="197"/>
      <c r="B305" s="197"/>
      <c r="C305" s="197"/>
      <c r="D305" s="197"/>
      <c r="E305" s="197"/>
      <c r="F305" s="197"/>
      <c r="G305" s="197"/>
      <c r="H305" s="197"/>
      <c r="I305" s="197"/>
      <c r="J305" s="197"/>
      <c r="K305" s="197"/>
      <c r="L305" s="197"/>
      <c r="M305" s="197"/>
      <c r="N305" s="197"/>
      <c r="O305" s="197"/>
      <c r="P305" s="197"/>
      <c r="Q305" s="197"/>
      <c r="R305" s="197"/>
      <c r="S305" s="158"/>
      <c r="T305" s="158"/>
    </row>
    <row r="306" spans="1:20" ht="15.75">
      <c r="A306" s="197"/>
      <c r="B306" s="197"/>
      <c r="C306" s="197"/>
      <c r="D306" s="197"/>
      <c r="E306" s="197"/>
      <c r="F306" s="197"/>
      <c r="G306" s="197"/>
      <c r="H306" s="197"/>
      <c r="I306" s="197"/>
      <c r="J306" s="197"/>
      <c r="K306" s="197"/>
      <c r="L306" s="197"/>
      <c r="M306" s="197"/>
      <c r="N306" s="197"/>
      <c r="O306" s="197"/>
      <c r="P306" s="197"/>
      <c r="Q306" s="197"/>
      <c r="R306" s="197"/>
      <c r="S306" s="158"/>
      <c r="T306" s="158"/>
    </row>
    <row r="307" spans="1:20" ht="15.75">
      <c r="A307" s="197"/>
      <c r="B307" s="197"/>
      <c r="C307" s="197"/>
      <c r="D307" s="197"/>
      <c r="E307" s="197"/>
      <c r="F307" s="197"/>
      <c r="G307" s="197"/>
      <c r="H307" s="197"/>
      <c r="I307" s="197"/>
      <c r="J307" s="197"/>
      <c r="K307" s="197"/>
      <c r="L307" s="197"/>
      <c r="M307" s="197"/>
      <c r="N307" s="197"/>
      <c r="O307" s="197"/>
      <c r="P307" s="197"/>
      <c r="Q307" s="197"/>
      <c r="R307" s="197"/>
      <c r="S307" s="158"/>
      <c r="T307" s="158"/>
    </row>
    <row r="308" spans="1:20" ht="15.75">
      <c r="A308" s="197"/>
      <c r="B308" s="197"/>
      <c r="C308" s="197"/>
      <c r="D308" s="197"/>
      <c r="E308" s="197"/>
      <c r="F308" s="197"/>
      <c r="G308" s="197"/>
      <c r="H308" s="197"/>
      <c r="I308" s="197"/>
      <c r="J308" s="197"/>
      <c r="K308" s="197"/>
      <c r="L308" s="197"/>
      <c r="M308" s="197"/>
      <c r="N308" s="197"/>
      <c r="O308" s="197"/>
      <c r="P308" s="197"/>
      <c r="Q308" s="197"/>
      <c r="R308" s="197"/>
      <c r="S308" s="158"/>
      <c r="T308" s="158"/>
    </row>
    <row r="309" spans="1:20" ht="15.75">
      <c r="A309" s="197"/>
      <c r="B309" s="197"/>
      <c r="C309" s="197"/>
      <c r="D309" s="197"/>
      <c r="E309" s="197"/>
      <c r="F309" s="197"/>
      <c r="G309" s="197"/>
      <c r="H309" s="197"/>
      <c r="I309" s="197"/>
      <c r="J309" s="197"/>
      <c r="K309" s="197"/>
      <c r="L309" s="197"/>
      <c r="M309" s="197"/>
      <c r="N309" s="197"/>
      <c r="O309" s="197"/>
      <c r="P309" s="197"/>
      <c r="Q309" s="197"/>
      <c r="R309" s="197"/>
      <c r="S309" s="158"/>
      <c r="T309" s="158"/>
    </row>
    <row r="310" spans="1:20" ht="15.75">
      <c r="A310" s="197"/>
      <c r="B310" s="197"/>
      <c r="C310" s="197"/>
      <c r="D310" s="197"/>
      <c r="E310" s="197"/>
      <c r="F310" s="197"/>
      <c r="G310" s="197"/>
      <c r="H310" s="197"/>
      <c r="I310" s="197"/>
      <c r="J310" s="197"/>
      <c r="K310" s="197"/>
      <c r="L310" s="197"/>
      <c r="M310" s="197"/>
      <c r="N310" s="197"/>
      <c r="O310" s="197"/>
      <c r="P310" s="197"/>
      <c r="Q310" s="197"/>
      <c r="R310" s="197"/>
      <c r="S310" s="158"/>
      <c r="T310" s="158"/>
    </row>
    <row r="311" spans="1:20" ht="15.75">
      <c r="A311" s="197"/>
      <c r="B311" s="197"/>
      <c r="C311" s="197"/>
      <c r="D311" s="197"/>
      <c r="E311" s="197"/>
      <c r="F311" s="197"/>
      <c r="G311" s="197"/>
      <c r="H311" s="197"/>
      <c r="I311" s="197"/>
      <c r="J311" s="197"/>
      <c r="K311" s="197"/>
      <c r="L311" s="197"/>
      <c r="M311" s="197"/>
      <c r="N311" s="197"/>
      <c r="O311" s="197"/>
      <c r="P311" s="197"/>
      <c r="Q311" s="197"/>
      <c r="R311" s="197"/>
      <c r="S311" s="158"/>
      <c r="T311" s="158"/>
    </row>
    <row r="312" spans="1:20" ht="15.75">
      <c r="A312" s="197"/>
      <c r="B312" s="197"/>
      <c r="C312" s="197"/>
      <c r="D312" s="197"/>
      <c r="E312" s="197"/>
      <c r="F312" s="197"/>
      <c r="G312" s="197"/>
      <c r="H312" s="197"/>
      <c r="I312" s="197"/>
      <c r="J312" s="197"/>
      <c r="K312" s="197"/>
      <c r="L312" s="197"/>
      <c r="M312" s="197"/>
      <c r="N312" s="197"/>
      <c r="O312" s="197"/>
      <c r="P312" s="197"/>
      <c r="Q312" s="197"/>
      <c r="R312" s="197"/>
      <c r="S312" s="158"/>
      <c r="T312" s="158"/>
    </row>
    <row r="313" spans="1:20" ht="15.75">
      <c r="A313" s="197"/>
      <c r="B313" s="197"/>
      <c r="C313" s="197"/>
      <c r="D313" s="197"/>
      <c r="E313" s="197"/>
      <c r="F313" s="197"/>
      <c r="G313" s="197"/>
      <c r="H313" s="197"/>
      <c r="I313" s="197"/>
      <c r="J313" s="197"/>
      <c r="K313" s="197"/>
      <c r="L313" s="197"/>
      <c r="M313" s="197"/>
      <c r="N313" s="197"/>
      <c r="O313" s="197"/>
      <c r="P313" s="197"/>
      <c r="Q313" s="197"/>
      <c r="R313" s="197"/>
      <c r="S313" s="158"/>
      <c r="T313" s="158"/>
    </row>
    <row r="314" spans="1:20" ht="15.75">
      <c r="A314" s="197"/>
      <c r="B314" s="197"/>
      <c r="C314" s="197"/>
      <c r="D314" s="197"/>
      <c r="E314" s="197"/>
      <c r="F314" s="197"/>
      <c r="G314" s="197"/>
      <c r="H314" s="197"/>
      <c r="I314" s="197"/>
      <c r="J314" s="197"/>
      <c r="K314" s="197"/>
      <c r="L314" s="197"/>
      <c r="M314" s="197"/>
      <c r="N314" s="197"/>
      <c r="O314" s="197"/>
      <c r="P314" s="197"/>
      <c r="Q314" s="197"/>
      <c r="R314" s="197"/>
      <c r="S314" s="158"/>
      <c r="T314" s="158"/>
    </row>
    <row r="315" spans="1:20" ht="15.75">
      <c r="A315" s="197"/>
      <c r="B315" s="197"/>
      <c r="C315" s="197"/>
      <c r="D315" s="197"/>
      <c r="E315" s="197"/>
      <c r="F315" s="197"/>
      <c r="G315" s="197"/>
      <c r="H315" s="197"/>
      <c r="I315" s="197"/>
      <c r="J315" s="197"/>
      <c r="K315" s="197"/>
      <c r="L315" s="197"/>
      <c r="M315" s="197"/>
      <c r="N315" s="197"/>
      <c r="O315" s="197"/>
      <c r="P315" s="197"/>
      <c r="Q315" s="197"/>
      <c r="R315" s="197"/>
      <c r="S315" s="158"/>
      <c r="T315" s="158"/>
    </row>
    <row r="316" spans="1:20" ht="15.75">
      <c r="A316" s="197"/>
      <c r="B316" s="197"/>
      <c r="C316" s="197"/>
      <c r="D316" s="197"/>
      <c r="E316" s="197"/>
      <c r="F316" s="197"/>
      <c r="G316" s="197"/>
      <c r="H316" s="197"/>
      <c r="I316" s="197"/>
      <c r="J316" s="197"/>
      <c r="K316" s="197"/>
      <c r="L316" s="197"/>
      <c r="M316" s="197"/>
      <c r="N316" s="197"/>
      <c r="O316" s="197"/>
      <c r="P316" s="197"/>
      <c r="Q316" s="197"/>
      <c r="R316" s="197"/>
      <c r="S316" s="158"/>
      <c r="T316" s="158"/>
    </row>
    <row r="317" spans="1:20">
      <c r="A317" s="97"/>
      <c r="B317" s="97"/>
      <c r="C317" s="97"/>
      <c r="D317" s="97"/>
      <c r="E317" s="97"/>
      <c r="F317" s="97"/>
      <c r="G317" s="97"/>
      <c r="H317" s="97"/>
      <c r="I317" s="97"/>
      <c r="J317" s="97"/>
      <c r="K317" s="97"/>
      <c r="L317" s="97"/>
      <c r="M317" s="97"/>
      <c r="N317" s="97"/>
      <c r="O317" s="97"/>
      <c r="P317" s="97"/>
      <c r="Q317" s="97"/>
      <c r="R317" s="97"/>
    </row>
    <row r="318" spans="1:20">
      <c r="A318" s="97"/>
      <c r="B318" s="97"/>
      <c r="C318" s="97"/>
      <c r="D318" s="97"/>
      <c r="E318" s="97"/>
      <c r="F318" s="97"/>
      <c r="G318" s="97"/>
      <c r="H318" s="97"/>
      <c r="I318" s="97"/>
      <c r="J318" s="97"/>
      <c r="K318" s="97"/>
      <c r="L318" s="97"/>
      <c r="M318" s="97"/>
      <c r="N318" s="97"/>
      <c r="O318" s="97"/>
      <c r="P318" s="97"/>
      <c r="Q318" s="97"/>
      <c r="R318" s="97"/>
    </row>
    <row r="319" spans="1:20">
      <c r="A319" s="97"/>
      <c r="B319" s="97"/>
      <c r="C319" s="97"/>
      <c r="D319" s="97"/>
      <c r="E319" s="97"/>
      <c r="F319" s="97"/>
      <c r="G319" s="97"/>
      <c r="H319" s="97"/>
      <c r="I319" s="97"/>
      <c r="J319" s="97"/>
      <c r="K319" s="97"/>
      <c r="L319" s="97"/>
      <c r="M319" s="97"/>
      <c r="N319" s="97"/>
      <c r="O319" s="97"/>
      <c r="P319" s="97"/>
      <c r="Q319" s="97"/>
      <c r="R319" s="97"/>
    </row>
    <row r="320" spans="1:20">
      <c r="A320" s="97"/>
      <c r="B320" s="97"/>
      <c r="C320" s="97"/>
      <c r="D320" s="97"/>
      <c r="E320" s="97"/>
      <c r="F320" s="97"/>
      <c r="G320" s="97"/>
      <c r="H320" s="97"/>
      <c r="I320" s="97"/>
      <c r="J320" s="97"/>
      <c r="K320" s="97"/>
      <c r="L320" s="97"/>
      <c r="M320" s="97"/>
      <c r="N320" s="97"/>
      <c r="O320" s="97"/>
      <c r="P320" s="97"/>
      <c r="Q320" s="97"/>
      <c r="R320" s="97"/>
    </row>
    <row r="321" spans="1:18">
      <c r="A321" s="97"/>
      <c r="B321" s="97"/>
      <c r="C321" s="97"/>
      <c r="D321" s="97"/>
      <c r="E321" s="97"/>
      <c r="F321" s="97"/>
      <c r="G321" s="97"/>
      <c r="H321" s="97"/>
      <c r="I321" s="97"/>
      <c r="J321" s="97"/>
      <c r="K321" s="97"/>
      <c r="L321" s="97"/>
      <c r="M321" s="97"/>
      <c r="N321" s="97"/>
      <c r="O321" s="97"/>
      <c r="P321" s="97"/>
      <c r="Q321" s="97"/>
      <c r="R321" s="97"/>
    </row>
    <row r="322" spans="1:18">
      <c r="A322" s="97"/>
      <c r="B322" s="97"/>
      <c r="C322" s="97"/>
      <c r="D322" s="97"/>
      <c r="E322" s="97"/>
      <c r="F322" s="97"/>
      <c r="G322" s="97"/>
      <c r="H322" s="97"/>
      <c r="I322" s="97"/>
      <c r="J322" s="97"/>
      <c r="K322" s="97"/>
      <c r="L322" s="97"/>
      <c r="M322" s="97"/>
      <c r="N322" s="97"/>
      <c r="O322" s="97"/>
      <c r="P322" s="97"/>
      <c r="Q322" s="97"/>
      <c r="R322" s="97"/>
    </row>
    <row r="323" spans="1:18">
      <c r="A323" s="97"/>
      <c r="B323" s="97"/>
      <c r="C323" s="97"/>
      <c r="D323" s="97"/>
      <c r="E323" s="97"/>
      <c r="F323" s="97"/>
      <c r="G323" s="97"/>
      <c r="H323" s="97"/>
      <c r="I323" s="97"/>
      <c r="J323" s="97"/>
      <c r="K323" s="97"/>
      <c r="L323" s="97"/>
      <c r="M323" s="97"/>
      <c r="N323" s="97"/>
      <c r="O323" s="97"/>
      <c r="P323" s="97"/>
      <c r="Q323" s="97"/>
      <c r="R323" s="97"/>
    </row>
    <row r="324" spans="1:18">
      <c r="A324" s="97"/>
      <c r="B324" s="97"/>
      <c r="C324" s="97"/>
      <c r="D324" s="97"/>
      <c r="E324" s="97"/>
      <c r="F324" s="97"/>
      <c r="G324" s="97"/>
      <c r="H324" s="97"/>
      <c r="I324" s="97"/>
      <c r="J324" s="97"/>
      <c r="K324" s="97"/>
      <c r="L324" s="97"/>
      <c r="M324" s="97"/>
      <c r="N324" s="97"/>
      <c r="O324" s="97"/>
      <c r="P324" s="97"/>
      <c r="Q324" s="97"/>
      <c r="R324" s="97"/>
    </row>
    <row r="325" spans="1:18">
      <c r="A325" s="97"/>
      <c r="B325" s="97"/>
      <c r="C325" s="97"/>
      <c r="D325" s="97"/>
      <c r="E325" s="97"/>
      <c r="F325" s="97"/>
      <c r="G325" s="97"/>
      <c r="H325" s="97"/>
      <c r="I325" s="97"/>
      <c r="J325" s="97"/>
      <c r="K325" s="97"/>
      <c r="L325" s="97"/>
      <c r="M325" s="97"/>
      <c r="N325" s="97"/>
      <c r="O325" s="97"/>
      <c r="P325" s="97"/>
      <c r="Q325" s="97"/>
      <c r="R325" s="97"/>
    </row>
    <row r="326" spans="1:18">
      <c r="A326" s="97"/>
      <c r="B326" s="97"/>
      <c r="C326" s="97"/>
      <c r="D326" s="97"/>
      <c r="E326" s="97"/>
      <c r="F326" s="97"/>
      <c r="G326" s="97"/>
      <c r="H326" s="97"/>
      <c r="I326" s="97"/>
      <c r="J326" s="97"/>
      <c r="K326" s="97"/>
      <c r="L326" s="97"/>
      <c r="M326" s="97"/>
      <c r="N326" s="97"/>
      <c r="O326" s="97"/>
      <c r="P326" s="97"/>
      <c r="Q326" s="97"/>
      <c r="R326" s="97"/>
    </row>
    <row r="327" spans="1:18">
      <c r="A327" s="97"/>
      <c r="B327" s="97"/>
      <c r="C327" s="97"/>
      <c r="D327" s="97"/>
      <c r="E327" s="97"/>
      <c r="F327" s="97"/>
      <c r="G327" s="97"/>
      <c r="H327" s="97"/>
      <c r="I327" s="97"/>
      <c r="J327" s="97"/>
      <c r="K327" s="97"/>
      <c r="L327" s="97"/>
      <c r="M327" s="97"/>
      <c r="N327" s="97"/>
      <c r="O327" s="97"/>
      <c r="P327" s="97"/>
      <c r="Q327" s="97"/>
      <c r="R327" s="97"/>
    </row>
    <row r="328" spans="1:18">
      <c r="A328" s="97"/>
      <c r="B328" s="97"/>
      <c r="C328" s="97"/>
      <c r="D328" s="97"/>
      <c r="E328" s="97"/>
      <c r="F328" s="97"/>
      <c r="G328" s="97"/>
      <c r="H328" s="97"/>
      <c r="I328" s="97"/>
      <c r="J328" s="97"/>
      <c r="K328" s="97"/>
      <c r="L328" s="97"/>
      <c r="M328" s="97"/>
      <c r="N328" s="97"/>
      <c r="O328" s="97"/>
      <c r="P328" s="97"/>
      <c r="Q328" s="97"/>
      <c r="R328" s="97"/>
    </row>
    <row r="329" spans="1:18">
      <c r="A329" s="97"/>
      <c r="B329" s="97"/>
      <c r="C329" s="97"/>
      <c r="D329" s="97"/>
      <c r="E329" s="97"/>
      <c r="F329" s="97"/>
      <c r="G329" s="97"/>
      <c r="H329" s="97"/>
      <c r="I329" s="97"/>
      <c r="J329" s="97"/>
      <c r="K329" s="97"/>
      <c r="L329" s="97"/>
      <c r="M329" s="97"/>
      <c r="N329" s="97"/>
      <c r="O329" s="97"/>
      <c r="P329" s="97"/>
      <c r="Q329" s="97"/>
      <c r="R329" s="97"/>
    </row>
    <row r="330" spans="1:18">
      <c r="A330" s="97"/>
      <c r="B330" s="97"/>
      <c r="C330" s="97"/>
      <c r="D330" s="97"/>
      <c r="E330" s="97"/>
      <c r="F330" s="97"/>
      <c r="G330" s="97"/>
      <c r="H330" s="97"/>
      <c r="I330" s="97"/>
      <c r="J330" s="97"/>
      <c r="K330" s="97"/>
      <c r="L330" s="97"/>
      <c r="M330" s="97"/>
      <c r="N330" s="97"/>
      <c r="O330" s="97"/>
      <c r="P330" s="97"/>
      <c r="Q330" s="97"/>
      <c r="R330" s="97"/>
    </row>
    <row r="331" spans="1:18">
      <c r="A331" s="97"/>
      <c r="B331" s="97"/>
      <c r="C331" s="97"/>
      <c r="D331" s="97"/>
      <c r="E331" s="97"/>
      <c r="F331" s="97"/>
      <c r="G331" s="97"/>
      <c r="H331" s="97"/>
      <c r="I331" s="97"/>
      <c r="J331" s="97"/>
      <c r="K331" s="97"/>
      <c r="L331" s="97"/>
      <c r="M331" s="97"/>
      <c r="N331" s="97"/>
      <c r="O331" s="97"/>
      <c r="P331" s="97"/>
      <c r="Q331" s="97"/>
      <c r="R331" s="97"/>
    </row>
    <row r="332" spans="1:18">
      <c r="A332" s="97"/>
      <c r="B332" s="97"/>
      <c r="C332" s="97"/>
      <c r="D332" s="97"/>
      <c r="E332" s="97"/>
      <c r="F332" s="97"/>
      <c r="G332" s="97"/>
      <c r="H332" s="97"/>
      <c r="I332" s="97"/>
      <c r="J332" s="97"/>
      <c r="K332" s="97"/>
      <c r="L332" s="97"/>
      <c r="M332" s="97"/>
      <c r="N332" s="97"/>
      <c r="O332" s="97"/>
      <c r="P332" s="97"/>
      <c r="Q332" s="97"/>
      <c r="R332" s="97"/>
    </row>
    <row r="333" spans="1:18">
      <c r="A333" s="97"/>
      <c r="B333" s="97"/>
      <c r="C333" s="97"/>
      <c r="D333" s="97"/>
      <c r="E333" s="97"/>
      <c r="F333" s="97"/>
      <c r="G333" s="97"/>
      <c r="H333" s="97"/>
      <c r="I333" s="97"/>
      <c r="J333" s="97"/>
      <c r="K333" s="97"/>
      <c r="L333" s="97"/>
      <c r="M333" s="97"/>
      <c r="N333" s="97"/>
      <c r="O333" s="97"/>
      <c r="P333" s="97"/>
      <c r="Q333" s="97"/>
      <c r="R333" s="97"/>
    </row>
    <row r="334" spans="1:18">
      <c r="A334" s="97"/>
      <c r="B334" s="97"/>
      <c r="C334" s="97"/>
      <c r="D334" s="97"/>
      <c r="E334" s="97"/>
      <c r="F334" s="97"/>
      <c r="G334" s="97"/>
      <c r="H334" s="97"/>
      <c r="I334" s="97"/>
      <c r="J334" s="97"/>
      <c r="K334" s="97"/>
      <c r="L334" s="97"/>
      <c r="M334" s="97"/>
      <c r="N334" s="97"/>
      <c r="O334" s="97"/>
      <c r="P334" s="97"/>
      <c r="Q334" s="97"/>
      <c r="R334" s="97"/>
    </row>
    <row r="335" spans="1:18">
      <c r="A335" s="97"/>
      <c r="B335" s="97"/>
      <c r="C335" s="97"/>
      <c r="D335" s="97"/>
      <c r="E335" s="97"/>
      <c r="F335" s="97"/>
      <c r="G335" s="97"/>
      <c r="H335" s="97"/>
      <c r="I335" s="97"/>
      <c r="J335" s="97"/>
      <c r="K335" s="97"/>
      <c r="L335" s="97"/>
      <c r="M335" s="97"/>
      <c r="N335" s="97"/>
      <c r="O335" s="97"/>
      <c r="P335" s="97"/>
      <c r="Q335" s="97"/>
      <c r="R335" s="97"/>
    </row>
    <row r="336" spans="1:18">
      <c r="A336" s="97"/>
      <c r="B336" s="97"/>
      <c r="C336" s="97"/>
      <c r="D336" s="97"/>
      <c r="E336" s="97"/>
      <c r="F336" s="97"/>
      <c r="G336" s="97"/>
      <c r="H336" s="97"/>
      <c r="I336" s="97"/>
      <c r="J336" s="97"/>
      <c r="K336" s="97"/>
      <c r="L336" s="97"/>
      <c r="M336" s="97"/>
      <c r="N336" s="97"/>
      <c r="O336" s="97"/>
      <c r="P336" s="97"/>
      <c r="Q336" s="97"/>
      <c r="R336" s="97"/>
    </row>
    <row r="337" spans="1:18">
      <c r="A337" s="97"/>
      <c r="B337" s="97"/>
      <c r="C337" s="97"/>
      <c r="D337" s="97"/>
      <c r="E337" s="97"/>
      <c r="F337" s="97"/>
      <c r="G337" s="97"/>
      <c r="H337" s="97"/>
      <c r="I337" s="97"/>
      <c r="J337" s="97"/>
      <c r="K337" s="97"/>
      <c r="L337" s="97"/>
      <c r="M337" s="97"/>
      <c r="N337" s="97"/>
      <c r="O337" s="97"/>
      <c r="P337" s="97"/>
      <c r="Q337" s="97"/>
      <c r="R337" s="97"/>
    </row>
    <row r="338" spans="1:18">
      <c r="A338" s="97"/>
      <c r="B338" s="97"/>
      <c r="C338" s="97"/>
      <c r="D338" s="97"/>
      <c r="E338" s="97"/>
      <c r="F338" s="97"/>
      <c r="G338" s="97"/>
      <c r="H338" s="97"/>
      <c r="I338" s="97"/>
      <c r="J338" s="97"/>
      <c r="K338" s="97"/>
      <c r="L338" s="97"/>
      <c r="M338" s="97"/>
      <c r="N338" s="97"/>
      <c r="O338" s="97"/>
      <c r="P338" s="97"/>
      <c r="Q338" s="97"/>
      <c r="R338" s="97"/>
    </row>
    <row r="339" spans="1:18">
      <c r="A339" s="97"/>
      <c r="B339" s="97"/>
      <c r="C339" s="97"/>
      <c r="D339" s="97"/>
      <c r="E339" s="97"/>
      <c r="F339" s="97"/>
      <c r="G339" s="97"/>
      <c r="H339" s="97"/>
      <c r="I339" s="97"/>
      <c r="J339" s="97"/>
      <c r="K339" s="97"/>
      <c r="L339" s="97"/>
      <c r="M339" s="97"/>
      <c r="N339" s="97"/>
      <c r="O339" s="97"/>
      <c r="P339" s="97"/>
      <c r="Q339" s="97"/>
      <c r="R339" s="97"/>
    </row>
    <row r="340" spans="1:18">
      <c r="A340" s="97"/>
      <c r="B340" s="97"/>
      <c r="C340" s="97"/>
      <c r="D340" s="97"/>
      <c r="E340" s="97"/>
      <c r="F340" s="97"/>
      <c r="G340" s="97"/>
      <c r="H340" s="97"/>
      <c r="I340" s="97"/>
      <c r="J340" s="97"/>
      <c r="K340" s="97"/>
      <c r="L340" s="97"/>
      <c r="M340" s="97"/>
      <c r="N340" s="97"/>
      <c r="O340" s="97"/>
      <c r="P340" s="97"/>
      <c r="Q340" s="97"/>
      <c r="R340" s="97"/>
    </row>
    <row r="341" spans="1:18">
      <c r="A341" s="97"/>
      <c r="B341" s="97"/>
      <c r="C341" s="97"/>
      <c r="D341" s="97"/>
      <c r="E341" s="97"/>
      <c r="F341" s="97"/>
      <c r="G341" s="97"/>
      <c r="H341" s="97"/>
      <c r="I341" s="97"/>
      <c r="J341" s="97"/>
      <c r="K341" s="97"/>
      <c r="L341" s="97"/>
      <c r="M341" s="97"/>
      <c r="N341" s="97"/>
      <c r="O341" s="97"/>
      <c r="P341" s="97"/>
      <c r="Q341" s="97"/>
      <c r="R341" s="97"/>
    </row>
    <row r="342" spans="1:18">
      <c r="A342" s="97"/>
      <c r="B342" s="97"/>
      <c r="C342" s="97"/>
      <c r="D342" s="97"/>
      <c r="E342" s="97"/>
      <c r="F342" s="97"/>
      <c r="G342" s="97"/>
      <c r="H342" s="97"/>
      <c r="I342" s="97"/>
      <c r="J342" s="97"/>
      <c r="K342" s="97"/>
      <c r="L342" s="97"/>
      <c r="M342" s="97"/>
      <c r="N342" s="97"/>
      <c r="O342" s="97"/>
      <c r="P342" s="97"/>
      <c r="Q342" s="97"/>
      <c r="R342" s="97"/>
    </row>
    <row r="343" spans="1:18">
      <c r="A343" s="97"/>
      <c r="B343" s="97"/>
      <c r="C343" s="97"/>
      <c r="D343" s="97"/>
      <c r="E343" s="97"/>
      <c r="F343" s="97"/>
      <c r="G343" s="97"/>
      <c r="H343" s="97"/>
      <c r="I343" s="97"/>
      <c r="J343" s="97"/>
      <c r="K343" s="97"/>
      <c r="L343" s="97"/>
      <c r="M343" s="97"/>
      <c r="N343" s="97"/>
      <c r="O343" s="97"/>
      <c r="P343" s="97"/>
      <c r="Q343" s="97"/>
      <c r="R343" s="97"/>
    </row>
    <row r="344" spans="1:18">
      <c r="A344" s="97"/>
      <c r="B344" s="97"/>
      <c r="C344" s="97"/>
      <c r="D344" s="97"/>
      <c r="E344" s="97"/>
      <c r="F344" s="97"/>
      <c r="G344" s="97"/>
      <c r="H344" s="97"/>
      <c r="I344" s="97"/>
      <c r="J344" s="97"/>
      <c r="K344" s="97"/>
      <c r="L344" s="97"/>
      <c r="M344" s="97"/>
      <c r="N344" s="97"/>
      <c r="O344" s="97"/>
      <c r="P344" s="97"/>
      <c r="Q344" s="97"/>
      <c r="R344" s="97"/>
    </row>
    <row r="345" spans="1:18">
      <c r="A345" s="97"/>
      <c r="B345" s="97"/>
      <c r="C345" s="97"/>
      <c r="D345" s="97"/>
      <c r="E345" s="97"/>
      <c r="F345" s="97"/>
      <c r="G345" s="97"/>
      <c r="H345" s="97"/>
      <c r="I345" s="97"/>
      <c r="J345" s="97"/>
      <c r="K345" s="97"/>
      <c r="L345" s="97"/>
      <c r="M345" s="97"/>
      <c r="N345" s="97"/>
      <c r="O345" s="97"/>
      <c r="P345" s="97"/>
      <c r="Q345" s="97"/>
      <c r="R345" s="97"/>
    </row>
    <row r="346" spans="1:18">
      <c r="A346" s="97"/>
      <c r="B346" s="97"/>
      <c r="C346" s="97"/>
      <c r="D346" s="97"/>
      <c r="E346" s="97"/>
      <c r="F346" s="97"/>
      <c r="G346" s="97"/>
      <c r="H346" s="97"/>
      <c r="I346" s="97"/>
      <c r="J346" s="97"/>
      <c r="K346" s="97"/>
      <c r="L346" s="97"/>
      <c r="M346" s="97"/>
      <c r="N346" s="97"/>
      <c r="O346" s="97"/>
      <c r="P346" s="97"/>
      <c r="Q346" s="97"/>
      <c r="R346" s="97"/>
    </row>
    <row r="347" spans="1:18">
      <c r="A347" s="97"/>
      <c r="B347" s="97"/>
      <c r="C347" s="97"/>
      <c r="D347" s="97"/>
      <c r="E347" s="97"/>
      <c r="F347" s="97"/>
      <c r="G347" s="97"/>
      <c r="H347" s="97"/>
      <c r="I347" s="97"/>
      <c r="J347" s="97"/>
      <c r="K347" s="97"/>
      <c r="L347" s="97"/>
      <c r="M347" s="97"/>
      <c r="N347" s="97"/>
      <c r="O347" s="97"/>
      <c r="P347" s="97"/>
      <c r="Q347" s="97"/>
      <c r="R347" s="97"/>
    </row>
    <row r="348" spans="1:18">
      <c r="A348" s="97"/>
      <c r="B348" s="97"/>
      <c r="C348" s="97"/>
      <c r="D348" s="97"/>
      <c r="E348" s="97"/>
      <c r="F348" s="97"/>
      <c r="G348" s="97"/>
      <c r="H348" s="97"/>
      <c r="I348" s="97"/>
      <c r="J348" s="97"/>
      <c r="K348" s="97"/>
      <c r="L348" s="97"/>
      <c r="M348" s="97"/>
      <c r="N348" s="97"/>
      <c r="O348" s="97"/>
      <c r="P348" s="97"/>
      <c r="Q348" s="97"/>
      <c r="R348" s="97"/>
    </row>
    <row r="349" spans="1:18">
      <c r="A349" s="97"/>
      <c r="B349" s="97"/>
      <c r="C349" s="97"/>
      <c r="D349" s="97"/>
      <c r="E349" s="97"/>
      <c r="F349" s="97"/>
      <c r="G349" s="97"/>
      <c r="H349" s="97"/>
      <c r="I349" s="97"/>
      <c r="J349" s="97"/>
      <c r="K349" s="97"/>
      <c r="L349" s="97"/>
      <c r="M349" s="97"/>
      <c r="N349" s="97"/>
      <c r="O349" s="97"/>
      <c r="P349" s="97"/>
      <c r="Q349" s="97"/>
      <c r="R349" s="97"/>
    </row>
    <row r="350" spans="1:18">
      <c r="A350" s="97"/>
      <c r="B350" s="97"/>
      <c r="C350" s="97"/>
      <c r="D350" s="97"/>
      <c r="E350" s="97"/>
      <c r="F350" s="97"/>
      <c r="G350" s="97"/>
      <c r="H350" s="97"/>
      <c r="I350" s="97"/>
      <c r="J350" s="97"/>
      <c r="K350" s="97"/>
      <c r="L350" s="97"/>
      <c r="M350" s="97"/>
      <c r="N350" s="97"/>
      <c r="O350" s="97"/>
      <c r="P350" s="97"/>
      <c r="Q350" s="97"/>
      <c r="R350" s="97"/>
    </row>
    <row r="351" spans="1:18">
      <c r="A351" s="97"/>
      <c r="B351" s="97"/>
      <c r="C351" s="97"/>
      <c r="D351" s="97"/>
      <c r="E351" s="97"/>
      <c r="F351" s="97"/>
      <c r="G351" s="97"/>
      <c r="H351" s="97"/>
      <c r="I351" s="97"/>
      <c r="J351" s="97"/>
      <c r="K351" s="97"/>
      <c r="L351" s="97"/>
      <c r="M351" s="97"/>
      <c r="N351" s="97"/>
      <c r="O351" s="97"/>
      <c r="P351" s="97"/>
      <c r="Q351" s="97"/>
      <c r="R351" s="97"/>
    </row>
    <row r="352" spans="1:18">
      <c r="A352" s="97"/>
      <c r="B352" s="97"/>
      <c r="C352" s="97"/>
      <c r="D352" s="97"/>
      <c r="E352" s="97"/>
      <c r="F352" s="97"/>
      <c r="G352" s="97"/>
      <c r="H352" s="97"/>
      <c r="I352" s="97"/>
      <c r="J352" s="97"/>
      <c r="K352" s="97"/>
      <c r="L352" s="97"/>
      <c r="M352" s="97"/>
      <c r="N352" s="97"/>
      <c r="O352" s="97"/>
      <c r="P352" s="97"/>
      <c r="Q352" s="97"/>
      <c r="R352" s="97"/>
    </row>
    <row r="353" spans="1:18">
      <c r="A353" s="97"/>
      <c r="B353" s="97"/>
      <c r="C353" s="97"/>
      <c r="D353" s="97"/>
      <c r="E353" s="97"/>
      <c r="F353" s="97"/>
      <c r="G353" s="97"/>
      <c r="H353" s="97"/>
      <c r="I353" s="97"/>
      <c r="J353" s="97"/>
      <c r="K353" s="97"/>
      <c r="L353" s="97"/>
      <c r="M353" s="97"/>
      <c r="N353" s="97"/>
      <c r="O353" s="97"/>
      <c r="P353" s="97"/>
      <c r="Q353" s="97"/>
      <c r="R353" s="97"/>
    </row>
    <row r="354" spans="1:18">
      <c r="A354" s="97"/>
      <c r="B354" s="97"/>
      <c r="C354" s="97"/>
      <c r="D354" s="97"/>
      <c r="E354" s="97"/>
      <c r="F354" s="97"/>
      <c r="G354" s="97"/>
      <c r="H354" s="97"/>
      <c r="I354" s="97"/>
      <c r="J354" s="97"/>
      <c r="K354" s="97"/>
      <c r="L354" s="97"/>
      <c r="M354" s="97"/>
      <c r="N354" s="97"/>
      <c r="O354" s="97"/>
      <c r="P354" s="97"/>
      <c r="Q354" s="97"/>
      <c r="R354" s="97"/>
    </row>
    <row r="355" spans="1:18">
      <c r="A355" s="97"/>
      <c r="B355" s="97"/>
      <c r="C355" s="97"/>
      <c r="D355" s="97"/>
      <c r="E355" s="97"/>
      <c r="F355" s="97"/>
      <c r="G355" s="97"/>
      <c r="H355" s="97"/>
      <c r="I355" s="97"/>
      <c r="J355" s="97"/>
      <c r="K355" s="97"/>
      <c r="L355" s="97"/>
      <c r="M355" s="97"/>
      <c r="N355" s="97"/>
      <c r="O355" s="97"/>
      <c r="P355" s="97"/>
      <c r="Q355" s="97"/>
      <c r="R355" s="97"/>
    </row>
    <row r="356" spans="1:18">
      <c r="A356" s="97"/>
      <c r="B356" s="97"/>
      <c r="C356" s="97"/>
      <c r="D356" s="97"/>
      <c r="E356" s="97"/>
      <c r="F356" s="97"/>
      <c r="G356" s="97"/>
      <c r="H356" s="97"/>
      <c r="I356" s="97"/>
      <c r="J356" s="97"/>
      <c r="K356" s="97"/>
      <c r="L356" s="97"/>
      <c r="M356" s="97"/>
      <c r="N356" s="97"/>
      <c r="O356" s="97"/>
      <c r="P356" s="97"/>
      <c r="Q356" s="97"/>
      <c r="R356" s="97"/>
    </row>
    <row r="357" spans="1:18">
      <c r="A357" s="97"/>
      <c r="B357" s="97"/>
      <c r="C357" s="97"/>
      <c r="D357" s="97"/>
      <c r="E357" s="97"/>
      <c r="F357" s="97"/>
      <c r="G357" s="97"/>
      <c r="H357" s="97"/>
      <c r="I357" s="97"/>
      <c r="J357" s="97"/>
      <c r="K357" s="97"/>
      <c r="L357" s="97"/>
      <c r="M357" s="97"/>
      <c r="N357" s="97"/>
      <c r="O357" s="97"/>
      <c r="P357" s="97"/>
      <c r="Q357" s="97"/>
      <c r="R357" s="97"/>
    </row>
    <row r="358" spans="1:18">
      <c r="A358" s="97"/>
      <c r="B358" s="97"/>
      <c r="C358" s="97"/>
      <c r="D358" s="97"/>
      <c r="E358" s="97"/>
      <c r="F358" s="97"/>
      <c r="G358" s="97"/>
      <c r="H358" s="97"/>
      <c r="I358" s="97"/>
      <c r="J358" s="97"/>
      <c r="K358" s="97"/>
      <c r="L358" s="97"/>
      <c r="M358" s="97"/>
      <c r="N358" s="97"/>
      <c r="O358" s="97"/>
      <c r="P358" s="97"/>
      <c r="Q358" s="97"/>
      <c r="R358" s="97"/>
    </row>
    <row r="359" spans="1:18">
      <c r="A359" s="97"/>
      <c r="B359" s="97"/>
      <c r="C359" s="97"/>
      <c r="D359" s="97"/>
      <c r="E359" s="97"/>
      <c r="F359" s="97"/>
      <c r="G359" s="97"/>
      <c r="H359" s="97"/>
      <c r="I359" s="97"/>
      <c r="J359" s="97"/>
      <c r="K359" s="97"/>
      <c r="L359" s="97"/>
      <c r="M359" s="97"/>
      <c r="N359" s="97"/>
      <c r="O359" s="97"/>
      <c r="P359" s="97"/>
      <c r="Q359" s="97"/>
      <c r="R359" s="97"/>
    </row>
    <row r="360" spans="1:18">
      <c r="A360" s="97"/>
      <c r="B360" s="97"/>
      <c r="C360" s="97"/>
      <c r="D360" s="97"/>
      <c r="E360" s="97"/>
      <c r="F360" s="97"/>
      <c r="G360" s="97"/>
      <c r="H360" s="97"/>
      <c r="I360" s="97"/>
      <c r="J360" s="97"/>
      <c r="K360" s="97"/>
      <c r="L360" s="97"/>
      <c r="M360" s="97"/>
      <c r="N360" s="97"/>
      <c r="O360" s="97"/>
      <c r="P360" s="97"/>
      <c r="Q360" s="97"/>
      <c r="R360" s="97"/>
    </row>
    <row r="361" spans="1:18">
      <c r="A361" s="97"/>
      <c r="B361" s="97"/>
      <c r="C361" s="97"/>
      <c r="D361" s="97"/>
      <c r="E361" s="97"/>
      <c r="F361" s="97"/>
      <c r="G361" s="97"/>
      <c r="H361" s="97"/>
      <c r="I361" s="97"/>
      <c r="J361" s="97"/>
      <c r="K361" s="97"/>
      <c r="L361" s="97"/>
      <c r="M361" s="97"/>
      <c r="N361" s="97"/>
      <c r="O361" s="97"/>
      <c r="P361" s="97"/>
      <c r="Q361" s="97"/>
      <c r="R361" s="97"/>
    </row>
    <row r="362" spans="1:18">
      <c r="A362" s="97"/>
      <c r="B362" s="97"/>
      <c r="C362" s="97"/>
      <c r="D362" s="97"/>
      <c r="E362" s="97"/>
      <c r="F362" s="97"/>
      <c r="G362" s="97"/>
      <c r="H362" s="97"/>
      <c r="I362" s="97"/>
      <c r="J362" s="97"/>
      <c r="K362" s="97"/>
      <c r="L362" s="97"/>
      <c r="M362" s="97"/>
      <c r="N362" s="97"/>
      <c r="O362" s="97"/>
      <c r="P362" s="97"/>
      <c r="Q362" s="97"/>
      <c r="R362" s="97"/>
    </row>
    <row r="363" spans="1:18">
      <c r="A363" s="97"/>
      <c r="B363" s="97"/>
      <c r="C363" s="97"/>
      <c r="D363" s="97"/>
      <c r="E363" s="97"/>
      <c r="F363" s="97"/>
      <c r="G363" s="97"/>
      <c r="H363" s="97"/>
      <c r="I363" s="97"/>
      <c r="J363" s="97"/>
      <c r="K363" s="97"/>
      <c r="L363" s="97"/>
      <c r="M363" s="97"/>
      <c r="N363" s="97"/>
      <c r="O363" s="97"/>
      <c r="P363" s="97"/>
      <c r="Q363" s="97"/>
      <c r="R363" s="97"/>
    </row>
    <row r="364" spans="1:18">
      <c r="A364" s="97"/>
      <c r="B364" s="97"/>
      <c r="C364" s="97"/>
      <c r="D364" s="97"/>
      <c r="E364" s="97"/>
      <c r="F364" s="97"/>
      <c r="G364" s="97"/>
      <c r="H364" s="97"/>
      <c r="I364" s="97"/>
      <c r="J364" s="97"/>
      <c r="K364" s="97"/>
      <c r="L364" s="97"/>
      <c r="M364" s="97"/>
      <c r="N364" s="97"/>
      <c r="O364" s="97"/>
      <c r="P364" s="97"/>
      <c r="Q364" s="97"/>
      <c r="R364" s="97"/>
    </row>
    <row r="365" spans="1:18">
      <c r="A365" s="97"/>
      <c r="B365" s="97"/>
      <c r="C365" s="97"/>
      <c r="D365" s="97"/>
      <c r="E365" s="97"/>
      <c r="F365" s="97"/>
      <c r="G365" s="97"/>
      <c r="H365" s="97"/>
      <c r="I365" s="97"/>
      <c r="J365" s="97"/>
      <c r="K365" s="97"/>
      <c r="L365" s="97"/>
      <c r="M365" s="97"/>
      <c r="N365" s="97"/>
      <c r="O365" s="97"/>
      <c r="P365" s="97"/>
      <c r="Q365" s="97"/>
      <c r="R365" s="97"/>
    </row>
    <row r="366" spans="1:18">
      <c r="A366" s="97"/>
      <c r="B366" s="97"/>
      <c r="C366" s="97"/>
      <c r="D366" s="97"/>
      <c r="E366" s="97"/>
      <c r="F366" s="97"/>
      <c r="G366" s="97"/>
      <c r="H366" s="97"/>
      <c r="I366" s="97"/>
      <c r="J366" s="97"/>
      <c r="K366" s="97"/>
      <c r="L366" s="97"/>
      <c r="M366" s="97"/>
      <c r="N366" s="97"/>
      <c r="O366" s="97"/>
      <c r="P366" s="97"/>
      <c r="Q366" s="97"/>
      <c r="R366" s="97"/>
    </row>
    <row r="367" spans="1:18">
      <c r="A367" s="97"/>
      <c r="B367" s="97"/>
      <c r="C367" s="97"/>
      <c r="D367" s="97"/>
      <c r="E367" s="97"/>
      <c r="F367" s="97"/>
      <c r="G367" s="97"/>
      <c r="H367" s="97"/>
      <c r="I367" s="97"/>
      <c r="J367" s="97"/>
      <c r="K367" s="97"/>
      <c r="L367" s="97"/>
      <c r="M367" s="97"/>
      <c r="N367" s="97"/>
      <c r="O367" s="97"/>
      <c r="P367" s="97"/>
      <c r="Q367" s="97"/>
      <c r="R367" s="97"/>
    </row>
    <row r="368" spans="1:18">
      <c r="A368" s="97"/>
      <c r="B368" s="97"/>
      <c r="C368" s="97"/>
      <c r="D368" s="97"/>
      <c r="E368" s="97"/>
      <c r="F368" s="97"/>
      <c r="G368" s="97"/>
      <c r="H368" s="97"/>
      <c r="I368" s="97"/>
      <c r="J368" s="97"/>
      <c r="K368" s="97"/>
      <c r="L368" s="97"/>
      <c r="M368" s="97"/>
      <c r="N368" s="97"/>
      <c r="O368" s="97"/>
      <c r="P368" s="97"/>
      <c r="Q368" s="97"/>
      <c r="R368" s="97"/>
    </row>
    <row r="369" spans="1:18">
      <c r="A369" s="97"/>
      <c r="B369" s="97"/>
      <c r="C369" s="97"/>
      <c r="D369" s="97"/>
      <c r="E369" s="97"/>
      <c r="F369" s="97"/>
      <c r="G369" s="97"/>
      <c r="H369" s="97"/>
      <c r="I369" s="97"/>
      <c r="J369" s="97"/>
      <c r="K369" s="97"/>
      <c r="L369" s="97"/>
      <c r="M369" s="97"/>
      <c r="N369" s="97"/>
      <c r="O369" s="97"/>
      <c r="P369" s="97"/>
      <c r="Q369" s="97"/>
      <c r="R369" s="97"/>
    </row>
    <row r="370" spans="1:18">
      <c r="A370" s="97"/>
      <c r="B370" s="97"/>
      <c r="C370" s="97"/>
      <c r="D370" s="97"/>
      <c r="E370" s="97"/>
      <c r="F370" s="97"/>
      <c r="G370" s="97"/>
      <c r="H370" s="97"/>
      <c r="I370" s="97"/>
      <c r="J370" s="97"/>
      <c r="K370" s="97"/>
      <c r="L370" s="97"/>
      <c r="M370" s="97"/>
      <c r="N370" s="97"/>
      <c r="O370" s="97"/>
      <c r="P370" s="97"/>
      <c r="Q370" s="97"/>
      <c r="R370" s="97"/>
    </row>
    <row r="371" spans="1:18">
      <c r="A371" s="97"/>
      <c r="B371" s="97"/>
      <c r="C371" s="97"/>
      <c r="D371" s="97"/>
      <c r="E371" s="97"/>
      <c r="F371" s="97"/>
      <c r="G371" s="97"/>
      <c r="H371" s="97"/>
      <c r="I371" s="97"/>
      <c r="J371" s="97"/>
      <c r="K371" s="97"/>
      <c r="L371" s="97"/>
      <c r="M371" s="97"/>
      <c r="N371" s="97"/>
      <c r="O371" s="97"/>
      <c r="P371" s="97"/>
      <c r="Q371" s="97"/>
      <c r="R371" s="97"/>
    </row>
    <row r="372" spans="1:18">
      <c r="A372" s="97"/>
      <c r="B372" s="97"/>
      <c r="C372" s="97"/>
      <c r="D372" s="97"/>
      <c r="E372" s="97"/>
      <c r="F372" s="97"/>
      <c r="G372" s="97"/>
      <c r="H372" s="97"/>
      <c r="I372" s="97"/>
      <c r="J372" s="97"/>
      <c r="K372" s="97"/>
      <c r="L372" s="97"/>
      <c r="M372" s="97"/>
      <c r="N372" s="97"/>
      <c r="O372" s="97"/>
      <c r="P372" s="97"/>
      <c r="Q372" s="97"/>
      <c r="R372" s="97"/>
    </row>
    <row r="373" spans="1:18">
      <c r="A373" s="97"/>
      <c r="B373" s="97"/>
      <c r="C373" s="97"/>
      <c r="D373" s="97"/>
      <c r="E373" s="97"/>
      <c r="F373" s="97"/>
      <c r="G373" s="97"/>
      <c r="H373" s="97"/>
      <c r="I373" s="97"/>
      <c r="J373" s="97"/>
      <c r="K373" s="97"/>
      <c r="L373" s="97"/>
      <c r="M373" s="97"/>
      <c r="N373" s="97"/>
      <c r="O373" s="97"/>
      <c r="P373" s="97"/>
      <c r="Q373" s="97"/>
      <c r="R373" s="97"/>
    </row>
    <row r="374" spans="1:18">
      <c r="A374" s="97"/>
      <c r="B374" s="97"/>
      <c r="C374" s="97"/>
      <c r="D374" s="97"/>
      <c r="E374" s="97"/>
      <c r="F374" s="97"/>
      <c r="G374" s="97"/>
      <c r="H374" s="97"/>
      <c r="I374" s="97"/>
      <c r="J374" s="97"/>
      <c r="K374" s="97"/>
      <c r="L374" s="97"/>
      <c r="M374" s="97"/>
      <c r="N374" s="97"/>
      <c r="O374" s="97"/>
      <c r="P374" s="97"/>
      <c r="Q374" s="97"/>
      <c r="R374" s="97"/>
    </row>
    <row r="375" spans="1:18">
      <c r="A375" s="97"/>
      <c r="B375" s="97"/>
      <c r="C375" s="97"/>
      <c r="D375" s="97"/>
      <c r="E375" s="97"/>
      <c r="F375" s="97"/>
      <c r="G375" s="97"/>
      <c r="H375" s="97"/>
      <c r="I375" s="97"/>
      <c r="J375" s="97"/>
      <c r="K375" s="97"/>
      <c r="L375" s="97"/>
      <c r="M375" s="97"/>
      <c r="N375" s="97"/>
      <c r="O375" s="97"/>
      <c r="P375" s="97"/>
      <c r="Q375" s="97"/>
      <c r="R375" s="97"/>
    </row>
    <row r="376" spans="1:18">
      <c r="A376" s="97"/>
      <c r="B376" s="97"/>
      <c r="C376" s="97"/>
      <c r="D376" s="97"/>
      <c r="E376" s="97"/>
      <c r="F376" s="97"/>
      <c r="G376" s="97"/>
      <c r="H376" s="97"/>
      <c r="I376" s="97"/>
      <c r="J376" s="97"/>
      <c r="K376" s="97"/>
      <c r="L376" s="97"/>
      <c r="M376" s="97"/>
      <c r="N376" s="97"/>
      <c r="O376" s="97"/>
      <c r="P376" s="97"/>
      <c r="Q376" s="97"/>
      <c r="R376" s="97"/>
    </row>
    <row r="377" spans="1:18">
      <c r="A377" s="97"/>
      <c r="B377" s="97"/>
      <c r="C377" s="97"/>
      <c r="D377" s="97"/>
      <c r="E377" s="97"/>
      <c r="F377" s="97"/>
      <c r="G377" s="97"/>
      <c r="H377" s="97"/>
      <c r="I377" s="97"/>
      <c r="J377" s="97"/>
      <c r="K377" s="97"/>
      <c r="L377" s="97"/>
      <c r="M377" s="97"/>
      <c r="N377" s="97"/>
      <c r="O377" s="97"/>
      <c r="P377" s="97"/>
      <c r="Q377" s="97"/>
      <c r="R377" s="97"/>
    </row>
    <row r="378" spans="1:18">
      <c r="A378" s="97"/>
      <c r="B378" s="97"/>
      <c r="C378" s="97"/>
      <c r="D378" s="97"/>
      <c r="E378" s="97"/>
      <c r="F378" s="97"/>
      <c r="G378" s="97"/>
      <c r="H378" s="97"/>
      <c r="I378" s="97"/>
      <c r="J378" s="97"/>
      <c r="K378" s="97"/>
      <c r="L378" s="97"/>
      <c r="M378" s="97"/>
      <c r="N378" s="97"/>
      <c r="O378" s="97"/>
      <c r="P378" s="97"/>
      <c r="Q378" s="97"/>
      <c r="R378" s="97"/>
    </row>
    <row r="379" spans="1:18">
      <c r="A379" s="97"/>
      <c r="B379" s="97"/>
      <c r="C379" s="97"/>
      <c r="D379" s="97"/>
      <c r="E379" s="97"/>
      <c r="F379" s="97"/>
      <c r="G379" s="97"/>
      <c r="H379" s="97"/>
      <c r="I379" s="97"/>
      <c r="J379" s="97"/>
      <c r="K379" s="97"/>
      <c r="L379" s="97"/>
      <c r="M379" s="97"/>
      <c r="N379" s="97"/>
      <c r="O379" s="97"/>
      <c r="P379" s="97"/>
      <c r="Q379" s="97"/>
      <c r="R379" s="97"/>
    </row>
    <row r="380" spans="1:18">
      <c r="A380" s="97"/>
      <c r="B380" s="97"/>
      <c r="C380" s="97"/>
      <c r="D380" s="97"/>
      <c r="E380" s="97"/>
      <c r="F380" s="97"/>
      <c r="G380" s="97"/>
      <c r="H380" s="97"/>
      <c r="I380" s="97"/>
      <c r="J380" s="97"/>
      <c r="K380" s="97"/>
      <c r="L380" s="97"/>
      <c r="M380" s="97"/>
      <c r="N380" s="97"/>
      <c r="O380" s="97"/>
      <c r="P380" s="97"/>
      <c r="Q380" s="97"/>
      <c r="R380" s="97"/>
    </row>
    <row r="381" spans="1:18">
      <c r="A381" s="97"/>
      <c r="B381" s="97"/>
      <c r="C381" s="97"/>
      <c r="D381" s="97"/>
      <c r="E381" s="97"/>
      <c r="F381" s="97"/>
      <c r="G381" s="97"/>
      <c r="H381" s="97"/>
      <c r="I381" s="97"/>
      <c r="J381" s="97"/>
      <c r="K381" s="97"/>
      <c r="L381" s="97"/>
      <c r="M381" s="97"/>
      <c r="N381" s="97"/>
      <c r="O381" s="97"/>
      <c r="P381" s="97"/>
      <c r="Q381" s="97"/>
      <c r="R381" s="97"/>
    </row>
    <row r="382" spans="1:18">
      <c r="A382" s="97"/>
      <c r="B382" s="97"/>
      <c r="C382" s="97"/>
      <c r="D382" s="97"/>
      <c r="E382" s="97"/>
      <c r="F382" s="97"/>
      <c r="G382" s="97"/>
      <c r="H382" s="97"/>
      <c r="I382" s="97"/>
      <c r="J382" s="97"/>
      <c r="K382" s="97"/>
      <c r="L382" s="97"/>
      <c r="M382" s="97"/>
      <c r="N382" s="97"/>
      <c r="O382" s="97"/>
      <c r="P382" s="97"/>
      <c r="Q382" s="97"/>
      <c r="R382" s="97"/>
    </row>
    <row r="383" spans="1:18">
      <c r="A383" s="97"/>
      <c r="B383" s="97"/>
      <c r="C383" s="97"/>
      <c r="D383" s="97"/>
      <c r="E383" s="97"/>
      <c r="F383" s="97"/>
      <c r="G383" s="97"/>
      <c r="H383" s="97"/>
      <c r="I383" s="97"/>
      <c r="J383" s="97"/>
      <c r="K383" s="97"/>
      <c r="L383" s="97"/>
      <c r="M383" s="97"/>
      <c r="N383" s="97"/>
      <c r="O383" s="97"/>
      <c r="P383" s="97"/>
      <c r="Q383" s="97"/>
      <c r="R383" s="97"/>
    </row>
    <row r="384" spans="1:18">
      <c r="A384" s="97"/>
      <c r="B384" s="97"/>
      <c r="C384" s="97"/>
      <c r="D384" s="97"/>
      <c r="E384" s="97"/>
      <c r="F384" s="97"/>
      <c r="G384" s="97"/>
      <c r="H384" s="97"/>
      <c r="I384" s="97"/>
      <c r="J384" s="97"/>
      <c r="K384" s="97"/>
      <c r="L384" s="97"/>
      <c r="M384" s="97"/>
      <c r="N384" s="97"/>
      <c r="O384" s="97"/>
      <c r="P384" s="97"/>
      <c r="Q384" s="97"/>
      <c r="R384" s="97"/>
    </row>
    <row r="385" spans="1:18">
      <c r="A385" s="97"/>
      <c r="B385" s="97"/>
      <c r="C385" s="97"/>
      <c r="D385" s="97"/>
      <c r="E385" s="97"/>
      <c r="F385" s="97"/>
      <c r="G385" s="97"/>
      <c r="H385" s="97"/>
      <c r="I385" s="97"/>
      <c r="J385" s="97"/>
      <c r="K385" s="97"/>
      <c r="L385" s="97"/>
      <c r="M385" s="97"/>
      <c r="N385" s="97"/>
      <c r="O385" s="97"/>
      <c r="P385" s="97"/>
      <c r="Q385" s="97"/>
      <c r="R385" s="97"/>
    </row>
    <row r="386" spans="1:18">
      <c r="A386" s="97"/>
      <c r="B386" s="97"/>
      <c r="C386" s="97"/>
      <c r="D386" s="97"/>
      <c r="E386" s="97"/>
      <c r="F386" s="97"/>
      <c r="G386" s="97"/>
      <c r="H386" s="97"/>
      <c r="I386" s="97"/>
      <c r="J386" s="97"/>
      <c r="K386" s="97"/>
      <c r="L386" s="97"/>
      <c r="M386" s="97"/>
      <c r="N386" s="97"/>
      <c r="O386" s="97"/>
      <c r="P386" s="97"/>
      <c r="Q386" s="97"/>
      <c r="R386" s="97"/>
    </row>
    <row r="387" spans="1:18">
      <c r="A387" s="97"/>
      <c r="B387" s="97"/>
      <c r="C387" s="97"/>
      <c r="D387" s="97"/>
      <c r="E387" s="97"/>
      <c r="F387" s="97"/>
      <c r="G387" s="97"/>
      <c r="H387" s="97"/>
      <c r="I387" s="97"/>
      <c r="J387" s="97"/>
      <c r="K387" s="97"/>
      <c r="L387" s="97"/>
      <c r="M387" s="97"/>
      <c r="N387" s="97"/>
      <c r="O387" s="97"/>
      <c r="P387" s="97"/>
      <c r="Q387" s="97"/>
      <c r="R387" s="97"/>
    </row>
    <row r="388" spans="1:18">
      <c r="A388" s="97"/>
      <c r="B388" s="97"/>
      <c r="C388" s="97"/>
      <c r="D388" s="97"/>
      <c r="E388" s="97"/>
      <c r="F388" s="97"/>
      <c r="G388" s="97"/>
      <c r="H388" s="97"/>
      <c r="I388" s="97"/>
      <c r="J388" s="97"/>
      <c r="K388" s="97"/>
      <c r="L388" s="97"/>
      <c r="M388" s="97"/>
      <c r="N388" s="97"/>
      <c r="O388" s="97"/>
      <c r="P388" s="97"/>
      <c r="Q388" s="97"/>
      <c r="R388" s="97"/>
    </row>
    <row r="389" spans="1:18">
      <c r="A389" s="97"/>
      <c r="B389" s="97"/>
      <c r="C389" s="97"/>
      <c r="D389" s="97"/>
      <c r="E389" s="97"/>
      <c r="F389" s="97"/>
      <c r="G389" s="97"/>
      <c r="H389" s="97"/>
      <c r="I389" s="97"/>
      <c r="J389" s="97"/>
      <c r="K389" s="97"/>
      <c r="L389" s="97"/>
      <c r="M389" s="97"/>
      <c r="N389" s="97"/>
      <c r="O389" s="97"/>
      <c r="P389" s="97"/>
      <c r="Q389" s="97"/>
      <c r="R389" s="97"/>
    </row>
    <row r="390" spans="1:18">
      <c r="A390" s="97"/>
      <c r="B390" s="97"/>
      <c r="C390" s="97"/>
      <c r="D390" s="97"/>
      <c r="E390" s="97"/>
      <c r="F390" s="97"/>
      <c r="G390" s="97"/>
      <c r="H390" s="97"/>
      <c r="I390" s="97"/>
      <c r="J390" s="97"/>
      <c r="K390" s="97"/>
      <c r="L390" s="97"/>
      <c r="M390" s="97"/>
      <c r="N390" s="97"/>
      <c r="O390" s="97"/>
      <c r="P390" s="97"/>
      <c r="Q390" s="97"/>
      <c r="R390" s="97"/>
    </row>
    <row r="391" spans="1:18">
      <c r="A391" s="97"/>
      <c r="B391" s="97"/>
      <c r="C391" s="97"/>
      <c r="D391" s="97"/>
      <c r="E391" s="97"/>
      <c r="F391" s="97"/>
      <c r="G391" s="97"/>
      <c r="H391" s="97"/>
      <c r="I391" s="97"/>
      <c r="J391" s="97"/>
      <c r="K391" s="97"/>
      <c r="L391" s="97"/>
      <c r="M391" s="97"/>
      <c r="N391" s="97"/>
      <c r="O391" s="97"/>
      <c r="P391" s="97"/>
      <c r="Q391" s="97"/>
      <c r="R391" s="97"/>
    </row>
    <row r="392" spans="1:18">
      <c r="A392" s="97"/>
      <c r="B392" s="97"/>
      <c r="C392" s="97"/>
      <c r="D392" s="97"/>
      <c r="E392" s="97"/>
      <c r="F392" s="97"/>
      <c r="G392" s="97"/>
      <c r="H392" s="97"/>
      <c r="I392" s="97"/>
      <c r="J392" s="97"/>
      <c r="K392" s="97"/>
      <c r="L392" s="97"/>
      <c r="M392" s="97"/>
      <c r="N392" s="97"/>
      <c r="O392" s="97"/>
      <c r="P392" s="97"/>
      <c r="Q392" s="97"/>
      <c r="R392" s="97"/>
    </row>
    <row r="393" spans="1:18">
      <c r="A393" s="97"/>
      <c r="B393" s="97"/>
      <c r="C393" s="97"/>
      <c r="D393" s="97"/>
      <c r="E393" s="97"/>
      <c r="F393" s="97"/>
      <c r="G393" s="97"/>
      <c r="H393" s="97"/>
      <c r="I393" s="97"/>
      <c r="J393" s="97"/>
      <c r="K393" s="97"/>
      <c r="L393" s="97"/>
      <c r="M393" s="97"/>
      <c r="N393" s="97"/>
      <c r="O393" s="97"/>
      <c r="P393" s="97"/>
      <c r="Q393" s="97"/>
      <c r="R393" s="97"/>
    </row>
    <row r="394" spans="1:18">
      <c r="A394" s="97"/>
      <c r="B394" s="97"/>
      <c r="C394" s="97"/>
      <c r="D394" s="97"/>
      <c r="E394" s="97"/>
      <c r="F394" s="97"/>
      <c r="G394" s="97"/>
      <c r="H394" s="97"/>
      <c r="I394" s="97"/>
      <c r="J394" s="97"/>
      <c r="K394" s="97"/>
      <c r="L394" s="97"/>
      <c r="M394" s="97"/>
      <c r="N394" s="97"/>
      <c r="O394" s="97"/>
      <c r="P394" s="97"/>
      <c r="Q394" s="97"/>
      <c r="R394" s="97"/>
    </row>
    <row r="395" spans="1:18">
      <c r="A395" s="97"/>
      <c r="B395" s="97"/>
      <c r="C395" s="97"/>
      <c r="D395" s="97"/>
      <c r="E395" s="97"/>
      <c r="F395" s="97"/>
      <c r="G395" s="97"/>
      <c r="H395" s="97"/>
      <c r="I395" s="97"/>
      <c r="J395" s="97"/>
      <c r="K395" s="97"/>
      <c r="L395" s="97"/>
      <c r="M395" s="97"/>
      <c r="N395" s="97"/>
      <c r="O395" s="97"/>
      <c r="P395" s="97"/>
      <c r="Q395" s="97"/>
      <c r="R395" s="97"/>
    </row>
    <row r="396" spans="1:18">
      <c r="A396" s="97"/>
      <c r="B396" s="97"/>
      <c r="C396" s="97"/>
      <c r="D396" s="97"/>
      <c r="E396" s="97"/>
      <c r="F396" s="97"/>
      <c r="G396" s="97"/>
      <c r="H396" s="97"/>
      <c r="I396" s="97"/>
      <c r="J396" s="97"/>
      <c r="K396" s="97"/>
      <c r="L396" s="97"/>
      <c r="M396" s="97"/>
      <c r="N396" s="97"/>
      <c r="O396" s="97"/>
      <c r="P396" s="97"/>
      <c r="Q396" s="97"/>
      <c r="R396" s="97"/>
    </row>
    <row r="397" spans="1:18">
      <c r="A397" s="97"/>
      <c r="B397" s="97"/>
      <c r="C397" s="97"/>
      <c r="D397" s="97"/>
      <c r="E397" s="97"/>
      <c r="F397" s="97"/>
      <c r="G397" s="97"/>
      <c r="H397" s="97"/>
      <c r="I397" s="97"/>
      <c r="J397" s="97"/>
      <c r="K397" s="97"/>
      <c r="L397" s="97"/>
      <c r="M397" s="97"/>
      <c r="N397" s="97"/>
      <c r="O397" s="97"/>
      <c r="P397" s="97"/>
      <c r="Q397" s="97"/>
      <c r="R397" s="97"/>
    </row>
    <row r="398" spans="1:18">
      <c r="A398" s="97"/>
      <c r="B398" s="97"/>
      <c r="C398" s="97"/>
      <c r="D398" s="97"/>
      <c r="E398" s="97"/>
      <c r="F398" s="97"/>
      <c r="G398" s="97"/>
      <c r="H398" s="97"/>
      <c r="I398" s="97"/>
      <c r="J398" s="97"/>
      <c r="K398" s="97"/>
      <c r="L398" s="97"/>
      <c r="M398" s="97"/>
      <c r="N398" s="97"/>
      <c r="O398" s="97"/>
      <c r="P398" s="97"/>
      <c r="Q398" s="97"/>
      <c r="R398" s="97"/>
    </row>
    <row r="399" spans="1:18">
      <c r="A399" s="97"/>
      <c r="B399" s="97"/>
      <c r="C399" s="97"/>
      <c r="D399" s="97"/>
      <c r="E399" s="97"/>
      <c r="F399" s="97"/>
      <c r="G399" s="97"/>
      <c r="H399" s="97"/>
      <c r="I399" s="97"/>
      <c r="J399" s="97"/>
      <c r="K399" s="97"/>
      <c r="L399" s="97"/>
      <c r="M399" s="97"/>
      <c r="N399" s="97"/>
      <c r="O399" s="97"/>
      <c r="P399" s="97"/>
      <c r="Q399" s="97"/>
      <c r="R399" s="97"/>
    </row>
    <row r="400" spans="1:18">
      <c r="A400" s="97"/>
      <c r="B400" s="97"/>
      <c r="C400" s="97"/>
      <c r="D400" s="97"/>
      <c r="E400" s="97"/>
      <c r="F400" s="97"/>
      <c r="G400" s="97"/>
      <c r="H400" s="97"/>
      <c r="I400" s="97"/>
      <c r="J400" s="97"/>
      <c r="K400" s="97"/>
      <c r="L400" s="97"/>
      <c r="M400" s="97"/>
      <c r="N400" s="97"/>
      <c r="O400" s="97"/>
      <c r="P400" s="97"/>
      <c r="Q400" s="97"/>
      <c r="R400" s="97"/>
    </row>
    <row r="401" spans="1:18">
      <c r="A401" s="97"/>
      <c r="B401" s="97"/>
      <c r="C401" s="97"/>
      <c r="D401" s="97"/>
      <c r="E401" s="97"/>
      <c r="F401" s="97"/>
      <c r="G401" s="97"/>
      <c r="H401" s="97"/>
      <c r="I401" s="97"/>
      <c r="J401" s="97"/>
      <c r="K401" s="97"/>
      <c r="L401" s="97"/>
      <c r="M401" s="97"/>
      <c r="N401" s="97"/>
      <c r="O401" s="97"/>
      <c r="P401" s="97"/>
      <c r="Q401" s="97"/>
      <c r="R401" s="97"/>
    </row>
    <row r="402" spans="1:18">
      <c r="A402" s="97"/>
      <c r="B402" s="97"/>
      <c r="C402" s="97"/>
      <c r="D402" s="97"/>
      <c r="E402" s="97"/>
      <c r="F402" s="97"/>
      <c r="G402" s="97"/>
      <c r="H402" s="97"/>
      <c r="I402" s="97"/>
      <c r="J402" s="97"/>
      <c r="K402" s="97"/>
      <c r="L402" s="97"/>
      <c r="M402" s="97"/>
      <c r="N402" s="97"/>
      <c r="O402" s="97"/>
      <c r="P402" s="97"/>
      <c r="Q402" s="97"/>
      <c r="R402" s="97"/>
    </row>
    <row r="403" spans="1:18">
      <c r="A403" s="97"/>
      <c r="B403" s="97"/>
      <c r="C403" s="97"/>
      <c r="D403" s="97"/>
      <c r="E403" s="97"/>
      <c r="F403" s="97"/>
      <c r="G403" s="97"/>
      <c r="H403" s="97"/>
      <c r="I403" s="97"/>
      <c r="J403" s="97"/>
      <c r="K403" s="97"/>
      <c r="L403" s="97"/>
      <c r="M403" s="97"/>
      <c r="N403" s="97"/>
      <c r="O403" s="97"/>
      <c r="P403" s="97"/>
      <c r="Q403" s="97"/>
      <c r="R403" s="97"/>
    </row>
    <row r="404" spans="1:18">
      <c r="A404" s="97"/>
      <c r="B404" s="97"/>
      <c r="C404" s="97"/>
      <c r="D404" s="97"/>
      <c r="E404" s="97"/>
      <c r="F404" s="97"/>
      <c r="G404" s="97"/>
      <c r="H404" s="97"/>
      <c r="I404" s="97"/>
      <c r="J404" s="97"/>
      <c r="K404" s="97"/>
      <c r="L404" s="97"/>
      <c r="M404" s="97"/>
      <c r="N404" s="97"/>
      <c r="O404" s="97"/>
      <c r="P404" s="97"/>
      <c r="Q404" s="97"/>
      <c r="R404" s="97"/>
    </row>
  </sheetData>
  <mergeCells count="108">
    <mergeCell ref="A244:E244"/>
    <mergeCell ref="Q199:T199"/>
    <mergeCell ref="M199:P199"/>
    <mergeCell ref="I199:L199"/>
    <mergeCell ref="E199:H199"/>
    <mergeCell ref="A199:D199"/>
    <mergeCell ref="B130:T130"/>
    <mergeCell ref="A136:C136"/>
    <mergeCell ref="A176:T176"/>
    <mergeCell ref="G178:S178"/>
    <mergeCell ref="A198:D198"/>
    <mergeCell ref="E198:H198"/>
    <mergeCell ref="I198:L198"/>
    <mergeCell ref="M198:P198"/>
    <mergeCell ref="B82:T82"/>
    <mergeCell ref="B81:T81"/>
    <mergeCell ref="B77:T77"/>
    <mergeCell ref="A6:T6"/>
    <mergeCell ref="A7:T7"/>
    <mergeCell ref="A8:T8"/>
    <mergeCell ref="A9:T9"/>
    <mergeCell ref="A14:T14"/>
    <mergeCell ref="A15:T15"/>
    <mergeCell ref="A16:T16"/>
    <mergeCell ref="A58:T58"/>
    <mergeCell ref="B74:T74"/>
    <mergeCell ref="B80:T80"/>
    <mergeCell ref="O38:R38"/>
    <mergeCell ref="T25:T40"/>
    <mergeCell ref="B126:T126"/>
    <mergeCell ref="B100:F100"/>
    <mergeCell ref="G100:M100"/>
    <mergeCell ref="N100:P100"/>
    <mergeCell ref="S121:T121"/>
    <mergeCell ref="B108:T108"/>
    <mergeCell ref="Q102:T102"/>
    <mergeCell ref="Q122:R122"/>
    <mergeCell ref="B116:T116"/>
    <mergeCell ref="B117:T117"/>
    <mergeCell ref="G121:M121"/>
    <mergeCell ref="N121:P121"/>
    <mergeCell ref="Q121:R121"/>
    <mergeCell ref="Q100:R100"/>
    <mergeCell ref="S100:T100"/>
    <mergeCell ref="Q101:T101"/>
    <mergeCell ref="B112:T112"/>
    <mergeCell ref="B124:P124"/>
    <mergeCell ref="Q124:T124"/>
    <mergeCell ref="B123:P123"/>
    <mergeCell ref="Q123:T123"/>
    <mergeCell ref="B95:T95"/>
    <mergeCell ref="B120:F120"/>
    <mergeCell ref="G120:M120"/>
    <mergeCell ref="N120:P120"/>
    <mergeCell ref="Q120:T120"/>
    <mergeCell ref="B122:F122"/>
    <mergeCell ref="G122:M122"/>
    <mergeCell ref="N122:P122"/>
    <mergeCell ref="S122:T122"/>
    <mergeCell ref="B101:P101"/>
    <mergeCell ref="B102:P102"/>
    <mergeCell ref="B121:F121"/>
    <mergeCell ref="B97:T97"/>
    <mergeCell ref="N98:P98"/>
    <mergeCell ref="G98:M98"/>
    <mergeCell ref="B98:F98"/>
    <mergeCell ref="B99:F99"/>
    <mergeCell ref="G99:M99"/>
    <mergeCell ref="Q98:T98"/>
    <mergeCell ref="Q99:R99"/>
    <mergeCell ref="S99:T99"/>
    <mergeCell ref="N99:P99"/>
    <mergeCell ref="A261:T261"/>
    <mergeCell ref="A259:T259"/>
    <mergeCell ref="A263:T263"/>
    <mergeCell ref="F267:T267"/>
    <mergeCell ref="B137:T137"/>
    <mergeCell ref="A200:D200"/>
    <mergeCell ref="E200:H200"/>
    <mergeCell ref="I200:L200"/>
    <mergeCell ref="M200:P200"/>
    <mergeCell ref="Q200:T200"/>
    <mergeCell ref="A220:T220"/>
    <mergeCell ref="Q198:T198"/>
    <mergeCell ref="P245:T245"/>
    <mergeCell ref="G233:T233"/>
    <mergeCell ref="A243:E243"/>
    <mergeCell ref="K243:O243"/>
    <mergeCell ref="P243:T243"/>
    <mergeCell ref="A245:E245"/>
    <mergeCell ref="F245:J245"/>
    <mergeCell ref="K245:O245"/>
    <mergeCell ref="F243:J243"/>
    <mergeCell ref="P244:T244"/>
    <mergeCell ref="K244:O244"/>
    <mergeCell ref="F244:J244"/>
    <mergeCell ref="F286:T286"/>
    <mergeCell ref="F268:T268"/>
    <mergeCell ref="F269:T269"/>
    <mergeCell ref="F270:T270"/>
    <mergeCell ref="F271:T271"/>
    <mergeCell ref="F272:T272"/>
    <mergeCell ref="F273:T273"/>
    <mergeCell ref="F274:T274"/>
    <mergeCell ref="F275:T275"/>
    <mergeCell ref="A277:T277"/>
    <mergeCell ref="F284:T284"/>
    <mergeCell ref="F285:T285"/>
  </mergeCells>
  <pageMargins left="0.62992125984251968" right="0.62992125984251968" top="0.35433070866141736" bottom="0.35433070866141736" header="0.31496062992125984" footer="0.31496062992125984"/>
  <pageSetup paperSize="9" orientation="portrait" r:id="rId1"/>
  <drawing r:id="rId2"/>
  <legacyDrawing r:id="rId3"/>
  <oleObjects>
    <mc:AlternateContent xmlns:mc="http://schemas.openxmlformats.org/markup-compatibility/2006">
      <mc:Choice Requires="x14">
        <oleObject progId="Equation.3" shapeId="962599" r:id="rId4">
          <objectPr defaultSize="0" autoPict="0" r:id="rId5">
            <anchor moveWithCells="1" sizeWithCells="1">
              <from>
                <xdr:col>6</xdr:col>
                <xdr:colOff>47625</xdr:colOff>
                <xdr:row>104</xdr:row>
                <xdr:rowOff>38100</xdr:rowOff>
              </from>
              <to>
                <xdr:col>12</xdr:col>
                <xdr:colOff>47625</xdr:colOff>
                <xdr:row>106</xdr:row>
                <xdr:rowOff>171450</xdr:rowOff>
              </to>
            </anchor>
          </objectPr>
        </oleObject>
      </mc:Choice>
      <mc:Fallback>
        <oleObject progId="Equation.3" shapeId="962599" r:id="rId4"/>
      </mc:Fallback>
    </mc:AlternateContent>
    <mc:AlternateContent xmlns:mc="http://schemas.openxmlformats.org/markup-compatibility/2006">
      <mc:Choice Requires="x14">
        <oleObject progId="Equation.3" shapeId="962605" r:id="rId6">
          <objectPr defaultSize="0" autoPict="0" r:id="rId7">
            <anchor moveWithCells="1" sizeWithCells="1">
              <from>
                <xdr:col>7</xdr:col>
                <xdr:colOff>142875</xdr:colOff>
                <xdr:row>112</xdr:row>
                <xdr:rowOff>9525</xdr:rowOff>
              </from>
              <to>
                <xdr:col>11</xdr:col>
                <xdr:colOff>180975</xdr:colOff>
                <xdr:row>114</xdr:row>
                <xdr:rowOff>114300</xdr:rowOff>
              </to>
            </anchor>
          </objectPr>
        </oleObject>
      </mc:Choice>
      <mc:Fallback>
        <oleObject progId="Equation.3" shapeId="962605" r:id="rId6"/>
      </mc:Fallback>
    </mc:AlternateContent>
    <mc:AlternateContent xmlns:mc="http://schemas.openxmlformats.org/markup-compatibility/2006">
      <mc:Choice Requires="x14">
        <oleObject progId="Equation.3" shapeId="962893" r:id="rId8">
          <objectPr defaultSize="0" autoPict="0" r:id="rId9">
            <anchor moveWithCells="1" sizeWithCells="1">
              <from>
                <xdr:col>6</xdr:col>
                <xdr:colOff>95250</xdr:colOff>
                <xdr:row>263</xdr:row>
                <xdr:rowOff>123825</xdr:rowOff>
              </from>
              <to>
                <xdr:col>13</xdr:col>
                <xdr:colOff>257175</xdr:colOff>
                <xdr:row>264</xdr:row>
                <xdr:rowOff>171450</xdr:rowOff>
              </to>
            </anchor>
          </objectPr>
        </oleObject>
      </mc:Choice>
      <mc:Fallback>
        <oleObject progId="Equation.3" shapeId="962893" r:id="rId8"/>
      </mc:Fallback>
    </mc:AlternateContent>
    <mc:AlternateContent xmlns:mc="http://schemas.openxmlformats.org/markup-compatibility/2006">
      <mc:Choice Requires="x14">
        <oleObject progId="Equation.3" shapeId="962895" r:id="rId10">
          <objectPr defaultSize="0" autoPict="0" r:id="rId11">
            <anchor moveWithCells="1" sizeWithCells="1">
              <from>
                <xdr:col>2</xdr:col>
                <xdr:colOff>0</xdr:colOff>
                <xdr:row>270</xdr:row>
                <xdr:rowOff>0</xdr:rowOff>
              </from>
              <to>
                <xdr:col>3</xdr:col>
                <xdr:colOff>38100</xdr:colOff>
                <xdr:row>270</xdr:row>
                <xdr:rowOff>257175</xdr:rowOff>
              </to>
            </anchor>
          </objectPr>
        </oleObject>
      </mc:Choice>
      <mc:Fallback>
        <oleObject progId="Equation.3" shapeId="962895" r:id="rId10"/>
      </mc:Fallback>
    </mc:AlternateContent>
    <mc:AlternateContent xmlns:mc="http://schemas.openxmlformats.org/markup-compatibility/2006">
      <mc:Choice Requires="x14">
        <oleObject progId="Equation.3" shapeId="962901" r:id="rId12">
          <objectPr defaultSize="0" autoPict="0" r:id="rId13">
            <anchor moveWithCells="1" sizeWithCells="1">
              <from>
                <xdr:col>5</xdr:col>
                <xdr:colOff>104775</xdr:colOff>
                <xdr:row>277</xdr:row>
                <xdr:rowOff>180975</xdr:rowOff>
              </from>
              <to>
                <xdr:col>11</xdr:col>
                <xdr:colOff>285750</xdr:colOff>
                <xdr:row>279</xdr:row>
                <xdr:rowOff>28575</xdr:rowOff>
              </to>
            </anchor>
          </objectPr>
        </oleObject>
      </mc:Choice>
      <mc:Fallback>
        <oleObject progId="Equation.3" shapeId="962901" r:id="rId12"/>
      </mc:Fallback>
    </mc:AlternateContent>
    <mc:AlternateContent xmlns:mc="http://schemas.openxmlformats.org/markup-compatibility/2006">
      <mc:Choice Requires="x14">
        <oleObject progId="Equation.3" shapeId="962903" r:id="rId14">
          <objectPr defaultSize="0" autoPict="0" r:id="rId15">
            <anchor moveWithCells="1" sizeWithCells="1">
              <from>
                <xdr:col>2</xdr:col>
                <xdr:colOff>0</xdr:colOff>
                <xdr:row>283</xdr:row>
                <xdr:rowOff>0</xdr:rowOff>
              </from>
              <to>
                <xdr:col>3</xdr:col>
                <xdr:colOff>38100</xdr:colOff>
                <xdr:row>283</xdr:row>
                <xdr:rowOff>238125</xdr:rowOff>
              </to>
            </anchor>
          </objectPr>
        </oleObject>
      </mc:Choice>
      <mc:Fallback>
        <oleObject progId="Equation.3" shapeId="962903" r:id="rId14"/>
      </mc:Fallback>
    </mc:AlternateContent>
  </oleObjec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AG92"/>
  <sheetViews>
    <sheetView showGridLines="0" zoomScale="70" zoomScaleNormal="70" workbookViewId="0">
      <selection activeCell="S8" sqref="S8:V8"/>
    </sheetView>
  </sheetViews>
  <sheetFormatPr defaultColWidth="9.140625" defaultRowHeight="12.75"/>
  <cols>
    <col min="1" max="1" width="13.85546875" style="323" customWidth="1"/>
    <col min="2" max="4" width="9.140625" style="56"/>
    <col min="5" max="6" width="8.7109375" style="56" customWidth="1"/>
    <col min="7" max="7" width="9.5703125" style="56" customWidth="1"/>
    <col min="8" max="8" width="7.85546875" style="56" customWidth="1"/>
    <col min="9" max="9" width="9.5703125" style="56" customWidth="1"/>
    <col min="10" max="10" width="7.85546875" style="56" customWidth="1"/>
    <col min="11" max="11" width="9.28515625" style="56" customWidth="1"/>
    <col min="12" max="12" width="7.85546875" style="56" customWidth="1"/>
    <col min="13" max="14" width="9.140625" style="56"/>
    <col min="15" max="15" width="1.85546875" style="56" customWidth="1"/>
    <col min="16" max="17" width="9.140625" style="56"/>
    <col min="18" max="18" width="1.5703125" style="56" customWidth="1"/>
    <col min="19" max="19" width="11.42578125" style="56" customWidth="1"/>
    <col min="20" max="22" width="11.28515625" style="56" customWidth="1"/>
    <col min="23" max="23" width="9.140625" style="70" customWidth="1"/>
    <col min="24" max="24" width="10.28515625" style="56" customWidth="1"/>
    <col min="25" max="16384" width="9.140625" style="56"/>
  </cols>
  <sheetData>
    <row r="1" spans="1:33" s="511" customFormat="1" ht="15.75">
      <c r="A1" s="510" t="s">
        <v>307</v>
      </c>
      <c r="G1" s="56"/>
      <c r="I1" s="56"/>
      <c r="P1" s="58" t="str">
        <f>Intro!$D$4</f>
        <v>IRC-FORM-2100J (ARPANSA-FORM-1856)</v>
      </c>
      <c r="W1" s="512"/>
    </row>
    <row r="2" spans="1:33" s="511" customFormat="1" ht="12.75" customHeight="1">
      <c r="A2" s="513"/>
      <c r="P2" s="69" t="str">
        <f>Intro!$D$5</f>
        <v>23-Production</v>
      </c>
      <c r="R2" s="69"/>
      <c r="W2" s="512"/>
    </row>
    <row r="3" spans="1:33" s="69" customFormat="1">
      <c r="A3" s="514" t="str">
        <f>Client!B5</f>
        <v>CAL11957</v>
      </c>
      <c r="B3" s="515" t="str">
        <f>Client!B6</f>
        <v>De-identified for distribution</v>
      </c>
      <c r="C3" s="516"/>
      <c r="D3" s="516"/>
      <c r="E3" s="517"/>
      <c r="F3" s="517"/>
      <c r="G3" s="517"/>
      <c r="H3" s="517"/>
      <c r="I3" s="517"/>
      <c r="J3" s="518"/>
      <c r="P3" s="69" t="str">
        <f>Intro!$B$10</f>
        <v>Validated: Note yet</v>
      </c>
      <c r="W3" s="60"/>
    </row>
    <row r="4" spans="1:33">
      <c r="A4" s="188" t="s">
        <v>27</v>
      </c>
      <c r="B4" s="1171" t="str">
        <f>Client!B29</f>
        <v>IBA FC65-G</v>
      </c>
      <c r="C4" s="1218"/>
      <c r="D4" s="70"/>
      <c r="G4" s="70"/>
      <c r="I4" s="70"/>
    </row>
    <row r="5" spans="1:33">
      <c r="A5" s="56" t="s">
        <v>28</v>
      </c>
      <c r="B5" s="1171" t="str">
        <f>Client!B30</f>
        <v>457</v>
      </c>
      <c r="C5" s="1218"/>
      <c r="F5" s="929"/>
      <c r="G5" s="929" t="s">
        <v>1381</v>
      </c>
      <c r="H5" s="634" t="s">
        <v>825</v>
      </c>
      <c r="M5" s="929" t="s">
        <v>446</v>
      </c>
      <c r="N5" s="1229"/>
      <c r="O5" s="1230"/>
      <c r="P5" s="1230"/>
      <c r="Q5" s="1230"/>
      <c r="R5" s="1230"/>
      <c r="S5" s="1230"/>
      <c r="T5" s="1230"/>
      <c r="U5" s="1230"/>
      <c r="V5" s="1231"/>
      <c r="AA5" s="56" t="s">
        <v>798</v>
      </c>
    </row>
    <row r="6" spans="1:33" ht="12.75" customHeight="1">
      <c r="G6" s="907"/>
      <c r="AA6" s="1222" t="s">
        <v>642</v>
      </c>
      <c r="AB6" s="1223"/>
      <c r="AG6" s="434" t="s">
        <v>825</v>
      </c>
    </row>
    <row r="7" spans="1:33">
      <c r="A7" s="985" t="s">
        <v>1456</v>
      </c>
      <c r="C7" s="288">
        <f>COUNT(F12,G12,I12,K12)</f>
        <v>3</v>
      </c>
      <c r="F7" s="520" t="s">
        <v>70</v>
      </c>
      <c r="G7" s="520"/>
      <c r="H7" s="521"/>
      <c r="I7" s="520"/>
      <c r="J7" s="521"/>
      <c r="K7" s="521"/>
      <c r="L7" s="522"/>
      <c r="M7" s="1219" t="s">
        <v>186</v>
      </c>
      <c r="N7" s="1083"/>
      <c r="P7" s="520" t="s">
        <v>71</v>
      </c>
      <c r="Q7" s="522"/>
      <c r="S7" s="666" t="s">
        <v>962</v>
      </c>
      <c r="T7" s="522"/>
      <c r="U7" s="522"/>
      <c r="V7" s="522"/>
      <c r="AA7" s="1222" t="str">
        <f>B4&amp;" sn "&amp;B5</f>
        <v>IBA FC65-G sn 457</v>
      </c>
      <c r="AB7" s="1223"/>
      <c r="AG7" s="434" t="s">
        <v>826</v>
      </c>
    </row>
    <row r="8" spans="1:33">
      <c r="A8" s="986" t="s">
        <v>1457</v>
      </c>
      <c r="C8" s="288">
        <f>COUNT(F75,G75,I75,K75)</f>
        <v>3</v>
      </c>
      <c r="F8" s="523" t="str">
        <f>A3</f>
        <v>CAL11957</v>
      </c>
      <c r="G8" s="524"/>
      <c r="H8" s="524"/>
      <c r="I8" s="524"/>
      <c r="J8" s="524"/>
      <c r="K8" s="524"/>
      <c r="L8" s="525"/>
      <c r="M8" s="1220" t="str">
        <f>A3</f>
        <v>CAL11957</v>
      </c>
      <c r="N8" s="1221"/>
      <c r="P8" s="1226" t="s">
        <v>132</v>
      </c>
      <c r="Q8" s="1227"/>
      <c r="S8" s="1224"/>
      <c r="T8" s="1228"/>
      <c r="U8" s="1228"/>
      <c r="V8" s="1225"/>
      <c r="W8" s="288" t="s">
        <v>273</v>
      </c>
      <c r="AA8" s="1224"/>
      <c r="AB8" s="1225"/>
    </row>
    <row r="9" spans="1:33">
      <c r="A9" s="288" t="s">
        <v>35</v>
      </c>
      <c r="B9" s="288" t="s">
        <v>36</v>
      </c>
      <c r="C9" s="311" t="s">
        <v>638</v>
      </c>
      <c r="D9" s="311" t="s">
        <v>638</v>
      </c>
      <c r="E9" s="311" t="s">
        <v>269</v>
      </c>
      <c r="F9" s="288" t="s">
        <v>84</v>
      </c>
      <c r="G9" s="288" t="s">
        <v>84</v>
      </c>
      <c r="H9" s="288" t="s">
        <v>23</v>
      </c>
      <c r="I9" s="288" t="s">
        <v>84</v>
      </c>
      <c r="J9" s="288" t="s">
        <v>23</v>
      </c>
      <c r="K9" s="288" t="s">
        <v>84</v>
      </c>
      <c r="L9" s="288" t="s">
        <v>23</v>
      </c>
      <c r="M9" s="311" t="s">
        <v>186</v>
      </c>
      <c r="N9" s="311" t="s">
        <v>285</v>
      </c>
      <c r="P9" s="288" t="s">
        <v>37</v>
      </c>
      <c r="Q9" s="527" t="s">
        <v>23</v>
      </c>
      <c r="S9" s="288" t="s">
        <v>37</v>
      </c>
      <c r="T9" s="311" t="s">
        <v>44</v>
      </c>
      <c r="U9" s="311" t="s">
        <v>960</v>
      </c>
      <c r="V9" s="311" t="s">
        <v>44</v>
      </c>
      <c r="W9" s="289" t="s">
        <v>274</v>
      </c>
      <c r="AC9" s="56" t="s">
        <v>637</v>
      </c>
      <c r="AD9" s="56" t="s">
        <v>637</v>
      </c>
    </row>
    <row r="10" spans="1:33">
      <c r="A10" s="289"/>
      <c r="B10" s="289"/>
      <c r="C10" s="342" t="s">
        <v>639</v>
      </c>
      <c r="D10" s="342" t="s">
        <v>640</v>
      </c>
      <c r="E10" s="342" t="s">
        <v>268</v>
      </c>
      <c r="F10" s="35">
        <v>1</v>
      </c>
      <c r="G10" s="35">
        <v>2</v>
      </c>
      <c r="H10" s="289" t="str">
        <f>G10&amp;" - "&amp;F10</f>
        <v>2 - 1</v>
      </c>
      <c r="I10" s="35">
        <v>3</v>
      </c>
      <c r="J10" s="289" t="str">
        <f>I10&amp;" - "&amp;F10</f>
        <v>3 - 1</v>
      </c>
      <c r="K10" s="74">
        <v>4</v>
      </c>
      <c r="L10" s="289" t="str">
        <f>K10&amp;" - "&amp;F10</f>
        <v>4 - 1</v>
      </c>
      <c r="M10" s="342" t="s">
        <v>641</v>
      </c>
      <c r="N10" s="289"/>
      <c r="P10" s="289"/>
      <c r="Q10" s="528" t="s">
        <v>94</v>
      </c>
      <c r="S10" s="289"/>
      <c r="T10" s="342" t="s">
        <v>954</v>
      </c>
      <c r="U10" s="342" t="s">
        <v>961</v>
      </c>
      <c r="V10" s="342" t="s">
        <v>95</v>
      </c>
      <c r="W10" s="289" t="s">
        <v>272</v>
      </c>
      <c r="AA10" s="288" t="s">
        <v>35</v>
      </c>
      <c r="AB10" s="288" t="s">
        <v>36</v>
      </c>
      <c r="AC10" s="288" t="s">
        <v>40</v>
      </c>
      <c r="AD10" s="288" t="s">
        <v>40</v>
      </c>
      <c r="AE10" s="288" t="s">
        <v>638</v>
      </c>
      <c r="AF10" s="288" t="s">
        <v>638</v>
      </c>
      <c r="AG10" s="288" t="s">
        <v>37</v>
      </c>
    </row>
    <row r="11" spans="1:33">
      <c r="A11" s="334"/>
      <c r="B11" s="334"/>
      <c r="C11" s="334"/>
      <c r="D11" s="334"/>
      <c r="E11" s="334" t="s">
        <v>41</v>
      </c>
      <c r="F11" s="334" t="s">
        <v>7</v>
      </c>
      <c r="G11" s="334" t="s">
        <v>7</v>
      </c>
      <c r="H11" s="334" t="s">
        <v>38</v>
      </c>
      <c r="I11" s="334" t="s">
        <v>7</v>
      </c>
      <c r="J11" s="334" t="s">
        <v>38</v>
      </c>
      <c r="K11" s="334" t="s">
        <v>7</v>
      </c>
      <c r="L11" s="334" t="s">
        <v>38</v>
      </c>
      <c r="M11" s="325" t="s">
        <v>7</v>
      </c>
      <c r="N11" s="325" t="s">
        <v>38</v>
      </c>
      <c r="P11" s="334" t="s">
        <v>0</v>
      </c>
      <c r="Q11" s="529" t="s">
        <v>38</v>
      </c>
      <c r="S11" s="334" t="s">
        <v>0</v>
      </c>
      <c r="T11" s="325" t="s">
        <v>38</v>
      </c>
      <c r="U11" s="325" t="s">
        <v>7</v>
      </c>
      <c r="V11" s="325" t="s">
        <v>38</v>
      </c>
      <c r="W11" s="289" t="s">
        <v>63</v>
      </c>
      <c r="AA11" s="289"/>
      <c r="AB11" s="289"/>
      <c r="AC11" s="289" t="s">
        <v>635</v>
      </c>
      <c r="AD11" s="289" t="s">
        <v>636</v>
      </c>
      <c r="AE11" s="289" t="s">
        <v>639</v>
      </c>
      <c r="AF11" s="289" t="s">
        <v>640</v>
      </c>
      <c r="AG11" s="289"/>
    </row>
    <row r="12" spans="1:33">
      <c r="A12" s="530" t="s">
        <v>216</v>
      </c>
      <c r="B12" s="530">
        <v>40</v>
      </c>
      <c r="C12" s="531">
        <v>0.57492783060838692</v>
      </c>
      <c r="D12" s="531"/>
      <c r="E12" s="532">
        <v>17.956</v>
      </c>
      <c r="F12" s="27">
        <v>47.843838554534642</v>
      </c>
      <c r="G12" s="27">
        <v>47.688900374435526</v>
      </c>
      <c r="H12" s="298">
        <f>IF(G12="","",(G12-$F12)/$F12*100)</f>
        <v>-0.323841449139809</v>
      </c>
      <c r="I12" s="27">
        <v>47.547868664153405</v>
      </c>
      <c r="J12" s="298">
        <f>IF(I12="","",(I12-$F12)/$F12*100)</f>
        <v>-0.61861652267695111</v>
      </c>
      <c r="K12" s="27"/>
      <c r="L12" s="298" t="str">
        <f>IF(K12="","",(K12-$F12)/$F12*100)</f>
        <v/>
      </c>
      <c r="M12" s="533">
        <f t="shared" ref="M12:M50" si="0">IF(COUNT(F12,G12,I12,K12)=0,"",AVERAGE(F12,G12,I12,K12))</f>
        <v>47.693535864374525</v>
      </c>
      <c r="N12" s="283">
        <f t="shared" ref="N12:N50" si="1">IF(COUNT(F12,G12,I12,K12)=0,"",STDEV(F12,G12,I12,K12)/M12*100)</f>
        <v>0.31039717099619979</v>
      </c>
      <c r="P12" s="27"/>
      <c r="Q12" s="292" t="str">
        <f>IF(P12="","",(M12-P12)/P12*100)</f>
        <v/>
      </c>
      <c r="S12" s="27"/>
      <c r="T12" s="283" t="str">
        <f>IF(S12="","",(S12-M12)/M12*100)</f>
        <v/>
      </c>
      <c r="U12" s="701" t="e">
        <f>HLOOKUP($S$8,'MEX QC'!$G$9:$Q$71,'MEX QC'!F10,FALSE)</f>
        <v>#N/A</v>
      </c>
      <c r="V12" s="283" t="str">
        <f>IF(S12="","",(S12-U12)/U12*100)</f>
        <v/>
      </c>
      <c r="W12" s="532">
        <v>1.8019770692792743</v>
      </c>
      <c r="Y12" s="664"/>
      <c r="AA12" s="334"/>
      <c r="AB12" s="334"/>
      <c r="AC12" s="334" t="s">
        <v>41</v>
      </c>
      <c r="AD12" s="334" t="s">
        <v>41</v>
      </c>
      <c r="AE12" s="334"/>
      <c r="AF12" s="334"/>
      <c r="AG12" s="334" t="s">
        <v>0</v>
      </c>
    </row>
    <row r="13" spans="1:33">
      <c r="A13" s="530" t="s">
        <v>218</v>
      </c>
      <c r="B13" s="530">
        <v>50</v>
      </c>
      <c r="C13" s="531">
        <v>0.68410318438743511</v>
      </c>
      <c r="D13" s="531"/>
      <c r="E13" s="532">
        <v>19.5</v>
      </c>
      <c r="F13" s="27">
        <v>47.328049506933851</v>
      </c>
      <c r="G13" s="27">
        <v>47.273482007609147</v>
      </c>
      <c r="H13" s="298">
        <f t="shared" ref="H13:H73" si="2">IF(G13="","",(G13-$F13)/$F13*100)</f>
        <v>-0.11529631982131495</v>
      </c>
      <c r="I13" s="27">
        <v>47.347051451873448</v>
      </c>
      <c r="J13" s="298">
        <f t="shared" ref="J13:J73" si="3">IF(I13="","",(I13-$F13)/$F13*100)</f>
        <v>4.0149435984705578E-2</v>
      </c>
      <c r="K13" s="27"/>
      <c r="L13" s="298" t="str">
        <f t="shared" ref="L13:L73" si="4">IF(K13="","",(K13-$F13)/$F13*100)</f>
        <v/>
      </c>
      <c r="M13" s="533">
        <f t="shared" si="0"/>
        <v>47.316194322138813</v>
      </c>
      <c r="N13" s="283">
        <f t="shared" si="1"/>
        <v>8.0713672413285018E-2</v>
      </c>
      <c r="P13" s="27"/>
      <c r="Q13" s="292" t="str">
        <f t="shared" ref="Q13:Q73" si="5">IF(P13="","",(M13-P13)/P13*100)</f>
        <v/>
      </c>
      <c r="S13" s="27"/>
      <c r="T13" s="283" t="str">
        <f t="shared" ref="T13:T73" si="6">IF(S13="","",(S13-M13)/M13*100)</f>
        <v/>
      </c>
      <c r="U13" s="701" t="e">
        <f>HLOOKUP($S$8,'MEX QC'!$G$9:$Q$71,'MEX QC'!F11,FALSE)</f>
        <v>#N/A</v>
      </c>
      <c r="V13" s="283" t="str">
        <f t="shared" ref="V13:V73" si="7">IF(S13="","",(S13-U13)/U13*100)</f>
        <v/>
      </c>
      <c r="W13" s="532">
        <v>2.737821518171756</v>
      </c>
      <c r="Y13" s="664"/>
      <c r="AA13" s="289" t="s">
        <v>617</v>
      </c>
      <c r="AB13" s="289">
        <v>30</v>
      </c>
      <c r="AC13" s="534">
        <v>15.05</v>
      </c>
      <c r="AD13" s="534">
        <v>7.1660000000000004</v>
      </c>
      <c r="AE13" s="535">
        <v>0.35</v>
      </c>
      <c r="AF13" s="535"/>
      <c r="AG13" s="214"/>
    </row>
    <row r="14" spans="1:33">
      <c r="A14" s="530" t="s">
        <v>221</v>
      </c>
      <c r="B14" s="530">
        <v>60</v>
      </c>
      <c r="C14" s="531">
        <v>0.78881379165109278</v>
      </c>
      <c r="D14" s="531"/>
      <c r="E14" s="532">
        <v>20.856999999999999</v>
      </c>
      <c r="F14" s="27">
        <v>46.954372465615627</v>
      </c>
      <c r="G14" s="27">
        <v>46.651923935841047</v>
      </c>
      <c r="H14" s="298">
        <f t="shared" si="2"/>
        <v>-0.64413283341409977</v>
      </c>
      <c r="I14" s="27">
        <v>46.833518656943689</v>
      </c>
      <c r="J14" s="298">
        <f t="shared" si="3"/>
        <v>-0.25738563274472265</v>
      </c>
      <c r="K14" s="27"/>
      <c r="L14" s="298" t="str">
        <f t="shared" si="4"/>
        <v/>
      </c>
      <c r="M14" s="533">
        <f t="shared" si="0"/>
        <v>46.813271686133454</v>
      </c>
      <c r="N14" s="283">
        <f t="shared" si="1"/>
        <v>0.32520141868132418</v>
      </c>
      <c r="P14" s="27"/>
      <c r="Q14" s="292" t="str">
        <f t="shared" si="5"/>
        <v/>
      </c>
      <c r="S14" s="27"/>
      <c r="T14" s="283" t="str">
        <f t="shared" si="6"/>
        <v/>
      </c>
      <c r="U14" s="701" t="e">
        <f>HLOOKUP($S$8,'MEX QC'!$G$9:$Q$71,'MEX QC'!F12,FALSE)</f>
        <v>#N/A</v>
      </c>
      <c r="V14" s="283" t="str">
        <f t="shared" si="7"/>
        <v/>
      </c>
      <c r="W14" s="532">
        <v>3.4684158768750319</v>
      </c>
      <c r="Y14" s="664"/>
      <c r="AA14" s="289" t="s">
        <v>618</v>
      </c>
      <c r="AB14" s="289">
        <v>50</v>
      </c>
      <c r="AC14" s="534">
        <v>18.170000000000002</v>
      </c>
      <c r="AD14" s="534">
        <v>18.349</v>
      </c>
      <c r="AE14" s="535">
        <v>0.56000000000000005</v>
      </c>
      <c r="AF14" s="535"/>
      <c r="AG14" s="27"/>
    </row>
    <row r="15" spans="1:33">
      <c r="A15" s="530" t="s">
        <v>223</v>
      </c>
      <c r="B15" s="530">
        <v>70</v>
      </c>
      <c r="C15" s="531">
        <v>0.89521104032277998</v>
      </c>
      <c r="D15" s="531"/>
      <c r="E15" s="532">
        <v>22.146999999999998</v>
      </c>
      <c r="F15" s="27">
        <v>46.647879463000812</v>
      </c>
      <c r="G15" s="27">
        <v>46.554101111153123</v>
      </c>
      <c r="H15" s="298">
        <f t="shared" si="2"/>
        <v>-0.20103454417916311</v>
      </c>
      <c r="I15" s="27">
        <v>46.551024364456218</v>
      </c>
      <c r="J15" s="298">
        <f t="shared" si="3"/>
        <v>-0.2076302281251946</v>
      </c>
      <c r="K15" s="27"/>
      <c r="L15" s="298" t="str">
        <f t="shared" si="4"/>
        <v/>
      </c>
      <c r="M15" s="533">
        <f t="shared" si="0"/>
        <v>46.58433497953672</v>
      </c>
      <c r="N15" s="283">
        <f t="shared" si="1"/>
        <v>0.11817842860713516</v>
      </c>
      <c r="P15" s="27"/>
      <c r="Q15" s="292" t="str">
        <f t="shared" si="5"/>
        <v/>
      </c>
      <c r="S15" s="27"/>
      <c r="T15" s="283" t="str">
        <f t="shared" si="6"/>
        <v/>
      </c>
      <c r="U15" s="701" t="e">
        <f>HLOOKUP($S$8,'MEX QC'!$G$9:$Q$71,'MEX QC'!F13,FALSE)</f>
        <v>#N/A</v>
      </c>
      <c r="V15" s="283" t="str">
        <f t="shared" si="7"/>
        <v/>
      </c>
      <c r="W15" s="532">
        <v>4.1450178898030403</v>
      </c>
      <c r="Y15" s="664"/>
      <c r="AA15" s="289" t="s">
        <v>619</v>
      </c>
      <c r="AB15" s="289">
        <v>75</v>
      </c>
      <c r="AC15" s="534">
        <v>20.234000000000002</v>
      </c>
      <c r="AD15" s="534">
        <v>20.492999999999999</v>
      </c>
      <c r="AE15" s="535">
        <v>0.77</v>
      </c>
      <c r="AF15" s="535"/>
      <c r="AG15" s="27"/>
    </row>
    <row r="16" spans="1:33">
      <c r="A16" s="530" t="s">
        <v>227</v>
      </c>
      <c r="B16" s="530">
        <v>80</v>
      </c>
      <c r="C16" s="531">
        <v>1.0168942180395382</v>
      </c>
      <c r="D16" s="531"/>
      <c r="E16" s="532">
        <v>23.48</v>
      </c>
      <c r="F16" s="27">
        <v>46.415410521846567</v>
      </c>
      <c r="G16" s="27">
        <v>46.397378648964697</v>
      </c>
      <c r="H16" s="298">
        <f t="shared" si="2"/>
        <v>-3.8848892381083903E-2</v>
      </c>
      <c r="I16" s="27">
        <v>46.255410032855551</v>
      </c>
      <c r="J16" s="298">
        <f t="shared" si="3"/>
        <v>-0.34471415245957698</v>
      </c>
      <c r="K16" s="27"/>
      <c r="L16" s="298" t="str">
        <f t="shared" si="4"/>
        <v/>
      </c>
      <c r="M16" s="533">
        <f t="shared" si="0"/>
        <v>46.356066401222279</v>
      </c>
      <c r="N16" s="283">
        <f t="shared" si="1"/>
        <v>0.18904965324503065</v>
      </c>
      <c r="P16" s="27"/>
      <c r="Q16" s="292" t="str">
        <f t="shared" si="5"/>
        <v/>
      </c>
      <c r="S16" s="27"/>
      <c r="T16" s="283" t="str">
        <f t="shared" si="6"/>
        <v/>
      </c>
      <c r="U16" s="701" t="e">
        <f>HLOOKUP($S$8,'MEX QC'!$G$9:$Q$71,'MEX QC'!F14,FALSE)</f>
        <v>#N/A</v>
      </c>
      <c r="V16" s="283" t="str">
        <f t="shared" si="7"/>
        <v/>
      </c>
      <c r="W16" s="532">
        <v>4.8068940348088303</v>
      </c>
      <c r="Y16" s="664"/>
      <c r="AA16" s="289" t="s">
        <v>620</v>
      </c>
      <c r="AB16" s="289">
        <v>100</v>
      </c>
      <c r="AC16" s="534">
        <v>22.53</v>
      </c>
      <c r="AD16" s="534">
        <v>22.911000000000001</v>
      </c>
      <c r="AE16" s="535">
        <v>1.01</v>
      </c>
      <c r="AF16" s="535"/>
      <c r="AG16" s="27"/>
    </row>
    <row r="17" spans="1:33">
      <c r="A17" s="530" t="s">
        <v>229</v>
      </c>
      <c r="B17" s="530">
        <v>90</v>
      </c>
      <c r="C17" s="531">
        <v>1.1524525686905205</v>
      </c>
      <c r="D17" s="531"/>
      <c r="E17" s="532">
        <v>24.878</v>
      </c>
      <c r="F17" s="27">
        <v>46.233464812127941</v>
      </c>
      <c r="G17" s="27">
        <v>46.144471889462899</v>
      </c>
      <c r="H17" s="298">
        <f t="shared" si="2"/>
        <v>-0.19248594719575884</v>
      </c>
      <c r="I17" s="27">
        <v>46.096093849972945</v>
      </c>
      <c r="J17" s="298">
        <f t="shared" si="3"/>
        <v>-0.297124523790744</v>
      </c>
      <c r="K17" s="27"/>
      <c r="L17" s="298" t="str">
        <f t="shared" si="4"/>
        <v/>
      </c>
      <c r="M17" s="533">
        <f t="shared" si="0"/>
        <v>46.158010183854593</v>
      </c>
      <c r="N17" s="283">
        <f t="shared" si="1"/>
        <v>0.15095749014195234</v>
      </c>
      <c r="P17" s="27"/>
      <c r="Q17" s="292" t="str">
        <f t="shared" si="5"/>
        <v/>
      </c>
      <c r="S17" s="27"/>
      <c r="T17" s="283" t="str">
        <f t="shared" si="6"/>
        <v/>
      </c>
      <c r="U17" s="701" t="e">
        <f>HLOOKUP($S$8,'MEX QC'!$G$9:$Q$71,'MEX QC'!F15,FALSE)</f>
        <v>#N/A</v>
      </c>
      <c r="V17" s="283" t="str">
        <f t="shared" si="7"/>
        <v/>
      </c>
      <c r="W17" s="532">
        <v>5.4523121200535467</v>
      </c>
      <c r="Y17" s="664"/>
      <c r="AA17" s="289" t="s">
        <v>621</v>
      </c>
      <c r="AB17" s="289">
        <v>75</v>
      </c>
      <c r="AC17" s="534">
        <v>25.295000000000002</v>
      </c>
      <c r="AD17" s="534">
        <v>25.67</v>
      </c>
      <c r="AE17" s="535">
        <v>1.5</v>
      </c>
      <c r="AF17" s="535"/>
      <c r="AG17" s="27"/>
    </row>
    <row r="18" spans="1:33">
      <c r="A18" s="530" t="s">
        <v>231</v>
      </c>
      <c r="B18" s="530">
        <v>100</v>
      </c>
      <c r="C18" s="531">
        <v>1.3031305701207649</v>
      </c>
      <c r="D18" s="531"/>
      <c r="E18" s="532">
        <v>26.34</v>
      </c>
      <c r="F18" s="27">
        <v>46.011489628878685</v>
      </c>
      <c r="G18" s="27">
        <v>45.926815339804705</v>
      </c>
      <c r="H18" s="298">
        <f t="shared" si="2"/>
        <v>-0.18402857581214976</v>
      </c>
      <c r="I18" s="27">
        <v>45.986237701222834</v>
      </c>
      <c r="J18" s="298">
        <f t="shared" si="3"/>
        <v>-5.4881786830919002E-2</v>
      </c>
      <c r="K18" s="27"/>
      <c r="L18" s="298" t="str">
        <f t="shared" si="4"/>
        <v/>
      </c>
      <c r="M18" s="533">
        <f t="shared" si="0"/>
        <v>45.974847556635403</v>
      </c>
      <c r="N18" s="283">
        <f t="shared" si="1"/>
        <v>9.4554063168838617E-2</v>
      </c>
      <c r="P18" s="27"/>
      <c r="Q18" s="292" t="str">
        <f t="shared" si="5"/>
        <v/>
      </c>
      <c r="S18" s="27"/>
      <c r="T18" s="283" t="str">
        <f t="shared" si="6"/>
        <v/>
      </c>
      <c r="U18" s="701" t="e">
        <f>HLOOKUP($S$8,'MEX QC'!$G$9:$Q$71,'MEX QC'!F16,FALSE)</f>
        <v>#N/A</v>
      </c>
      <c r="V18" s="283" t="str">
        <f t="shared" si="7"/>
        <v/>
      </c>
      <c r="W18" s="532">
        <v>6.083126630200046</v>
      </c>
      <c r="Y18" s="664"/>
      <c r="AA18" s="289" t="s">
        <v>622</v>
      </c>
      <c r="AB18" s="289">
        <v>100</v>
      </c>
      <c r="AC18" s="534">
        <v>27.85</v>
      </c>
      <c r="AD18" s="534">
        <v>28.451000000000001</v>
      </c>
      <c r="AE18" s="535">
        <v>2.06</v>
      </c>
      <c r="AF18" s="535"/>
      <c r="AG18" s="27"/>
    </row>
    <row r="19" spans="1:33">
      <c r="A19" s="530" t="s">
        <v>977</v>
      </c>
      <c r="B19" s="530">
        <v>40</v>
      </c>
      <c r="C19" s="699">
        <v>0.9258920135550176</v>
      </c>
      <c r="D19" s="531"/>
      <c r="E19" s="532">
        <v>20.93</v>
      </c>
      <c r="F19" s="27">
        <v>46.222371235681578</v>
      </c>
      <c r="G19" s="27">
        <v>46.116083371684184</v>
      </c>
      <c r="H19" s="298">
        <f t="shared" si="2"/>
        <v>-0.2299489644428824</v>
      </c>
      <c r="I19" s="27">
        <v>46.271486858530892</v>
      </c>
      <c r="J19" s="298">
        <f t="shared" si="3"/>
        <v>0.10625941840776633</v>
      </c>
      <c r="K19" s="27"/>
      <c r="L19" s="298" t="str">
        <f t="shared" si="4"/>
        <v/>
      </c>
      <c r="M19" s="533">
        <f t="shared" si="0"/>
        <v>46.203313821965558</v>
      </c>
      <c r="N19" s="283">
        <f t="shared" si="1"/>
        <v>0.17192531274437639</v>
      </c>
      <c r="P19" s="27"/>
      <c r="Q19" s="292" t="str">
        <f t="shared" si="5"/>
        <v/>
      </c>
      <c r="S19" s="27"/>
      <c r="T19" s="283" t="str">
        <f t="shared" si="6"/>
        <v/>
      </c>
      <c r="U19" s="701" t="e">
        <f>HLOOKUP($S$8,'MEX QC'!$G$9:$Q$71,'MEX QC'!F17,FALSE)</f>
        <v>#N/A</v>
      </c>
      <c r="V19" s="283" t="str">
        <f t="shared" si="7"/>
        <v/>
      </c>
      <c r="W19" s="532">
        <v>1.0507108322148071</v>
      </c>
      <c r="Y19" s="664"/>
      <c r="AA19" s="289" t="s">
        <v>623</v>
      </c>
      <c r="AB19" s="289">
        <v>135</v>
      </c>
      <c r="AC19" s="534">
        <v>31.716999999999999</v>
      </c>
      <c r="AD19" s="534">
        <v>32.795999999999999</v>
      </c>
      <c r="AE19" s="535">
        <v>2.93</v>
      </c>
      <c r="AF19" s="535"/>
      <c r="AG19" s="27"/>
    </row>
    <row r="20" spans="1:33">
      <c r="A20" s="530" t="s">
        <v>978</v>
      </c>
      <c r="B20" s="530">
        <v>50</v>
      </c>
      <c r="C20" s="699">
        <v>1.1174180366661788</v>
      </c>
      <c r="D20" s="531"/>
      <c r="E20" s="532">
        <v>22.646000000000001</v>
      </c>
      <c r="F20" s="27">
        <v>46.035966377622657</v>
      </c>
      <c r="G20" s="27">
        <v>45.802732688041118</v>
      </c>
      <c r="H20" s="298">
        <f t="shared" si="2"/>
        <v>-0.50663363438137776</v>
      </c>
      <c r="I20" s="27">
        <v>45.905730313669459</v>
      </c>
      <c r="J20" s="298">
        <f t="shared" si="3"/>
        <v>-0.28290068440162897</v>
      </c>
      <c r="K20" s="27"/>
      <c r="L20" s="298" t="str">
        <f t="shared" si="4"/>
        <v/>
      </c>
      <c r="M20" s="533">
        <f t="shared" si="0"/>
        <v>45.914809793111083</v>
      </c>
      <c r="N20" s="283">
        <f t="shared" si="1"/>
        <v>0.25456194594017334</v>
      </c>
      <c r="P20" s="27"/>
      <c r="Q20" s="292" t="str">
        <f t="shared" si="5"/>
        <v/>
      </c>
      <c r="S20" s="27"/>
      <c r="T20" s="283" t="str">
        <f t="shared" si="6"/>
        <v/>
      </c>
      <c r="U20" s="701" t="e">
        <f>HLOOKUP($S$8,'MEX QC'!$G$9:$Q$71,'MEX QC'!F18,FALSE)</f>
        <v>#N/A</v>
      </c>
      <c r="V20" s="283" t="str">
        <f t="shared" si="7"/>
        <v/>
      </c>
      <c r="W20" s="532">
        <v>1.5824054702653265</v>
      </c>
      <c r="Y20" s="664"/>
      <c r="AA20" s="289" t="s">
        <v>624</v>
      </c>
      <c r="AB20" s="289">
        <v>100</v>
      </c>
      <c r="AC20" s="534">
        <v>36.655000000000001</v>
      </c>
      <c r="AD20" s="534">
        <v>37.811999999999998</v>
      </c>
      <c r="AE20" s="535">
        <v>3.94</v>
      </c>
      <c r="AF20" s="535">
        <v>0.14000000000000001</v>
      </c>
      <c r="AG20" s="27"/>
    </row>
    <row r="21" spans="1:33">
      <c r="A21" s="530" t="s">
        <v>979</v>
      </c>
      <c r="B21" s="530">
        <v>60</v>
      </c>
      <c r="C21" s="699">
        <v>1.2886011015031504</v>
      </c>
      <c r="D21" s="531"/>
      <c r="E21" s="532">
        <v>24.094999999999999</v>
      </c>
      <c r="F21" s="27">
        <v>45.876097835972821</v>
      </c>
      <c r="G21" s="27">
        <v>45.842226021566937</v>
      </c>
      <c r="H21" s="298">
        <f t="shared" si="2"/>
        <v>-7.3833250872798933E-2</v>
      </c>
      <c r="I21" s="27">
        <v>45.65794754980336</v>
      </c>
      <c r="J21" s="298">
        <f t="shared" si="3"/>
        <v>-0.47552057925555058</v>
      </c>
      <c r="K21" s="27"/>
      <c r="L21" s="298" t="str">
        <f t="shared" si="4"/>
        <v/>
      </c>
      <c r="M21" s="533">
        <f t="shared" si="0"/>
        <v>45.792090469114378</v>
      </c>
      <c r="N21" s="283">
        <f t="shared" si="1"/>
        <v>0.25637435864401875</v>
      </c>
      <c r="P21" s="27"/>
      <c r="Q21" s="292" t="str">
        <f t="shared" si="5"/>
        <v/>
      </c>
      <c r="S21" s="27"/>
      <c r="T21" s="283" t="str">
        <f t="shared" si="6"/>
        <v/>
      </c>
      <c r="U21" s="701" t="e">
        <f>HLOOKUP($S$8,'MEX QC'!$G$9:$Q$71,'MEX QC'!F19,FALSE)</f>
        <v>#N/A</v>
      </c>
      <c r="V21" s="283" t="str">
        <f t="shared" si="7"/>
        <v/>
      </c>
      <c r="W21" s="532">
        <v>2.114331045347686</v>
      </c>
      <c r="Y21" s="664"/>
      <c r="AA21" s="289" t="s">
        <v>625</v>
      </c>
      <c r="AB21" s="289">
        <v>150</v>
      </c>
      <c r="AC21" s="534">
        <v>43.134</v>
      </c>
      <c r="AD21" s="534">
        <v>45.616999999999997</v>
      </c>
      <c r="AE21" s="535">
        <v>5.81</v>
      </c>
      <c r="AF21" s="535">
        <v>0.27</v>
      </c>
      <c r="AG21" s="27"/>
    </row>
    <row r="22" spans="1:33">
      <c r="A22" s="530" t="s">
        <v>980</v>
      </c>
      <c r="B22" s="530">
        <v>70</v>
      </c>
      <c r="C22" s="699">
        <v>1.4584444510077763</v>
      </c>
      <c r="D22" s="531"/>
      <c r="E22" s="532">
        <v>25.442</v>
      </c>
      <c r="F22" s="27">
        <v>45.673666489919093</v>
      </c>
      <c r="G22" s="27">
        <v>45.616223009264665</v>
      </c>
      <c r="H22" s="298">
        <f t="shared" si="2"/>
        <v>-0.1257693657396789</v>
      </c>
      <c r="I22" s="27">
        <v>45.587860190916636</v>
      </c>
      <c r="J22" s="298">
        <f t="shared" si="3"/>
        <v>-0.18786820852535502</v>
      </c>
      <c r="K22" s="27"/>
      <c r="L22" s="298" t="str">
        <f t="shared" si="4"/>
        <v/>
      </c>
      <c r="M22" s="533">
        <f t="shared" si="0"/>
        <v>45.625916563366793</v>
      </c>
      <c r="N22" s="283">
        <f t="shared" si="1"/>
        <v>9.581560313192769E-2</v>
      </c>
      <c r="P22" s="27"/>
      <c r="Q22" s="292" t="str">
        <f t="shared" si="5"/>
        <v/>
      </c>
      <c r="S22" s="27"/>
      <c r="T22" s="283" t="str">
        <f t="shared" si="6"/>
        <v/>
      </c>
      <c r="U22" s="701" t="e">
        <f>HLOOKUP($S$8,'MEX QC'!$G$9:$Q$71,'MEX QC'!F20,FALSE)</f>
        <v>#N/A</v>
      </c>
      <c r="V22" s="283" t="str">
        <f t="shared" si="7"/>
        <v/>
      </c>
      <c r="W22" s="532">
        <v>2.6337193158119625</v>
      </c>
      <c r="Y22" s="664"/>
      <c r="AA22" s="289" t="s">
        <v>626</v>
      </c>
      <c r="AB22" s="289">
        <v>135</v>
      </c>
      <c r="AC22" s="534">
        <v>54.042000000000002</v>
      </c>
      <c r="AD22" s="534">
        <v>56.960999999999999</v>
      </c>
      <c r="AE22" s="535">
        <v>8.42</v>
      </c>
      <c r="AF22" s="535">
        <v>0.47</v>
      </c>
      <c r="AG22" s="27"/>
    </row>
    <row r="23" spans="1:33">
      <c r="A23" s="530" t="s">
        <v>981</v>
      </c>
      <c r="B23" s="530">
        <v>80</v>
      </c>
      <c r="C23" s="699">
        <v>1.6431678445072386</v>
      </c>
      <c r="D23" s="531"/>
      <c r="E23" s="532">
        <v>26.841999999999999</v>
      </c>
      <c r="F23" s="27">
        <v>45.5885729493789</v>
      </c>
      <c r="G23" s="27">
        <v>45.460096365444052</v>
      </c>
      <c r="H23" s="298">
        <f t="shared" si="2"/>
        <v>-0.28181751615148642</v>
      </c>
      <c r="I23" s="27">
        <v>45.502066687447794</v>
      </c>
      <c r="J23" s="298">
        <f t="shared" si="3"/>
        <v>-0.18975426589281882</v>
      </c>
      <c r="K23" s="27"/>
      <c r="L23" s="298" t="str">
        <f t="shared" si="4"/>
        <v/>
      </c>
      <c r="M23" s="533">
        <f t="shared" si="0"/>
        <v>45.516912000756918</v>
      </c>
      <c r="N23" s="283">
        <f t="shared" si="1"/>
        <v>0.14392931445657767</v>
      </c>
      <c r="P23" s="27"/>
      <c r="Q23" s="292" t="str">
        <f t="shared" si="5"/>
        <v/>
      </c>
      <c r="S23" s="27"/>
      <c r="T23" s="283" t="str">
        <f t="shared" si="6"/>
        <v/>
      </c>
      <c r="U23" s="701" t="e">
        <f>HLOOKUP($S$8,'MEX QC'!$G$9:$Q$71,'MEX QC'!F21,FALSE)</f>
        <v>#N/A</v>
      </c>
      <c r="V23" s="283" t="str">
        <f t="shared" si="7"/>
        <v/>
      </c>
      <c r="W23" s="532">
        <v>3.1672754372213583</v>
      </c>
      <c r="Y23" s="664"/>
      <c r="AA23" s="289" t="s">
        <v>627</v>
      </c>
      <c r="AB23" s="289">
        <v>135</v>
      </c>
      <c r="AC23" s="534">
        <v>56.186999999999998</v>
      </c>
      <c r="AD23" s="534">
        <v>59.107999999999997</v>
      </c>
      <c r="AE23" s="535">
        <v>8.86</v>
      </c>
      <c r="AF23" s="535">
        <v>0.51</v>
      </c>
      <c r="AG23" s="27"/>
    </row>
    <row r="24" spans="1:33">
      <c r="A24" s="530" t="s">
        <v>982</v>
      </c>
      <c r="B24" s="530">
        <v>90</v>
      </c>
      <c r="C24" s="699">
        <v>1.8393319677543469</v>
      </c>
      <c r="D24" s="531"/>
      <c r="E24" s="532">
        <v>28.32</v>
      </c>
      <c r="F24" s="27">
        <v>45.438181510889599</v>
      </c>
      <c r="G24" s="27">
        <v>45.329158770161669</v>
      </c>
      <c r="H24" s="298">
        <f t="shared" si="2"/>
        <v>-0.2399364083305181</v>
      </c>
      <c r="I24" s="27">
        <v>45.370497708225983</v>
      </c>
      <c r="J24" s="298">
        <f t="shared" si="3"/>
        <v>-0.14895799174400332</v>
      </c>
      <c r="K24" s="27"/>
      <c r="L24" s="298" t="str">
        <f t="shared" si="4"/>
        <v/>
      </c>
      <c r="M24" s="533">
        <f t="shared" si="0"/>
        <v>45.379279329759093</v>
      </c>
      <c r="N24" s="283">
        <f t="shared" si="1"/>
        <v>0.12128734643142701</v>
      </c>
      <c r="P24" s="27"/>
      <c r="Q24" s="292" t="str">
        <f t="shared" si="5"/>
        <v/>
      </c>
      <c r="S24" s="27"/>
      <c r="T24" s="283" t="str">
        <f t="shared" si="6"/>
        <v/>
      </c>
      <c r="U24" s="701" t="e">
        <f>HLOOKUP($S$8,'MEX QC'!$G$9:$Q$71,'MEX QC'!F22,FALSE)</f>
        <v>#N/A</v>
      </c>
      <c r="V24" s="283" t="str">
        <f t="shared" si="7"/>
        <v/>
      </c>
      <c r="W24" s="532">
        <v>3.7092619856216902</v>
      </c>
      <c r="Y24" s="664"/>
      <c r="AA24" s="289" t="s">
        <v>628</v>
      </c>
      <c r="AB24" s="289">
        <v>150</v>
      </c>
      <c r="AC24" s="534">
        <v>58.494999999999997</v>
      </c>
      <c r="AD24" s="534">
        <v>61.863</v>
      </c>
      <c r="AE24" s="534"/>
      <c r="AF24" s="535">
        <v>0.6</v>
      </c>
      <c r="AG24" s="27"/>
    </row>
    <row r="25" spans="1:33">
      <c r="A25" s="530" t="s">
        <v>983</v>
      </c>
      <c r="B25" s="530">
        <v>100</v>
      </c>
      <c r="C25" s="699">
        <v>2.0480553989194346</v>
      </c>
      <c r="D25" s="531"/>
      <c r="E25" s="532">
        <v>29.867000000000001</v>
      </c>
      <c r="F25" s="27">
        <v>45.344164322939967</v>
      </c>
      <c r="G25" s="27">
        <v>45.285608599942783</v>
      </c>
      <c r="H25" s="298">
        <f t="shared" si="2"/>
        <v>-0.12913618294991983</v>
      </c>
      <c r="I25" s="27">
        <v>45.391276952410308</v>
      </c>
      <c r="J25" s="298">
        <f t="shared" si="3"/>
        <v>0.10390009425425965</v>
      </c>
      <c r="K25" s="27"/>
      <c r="L25" s="298" t="str">
        <f t="shared" si="4"/>
        <v/>
      </c>
      <c r="M25" s="533">
        <f t="shared" si="0"/>
        <v>45.340349958431013</v>
      </c>
      <c r="N25" s="283">
        <f t="shared" si="1"/>
        <v>0.11675547797420903</v>
      </c>
      <c r="P25" s="27"/>
      <c r="Q25" s="292" t="str">
        <f t="shared" si="5"/>
        <v/>
      </c>
      <c r="S25" s="27"/>
      <c r="T25" s="283" t="str">
        <f t="shared" si="6"/>
        <v/>
      </c>
      <c r="U25" s="701" t="e">
        <f>HLOOKUP($S$8,'MEX QC'!$G$9:$Q$71,'MEX QC'!F23,FALSE)</f>
        <v>#N/A</v>
      </c>
      <c r="V25" s="283" t="str">
        <f t="shared" si="7"/>
        <v/>
      </c>
      <c r="W25" s="532">
        <v>4.2580945084621344</v>
      </c>
      <c r="Y25" s="664"/>
      <c r="AA25" s="289" t="s">
        <v>629</v>
      </c>
      <c r="AB25" s="289">
        <v>180</v>
      </c>
      <c r="AC25" s="534">
        <v>72.852000000000004</v>
      </c>
      <c r="AD25" s="534">
        <v>76.739000000000004</v>
      </c>
      <c r="AE25" s="534"/>
      <c r="AF25" s="535">
        <v>0.99</v>
      </c>
      <c r="AG25" s="27"/>
    </row>
    <row r="26" spans="1:33">
      <c r="A26" s="530" t="s">
        <v>217</v>
      </c>
      <c r="B26" s="530">
        <v>40</v>
      </c>
      <c r="C26" s="531">
        <v>1.8978864505991633</v>
      </c>
      <c r="D26" s="531">
        <v>6.272293453927999E-2</v>
      </c>
      <c r="E26" s="532">
        <v>27.068000000000001</v>
      </c>
      <c r="F26" s="27">
        <v>45.074294647472584</v>
      </c>
      <c r="G26" s="27">
        <v>44.985508587120606</v>
      </c>
      <c r="H26" s="298">
        <f t="shared" si="2"/>
        <v>-0.19697714860848467</v>
      </c>
      <c r="I26" s="27">
        <v>44.936972237655297</v>
      </c>
      <c r="J26" s="298">
        <f t="shared" si="3"/>
        <v>-0.3046579228611111</v>
      </c>
      <c r="K26" s="27"/>
      <c r="L26" s="298" t="str">
        <f t="shared" si="4"/>
        <v/>
      </c>
      <c r="M26" s="533">
        <f t="shared" si="0"/>
        <v>44.99892515741616</v>
      </c>
      <c r="N26" s="283">
        <f t="shared" si="1"/>
        <v>0.1547534238573319</v>
      </c>
      <c r="P26" s="27"/>
      <c r="Q26" s="292" t="str">
        <f t="shared" si="5"/>
        <v/>
      </c>
      <c r="S26" s="27"/>
      <c r="T26" s="283" t="str">
        <f t="shared" si="6"/>
        <v/>
      </c>
      <c r="U26" s="701" t="e">
        <f>HLOOKUP($S$8,'MEX QC'!$G$9:$Q$71,'MEX QC'!F24,FALSE)</f>
        <v>#N/A</v>
      </c>
      <c r="V26" s="283" t="str">
        <f t="shared" si="7"/>
        <v/>
      </c>
      <c r="W26" s="532">
        <v>0.16880655413586165</v>
      </c>
      <c r="Y26" s="664"/>
      <c r="AA26" s="289" t="s">
        <v>630</v>
      </c>
      <c r="AB26" s="289">
        <v>250</v>
      </c>
      <c r="AC26" s="534">
        <v>72.483999999999995</v>
      </c>
      <c r="AD26" s="534">
        <v>78.31</v>
      </c>
      <c r="AE26" s="534"/>
      <c r="AF26" s="535">
        <v>1.17</v>
      </c>
      <c r="AG26" s="27"/>
    </row>
    <row r="27" spans="1:33">
      <c r="A27" s="536" t="s">
        <v>219</v>
      </c>
      <c r="B27" s="536">
        <v>50</v>
      </c>
      <c r="C27" s="537">
        <v>2.3884184190002435</v>
      </c>
      <c r="D27" s="537">
        <v>7.9990307372596242E-2</v>
      </c>
      <c r="E27" s="538">
        <v>29.934000000000001</v>
      </c>
      <c r="F27" s="215">
        <v>45.078319049835819</v>
      </c>
      <c r="G27" s="215">
        <v>44.966188308022375</v>
      </c>
      <c r="H27" s="292">
        <f t="shared" si="2"/>
        <v>-0.24874650203677759</v>
      </c>
      <c r="I27" s="215">
        <v>45.020716014240925</v>
      </c>
      <c r="J27" s="292">
        <f t="shared" si="3"/>
        <v>-0.12778434690790502</v>
      </c>
      <c r="K27" s="215"/>
      <c r="L27" s="292" t="str">
        <f t="shared" si="4"/>
        <v/>
      </c>
      <c r="M27" s="533">
        <f t="shared" si="0"/>
        <v>45.021741124033042</v>
      </c>
      <c r="N27" s="484">
        <f t="shared" si="1"/>
        <v>0.12454515930280188</v>
      </c>
      <c r="O27" s="58"/>
      <c r="P27" s="215"/>
      <c r="Q27" s="292" t="str">
        <f t="shared" si="5"/>
        <v/>
      </c>
      <c r="R27" s="58"/>
      <c r="S27" s="215"/>
      <c r="T27" s="484" t="str">
        <f t="shared" si="6"/>
        <v/>
      </c>
      <c r="U27" s="533" t="e">
        <f>HLOOKUP($S$8,'MEX QC'!$G$9:$Q$71,'MEX QC'!F25,FALSE)</f>
        <v>#N/A</v>
      </c>
      <c r="V27" s="292" t="str">
        <f t="shared" si="7"/>
        <v/>
      </c>
      <c r="W27" s="538">
        <v>0.36494547749932849</v>
      </c>
      <c r="Y27" s="664"/>
      <c r="AA27" s="289" t="s">
        <v>631</v>
      </c>
      <c r="AB27" s="289">
        <v>250</v>
      </c>
      <c r="AC27" s="534">
        <v>84.558000000000007</v>
      </c>
      <c r="AD27" s="534">
        <v>90.061000000000007</v>
      </c>
      <c r="AE27" s="534"/>
      <c r="AF27" s="535">
        <v>1.53</v>
      </c>
      <c r="AG27" s="27"/>
    </row>
    <row r="28" spans="1:33">
      <c r="A28" s="530" t="s">
        <v>222</v>
      </c>
      <c r="B28" s="530">
        <v>60</v>
      </c>
      <c r="C28" s="531">
        <v>2.8058625894538358</v>
      </c>
      <c r="D28" s="531">
        <v>9.5799660048102947E-2</v>
      </c>
      <c r="E28" s="532">
        <v>32.250999999999998</v>
      </c>
      <c r="F28" s="27">
        <v>45.0946064186626</v>
      </c>
      <c r="G28" s="27">
        <v>45.019794556032608</v>
      </c>
      <c r="H28" s="298">
        <f t="shared" si="2"/>
        <v>-0.16589980170895008</v>
      </c>
      <c r="I28" s="27">
        <v>45.029470584435558</v>
      </c>
      <c r="J28" s="298">
        <f t="shared" si="3"/>
        <v>-0.14444262717877046</v>
      </c>
      <c r="K28" s="27"/>
      <c r="L28" s="298" t="str">
        <f t="shared" si="4"/>
        <v/>
      </c>
      <c r="M28" s="533">
        <f t="shared" si="0"/>
        <v>45.047957186376919</v>
      </c>
      <c r="N28" s="283">
        <f t="shared" si="1"/>
        <v>9.03216896681618E-2</v>
      </c>
      <c r="P28" s="27"/>
      <c r="Q28" s="292" t="str">
        <f t="shared" si="5"/>
        <v/>
      </c>
      <c r="S28" s="27"/>
      <c r="T28" s="283" t="str">
        <f t="shared" si="6"/>
        <v/>
      </c>
      <c r="U28" s="701" t="e">
        <f>HLOOKUP($S$8,'MEX QC'!$G$9:$Q$71,'MEX QC'!F26,FALSE)</f>
        <v>#N/A</v>
      </c>
      <c r="V28" s="283" t="str">
        <f t="shared" si="7"/>
        <v/>
      </c>
      <c r="W28" s="532">
        <v>0.57718311185013538</v>
      </c>
      <c r="Y28" s="664"/>
      <c r="AA28" s="289" t="s">
        <v>632</v>
      </c>
      <c r="AB28" s="289">
        <v>250</v>
      </c>
      <c r="AC28" s="534">
        <v>119.173</v>
      </c>
      <c r="AD28" s="534">
        <v>121.548</v>
      </c>
      <c r="AE28" s="534"/>
      <c r="AF28" s="535">
        <v>2.52</v>
      </c>
      <c r="AG28" s="27"/>
    </row>
    <row r="29" spans="1:33">
      <c r="A29" s="536" t="s">
        <v>224</v>
      </c>
      <c r="B29" s="536">
        <v>70</v>
      </c>
      <c r="C29" s="537">
        <v>3.1929733252964523</v>
      </c>
      <c r="D29" s="537">
        <v>0.11135967269909675</v>
      </c>
      <c r="E29" s="538">
        <v>34.274999999999999</v>
      </c>
      <c r="F29" s="27">
        <v>45.035791189931743</v>
      </c>
      <c r="G29" s="27">
        <v>44.929428738893634</v>
      </c>
      <c r="H29" s="292">
        <f t="shared" si="2"/>
        <v>-0.2361731596754704</v>
      </c>
      <c r="I29" s="215">
        <v>44.9595605435753</v>
      </c>
      <c r="J29" s="292">
        <f t="shared" si="3"/>
        <v>-0.16926680833684354</v>
      </c>
      <c r="K29" s="215"/>
      <c r="L29" s="292" t="str">
        <f t="shared" si="4"/>
        <v/>
      </c>
      <c r="M29" s="533">
        <f t="shared" si="0"/>
        <v>44.974926824133554</v>
      </c>
      <c r="N29" s="484">
        <f t="shared" si="1"/>
        <v>0.12189221138703006</v>
      </c>
      <c r="O29" s="58"/>
      <c r="P29" s="215"/>
      <c r="Q29" s="292" t="str">
        <f t="shared" si="5"/>
        <v/>
      </c>
      <c r="R29" s="58"/>
      <c r="S29" s="215"/>
      <c r="T29" s="283" t="str">
        <f t="shared" si="6"/>
        <v/>
      </c>
      <c r="U29" s="533" t="e">
        <f>HLOOKUP($S$8,'MEX QC'!$G$9:$Q$71,'MEX QC'!F27,FALSE)</f>
        <v>#N/A</v>
      </c>
      <c r="V29" s="292" t="str">
        <f t="shared" si="7"/>
        <v/>
      </c>
      <c r="W29" s="538">
        <v>0.81063727072613534</v>
      </c>
      <c r="Y29" s="664"/>
      <c r="AA29" s="289" t="s">
        <v>633</v>
      </c>
      <c r="AB29" s="289">
        <v>300</v>
      </c>
      <c r="AC29" s="534">
        <v>168.815</v>
      </c>
      <c r="AD29" s="534">
        <v>163.38</v>
      </c>
      <c r="AE29" s="534"/>
      <c r="AF29" s="535">
        <v>3.98</v>
      </c>
      <c r="AG29" s="33"/>
    </row>
    <row r="30" spans="1:33">
      <c r="A30" s="530" t="s">
        <v>228</v>
      </c>
      <c r="B30" s="530">
        <v>80</v>
      </c>
      <c r="C30" s="531">
        <v>3.6197123995759788</v>
      </c>
      <c r="D30" s="531">
        <v>0.12923885884326811</v>
      </c>
      <c r="E30" s="532">
        <v>36.328000000000003</v>
      </c>
      <c r="F30" s="27">
        <v>44.914646648791539</v>
      </c>
      <c r="G30" s="27">
        <v>44.865024057072922</v>
      </c>
      <c r="H30" s="298">
        <f t="shared" si="2"/>
        <v>-0.11048198176118065</v>
      </c>
      <c r="I30" s="27">
        <v>44.872947522608897</v>
      </c>
      <c r="J30" s="298">
        <f t="shared" si="3"/>
        <v>-9.2840819852613568E-2</v>
      </c>
      <c r="K30" s="27"/>
      <c r="L30" s="298" t="str">
        <f t="shared" si="4"/>
        <v/>
      </c>
      <c r="M30" s="533">
        <f t="shared" si="0"/>
        <v>44.884206076157788</v>
      </c>
      <c r="N30" s="283">
        <f t="shared" si="1"/>
        <v>5.9393569552448539E-2</v>
      </c>
      <c r="P30" s="27"/>
      <c r="Q30" s="292" t="str">
        <f t="shared" si="5"/>
        <v/>
      </c>
      <c r="S30" s="27"/>
      <c r="T30" s="283" t="str">
        <f t="shared" si="6"/>
        <v/>
      </c>
      <c r="U30" s="701" t="e">
        <f>HLOOKUP($S$8,'MEX QC'!$G$9:$Q$71,'MEX QC'!F28,FALSE)</f>
        <v>#N/A</v>
      </c>
      <c r="V30" s="283" t="str">
        <f t="shared" si="7"/>
        <v/>
      </c>
      <c r="W30" s="532">
        <v>1.0802880729181519</v>
      </c>
      <c r="Y30" s="664"/>
      <c r="AA30" s="190" t="s">
        <v>634</v>
      </c>
      <c r="AB30" s="190">
        <v>300</v>
      </c>
      <c r="AC30" s="539">
        <v>168.815</v>
      </c>
      <c r="AD30" s="539">
        <v>163.38</v>
      </c>
      <c r="AE30" s="539"/>
      <c r="AF30" s="189">
        <v>3.98</v>
      </c>
      <c r="AG30" s="27"/>
    </row>
    <row r="31" spans="1:33">
      <c r="A31" s="530" t="s">
        <v>230</v>
      </c>
      <c r="B31" s="530">
        <v>90</v>
      </c>
      <c r="C31" s="531">
        <v>4.0393687541302778</v>
      </c>
      <c r="D31" s="531">
        <v>0.14848211806760514</v>
      </c>
      <c r="E31" s="532">
        <v>38.384999999999998</v>
      </c>
      <c r="F31" s="27">
        <v>44.851717378746656</v>
      </c>
      <c r="G31" s="27">
        <v>44.875158321447991</v>
      </c>
      <c r="H31" s="298">
        <f t="shared" si="2"/>
        <v>5.2263199875691613E-2</v>
      </c>
      <c r="I31" s="27">
        <v>44.795616388995228</v>
      </c>
      <c r="J31" s="298">
        <f t="shared" si="3"/>
        <v>-0.12508102928966569</v>
      </c>
      <c r="K31" s="27"/>
      <c r="L31" s="298" t="str">
        <f t="shared" si="4"/>
        <v/>
      </c>
      <c r="M31" s="533">
        <f t="shared" si="0"/>
        <v>44.84083069639663</v>
      </c>
      <c r="N31" s="283">
        <f t="shared" si="1"/>
        <v>9.1151777579023568E-2</v>
      </c>
      <c r="P31" s="27"/>
      <c r="Q31" s="292" t="str">
        <f t="shared" si="5"/>
        <v/>
      </c>
      <c r="S31" s="27"/>
      <c r="T31" s="283" t="str">
        <f t="shared" si="6"/>
        <v/>
      </c>
      <c r="U31" s="701" t="e">
        <f>HLOOKUP($S$8,'MEX QC'!$G$9:$Q$71,'MEX QC'!F29,FALSE)</f>
        <v>#N/A</v>
      </c>
      <c r="V31" s="283" t="str">
        <f t="shared" si="7"/>
        <v/>
      </c>
      <c r="W31" s="532">
        <v>1.3821064635114191</v>
      </c>
      <c r="Y31" s="664"/>
    </row>
    <row r="32" spans="1:33">
      <c r="A32" s="530" t="s">
        <v>220</v>
      </c>
      <c r="B32" s="530">
        <v>50</v>
      </c>
      <c r="C32" s="531">
        <v>2.5292585864499295</v>
      </c>
      <c r="D32" s="531">
        <v>8.4996170866672577E-2</v>
      </c>
      <c r="E32" s="532">
        <v>30.623000000000001</v>
      </c>
      <c r="F32" s="27">
        <v>45.056337309454975</v>
      </c>
      <c r="G32" s="27">
        <v>44.816400316725755</v>
      </c>
      <c r="H32" s="298">
        <f t="shared" si="2"/>
        <v>-0.53252662568040043</v>
      </c>
      <c r="I32" s="27">
        <v>44.854844144421328</v>
      </c>
      <c r="J32" s="298">
        <f t="shared" si="3"/>
        <v>-0.44720271789905019</v>
      </c>
      <c r="K32" s="27"/>
      <c r="L32" s="298" t="str">
        <f t="shared" si="4"/>
        <v/>
      </c>
      <c r="M32" s="533">
        <f t="shared" si="0"/>
        <v>44.909193923534019</v>
      </c>
      <c r="N32" s="283">
        <f t="shared" si="1"/>
        <v>0.28696017582077399</v>
      </c>
      <c r="P32" s="27"/>
      <c r="Q32" s="292" t="str">
        <f t="shared" si="5"/>
        <v/>
      </c>
      <c r="S32" s="27"/>
      <c r="T32" s="283" t="str">
        <f t="shared" si="6"/>
        <v/>
      </c>
      <c r="U32" s="701" t="e">
        <f>HLOOKUP($S$8,'MEX QC'!$G$9:$Q$71,'MEX QC'!F30,FALSE)</f>
        <v>#N/A</v>
      </c>
      <c r="V32" s="283" t="str">
        <f t="shared" si="7"/>
        <v/>
      </c>
      <c r="W32" s="532">
        <v>0.31069524293476081</v>
      </c>
      <c r="Y32" s="664"/>
    </row>
    <row r="33" spans="1:25">
      <c r="A33" s="530" t="s">
        <v>225</v>
      </c>
      <c r="B33" s="530">
        <v>70</v>
      </c>
      <c r="C33" s="531">
        <v>3.3915742452383575</v>
      </c>
      <c r="D33" s="531">
        <v>0.11942976937282476</v>
      </c>
      <c r="E33" s="532">
        <v>35.19</v>
      </c>
      <c r="F33" s="27">
        <v>44.977021541789036</v>
      </c>
      <c r="G33" s="27">
        <v>44.890494913459392</v>
      </c>
      <c r="H33" s="298">
        <f t="shared" si="2"/>
        <v>-0.19237963156197424</v>
      </c>
      <c r="I33" s="27">
        <v>44.924294020370077</v>
      </c>
      <c r="J33" s="298">
        <f t="shared" si="3"/>
        <v>-0.11723213234555444</v>
      </c>
      <c r="K33" s="27"/>
      <c r="L33" s="298" t="str">
        <f t="shared" si="4"/>
        <v/>
      </c>
      <c r="M33" s="533">
        <f t="shared" si="0"/>
        <v>44.93060349187283</v>
      </c>
      <c r="N33" s="283">
        <f t="shared" si="1"/>
        <v>9.7054140847596698E-2</v>
      </c>
      <c r="P33" s="27"/>
      <c r="Q33" s="292" t="str">
        <f t="shared" si="5"/>
        <v/>
      </c>
      <c r="S33" s="27"/>
      <c r="T33" s="283" t="str">
        <f t="shared" si="6"/>
        <v/>
      </c>
      <c r="U33" s="701" t="e">
        <f>HLOOKUP($S$8,'MEX QC'!$G$9:$Q$71,'MEX QC'!F31,FALSE)</f>
        <v>#N/A</v>
      </c>
      <c r="V33" s="283" t="str">
        <f t="shared" si="7"/>
        <v/>
      </c>
      <c r="W33" s="532">
        <v>0.71410395997552412</v>
      </c>
      <c r="Y33" s="664"/>
    </row>
    <row r="34" spans="1:25">
      <c r="A34" s="536" t="s">
        <v>232</v>
      </c>
      <c r="B34" s="536">
        <v>100</v>
      </c>
      <c r="C34" s="537">
        <v>4.7352150332082985</v>
      </c>
      <c r="D34" s="537">
        <v>0.18268575344478749</v>
      </c>
      <c r="E34" s="538">
        <v>41.587000000000003</v>
      </c>
      <c r="F34" s="215">
        <v>44.752633896772487</v>
      </c>
      <c r="G34" s="215">
        <v>44.799614915956539</v>
      </c>
      <c r="H34" s="292">
        <f t="shared" si="2"/>
        <v>0.10497933885281444</v>
      </c>
      <c r="I34" s="215">
        <v>44.783206147375367</v>
      </c>
      <c r="J34" s="292">
        <f t="shared" si="3"/>
        <v>6.8313857623215526E-2</v>
      </c>
      <c r="K34" s="215"/>
      <c r="L34" s="292" t="str">
        <f t="shared" si="4"/>
        <v/>
      </c>
      <c r="M34" s="533">
        <f t="shared" si="0"/>
        <v>44.778484986701471</v>
      </c>
      <c r="N34" s="292">
        <f t="shared" si="1"/>
        <v>5.3248071393559616E-2</v>
      </c>
      <c r="O34" s="58"/>
      <c r="P34" s="215"/>
      <c r="Q34" s="292" t="str">
        <f t="shared" si="5"/>
        <v/>
      </c>
      <c r="R34" s="58"/>
      <c r="S34" s="215"/>
      <c r="T34" s="292" t="str">
        <f t="shared" si="6"/>
        <v/>
      </c>
      <c r="U34" s="533" t="e">
        <f>HLOOKUP($S$8,'MEX QC'!$G$9:$Q$71,'MEX QC'!F32,FALSE)</f>
        <v>#N/A</v>
      </c>
      <c r="V34" s="292" t="str">
        <f t="shared" si="7"/>
        <v/>
      </c>
      <c r="W34" s="538">
        <v>1.5509425824921932</v>
      </c>
      <c r="Y34" s="664"/>
    </row>
    <row r="35" spans="1:25">
      <c r="A35" s="530" t="s">
        <v>235</v>
      </c>
      <c r="B35" s="530">
        <v>120</v>
      </c>
      <c r="C35" s="531">
        <v>5.5559969759148071</v>
      </c>
      <c r="D35" s="531">
        <v>0.22971681375447262</v>
      </c>
      <c r="E35" s="532">
        <v>45.744</v>
      </c>
      <c r="F35" s="27">
        <v>44.605880308013603</v>
      </c>
      <c r="G35" s="27">
        <v>44.62523256448678</v>
      </c>
      <c r="H35" s="298">
        <f t="shared" si="2"/>
        <v>4.3384989466735871E-2</v>
      </c>
      <c r="I35" s="27">
        <v>44.688739385617978</v>
      </c>
      <c r="J35" s="298">
        <f t="shared" si="3"/>
        <v>0.18575819383501654</v>
      </c>
      <c r="K35" s="27"/>
      <c r="L35" s="298" t="str">
        <f t="shared" si="4"/>
        <v/>
      </c>
      <c r="M35" s="533">
        <f t="shared" si="0"/>
        <v>44.639950752706113</v>
      </c>
      <c r="N35" s="283">
        <f t="shared" si="1"/>
        <v>9.7101355600959879E-2</v>
      </c>
      <c r="P35" s="27"/>
      <c r="Q35" s="292" t="str">
        <f t="shared" si="5"/>
        <v/>
      </c>
      <c r="S35" s="27"/>
      <c r="T35" s="283" t="str">
        <f t="shared" si="6"/>
        <v/>
      </c>
      <c r="U35" s="701" t="e">
        <f>HLOOKUP($S$8,'MEX QC'!$G$9:$Q$71,'MEX QC'!F33,FALSE)</f>
        <v>#N/A</v>
      </c>
      <c r="V35" s="283" t="str">
        <f t="shared" si="7"/>
        <v/>
      </c>
      <c r="W35" s="532">
        <v>2.2310891902919789</v>
      </c>
      <c r="Y35" s="664"/>
    </row>
    <row r="36" spans="1:25">
      <c r="A36" s="530" t="s">
        <v>239</v>
      </c>
      <c r="B36" s="530">
        <v>140</v>
      </c>
      <c r="C36" s="531">
        <v>6.3330445132980557</v>
      </c>
      <c r="D36" s="531">
        <v>0.28214314856452327</v>
      </c>
      <c r="E36" s="532">
        <v>49.868000000000002</v>
      </c>
      <c r="F36" s="27">
        <v>44.540680488049631</v>
      </c>
      <c r="G36" s="27">
        <v>44.49858600603519</v>
      </c>
      <c r="H36" s="298">
        <f t="shared" si="2"/>
        <v>-9.4507945440428051E-2</v>
      </c>
      <c r="I36" s="27">
        <v>44.377896338633633</v>
      </c>
      <c r="J36" s="298">
        <f t="shared" si="3"/>
        <v>-0.36547297354308139</v>
      </c>
      <c r="K36" s="27"/>
      <c r="L36" s="298" t="str">
        <f t="shared" si="4"/>
        <v/>
      </c>
      <c r="M36" s="533">
        <f t="shared" si="0"/>
        <v>44.472387610906146</v>
      </c>
      <c r="N36" s="283">
        <f t="shared" si="1"/>
        <v>0.18999471875948548</v>
      </c>
      <c r="P36" s="27"/>
      <c r="Q36" s="292" t="str">
        <f t="shared" si="5"/>
        <v/>
      </c>
      <c r="S36" s="27"/>
      <c r="T36" s="283" t="str">
        <f t="shared" si="6"/>
        <v/>
      </c>
      <c r="U36" s="701" t="e">
        <f>HLOOKUP($S$8,'MEX QC'!$G$9:$Q$71,'MEX QC'!F34,FALSE)</f>
        <v>#N/A</v>
      </c>
      <c r="V36" s="283" t="str">
        <f t="shared" si="7"/>
        <v/>
      </c>
      <c r="W36" s="532">
        <v>2.9915534007871925</v>
      </c>
      <c r="Y36" s="664"/>
    </row>
    <row r="37" spans="1:25">
      <c r="A37" s="530" t="s">
        <v>226</v>
      </c>
      <c r="B37" s="530">
        <v>70</v>
      </c>
      <c r="C37" s="531">
        <v>3.9520687461764625</v>
      </c>
      <c r="D37" s="531">
        <v>0.14140515813491988</v>
      </c>
      <c r="E37" s="532">
        <v>37.509</v>
      </c>
      <c r="F37" s="27">
        <v>44.752164884325211</v>
      </c>
      <c r="G37" s="27">
        <v>44.765675369999798</v>
      </c>
      <c r="H37" s="298">
        <f t="shared" si="2"/>
        <v>3.0189568950482335E-2</v>
      </c>
      <c r="I37" s="27">
        <v>44.986086368733062</v>
      </c>
      <c r="J37" s="298">
        <f t="shared" si="3"/>
        <v>0.52270428707189542</v>
      </c>
      <c r="K37" s="27"/>
      <c r="L37" s="298" t="str">
        <f t="shared" si="4"/>
        <v/>
      </c>
      <c r="M37" s="533">
        <f t="shared" si="0"/>
        <v>44.834642207686024</v>
      </c>
      <c r="N37" s="283">
        <f t="shared" si="1"/>
        <v>0.29291712120084284</v>
      </c>
      <c r="P37" s="27"/>
      <c r="Q37" s="292" t="str">
        <f t="shared" si="5"/>
        <v/>
      </c>
      <c r="S37" s="27"/>
      <c r="T37" s="283" t="str">
        <f t="shared" si="6"/>
        <v/>
      </c>
      <c r="U37" s="701" t="e">
        <f>HLOOKUP($S$8,'MEX QC'!$G$9:$Q$71,'MEX QC'!F35,FALSE)</f>
        <v>#N/A</v>
      </c>
      <c r="V37" s="283" t="str">
        <f t="shared" si="7"/>
        <v/>
      </c>
      <c r="W37" s="532">
        <v>0.51116160491747753</v>
      </c>
      <c r="Y37" s="664"/>
    </row>
    <row r="38" spans="1:25">
      <c r="A38" s="530" t="s">
        <v>233</v>
      </c>
      <c r="B38" s="530">
        <v>100</v>
      </c>
      <c r="C38" s="531">
        <v>5.4850226957751094</v>
      </c>
      <c r="D38" s="531">
        <v>0.221397651099389</v>
      </c>
      <c r="E38" s="532">
        <v>44.582999999999998</v>
      </c>
      <c r="F38" s="27">
        <v>44.742035279843492</v>
      </c>
      <c r="G38" s="27">
        <v>44.648604875540506</v>
      </c>
      <c r="H38" s="298">
        <f t="shared" si="2"/>
        <v>-0.20882019273065189</v>
      </c>
      <c r="I38" s="27">
        <v>44.802855187680422</v>
      </c>
      <c r="J38" s="298">
        <f t="shared" si="3"/>
        <v>0.13593460256451331</v>
      </c>
      <c r="K38" s="27"/>
      <c r="L38" s="298" t="str">
        <f t="shared" si="4"/>
        <v/>
      </c>
      <c r="M38" s="533">
        <f t="shared" si="0"/>
        <v>44.731165114354809</v>
      </c>
      <c r="N38" s="283">
        <f t="shared" si="1"/>
        <v>0.17369892987273311</v>
      </c>
      <c r="P38" s="27"/>
      <c r="Q38" s="292" t="str">
        <f t="shared" si="5"/>
        <v/>
      </c>
      <c r="S38" s="27"/>
      <c r="T38" s="283" t="str">
        <f t="shared" si="6"/>
        <v/>
      </c>
      <c r="U38" s="701" t="e">
        <f>HLOOKUP($S$8,'MEX QC'!$G$9:$Q$71,'MEX QC'!F36,FALSE)</f>
        <v>#N/A</v>
      </c>
      <c r="V38" s="283" t="str">
        <f t="shared" si="7"/>
        <v/>
      </c>
      <c r="W38" s="532">
        <v>1.2007260922271803</v>
      </c>
      <c r="Y38" s="664"/>
    </row>
    <row r="39" spans="1:25">
      <c r="A39" s="536" t="s">
        <v>236</v>
      </c>
      <c r="B39" s="536">
        <v>120</v>
      </c>
      <c r="C39" s="537">
        <v>6.3769778478391608</v>
      </c>
      <c r="D39" s="537">
        <v>0.28062311390349393</v>
      </c>
      <c r="E39" s="538">
        <v>48.945</v>
      </c>
      <c r="F39" s="215">
        <v>44.565296839746686</v>
      </c>
      <c r="G39" s="215">
        <v>44.623282078103166</v>
      </c>
      <c r="H39" s="292">
        <f t="shared" si="2"/>
        <v>0.13011298581717118</v>
      </c>
      <c r="I39" s="215">
        <v>44.600442188188389</v>
      </c>
      <c r="J39" s="292">
        <f t="shared" si="3"/>
        <v>7.8862592496762807E-2</v>
      </c>
      <c r="K39" s="215"/>
      <c r="L39" s="292" t="str">
        <f t="shared" si="4"/>
        <v/>
      </c>
      <c r="M39" s="533">
        <f t="shared" si="0"/>
        <v>44.596340368679414</v>
      </c>
      <c r="N39" s="292">
        <f t="shared" si="1"/>
        <v>6.5497364433583949E-2</v>
      </c>
      <c r="O39" s="58"/>
      <c r="P39" s="215"/>
      <c r="Q39" s="292" t="str">
        <f t="shared" si="5"/>
        <v/>
      </c>
      <c r="R39" s="58"/>
      <c r="S39" s="215"/>
      <c r="T39" s="292" t="str">
        <f t="shared" si="6"/>
        <v/>
      </c>
      <c r="U39" s="533" t="e">
        <f>HLOOKUP($S$8,'MEX QC'!$G$9:$Q$71,'MEX QC'!F37,FALSE)</f>
        <v>#N/A</v>
      </c>
      <c r="V39" s="292" t="str">
        <f t="shared" si="7"/>
        <v/>
      </c>
      <c r="W39" s="538">
        <v>1.784368405695494</v>
      </c>
      <c r="Y39" s="664"/>
    </row>
    <row r="40" spans="1:25">
      <c r="A40" s="530" t="s">
        <v>240</v>
      </c>
      <c r="B40" s="530">
        <v>140</v>
      </c>
      <c r="C40" s="531">
        <v>7.1952322413084104</v>
      </c>
      <c r="D40" s="531">
        <v>0.34467534185441145</v>
      </c>
      <c r="E40" s="532">
        <v>53.139000000000003</v>
      </c>
      <c r="F40" s="27">
        <v>44.426594275503206</v>
      </c>
      <c r="G40" s="27">
        <v>44.476940065572357</v>
      </c>
      <c r="H40" s="298">
        <f t="shared" si="2"/>
        <v>0.11332354165377057</v>
      </c>
      <c r="I40" s="27">
        <v>44.412478609485667</v>
      </c>
      <c r="J40" s="298">
        <f t="shared" si="3"/>
        <v>-3.1773009495174601E-2</v>
      </c>
      <c r="K40" s="27"/>
      <c r="L40" s="298" t="str">
        <f t="shared" si="4"/>
        <v/>
      </c>
      <c r="M40" s="533">
        <f t="shared" si="0"/>
        <v>44.43867098352041</v>
      </c>
      <c r="N40" s="283">
        <f t="shared" si="1"/>
        <v>7.6251545818394037E-2</v>
      </c>
      <c r="P40" s="27"/>
      <c r="Q40" s="292" t="str">
        <f t="shared" si="5"/>
        <v/>
      </c>
      <c r="S40" s="27"/>
      <c r="T40" s="283" t="str">
        <f t="shared" si="6"/>
        <v/>
      </c>
      <c r="U40" s="701" t="e">
        <f>HLOOKUP($S$8,'MEX QC'!$G$9:$Q$71,'MEX QC'!F38,FALSE)</f>
        <v>#N/A</v>
      </c>
      <c r="V40" s="283" t="str">
        <f t="shared" si="7"/>
        <v/>
      </c>
      <c r="W40" s="532">
        <v>2.4516651230650832</v>
      </c>
      <c r="Y40" s="664"/>
    </row>
    <row r="41" spans="1:25">
      <c r="A41" s="530" t="s">
        <v>244</v>
      </c>
      <c r="B41" s="530">
        <v>150</v>
      </c>
      <c r="C41" s="531">
        <v>7.58221629670666</v>
      </c>
      <c r="D41" s="531">
        <v>0.37860748947727846</v>
      </c>
      <c r="E41" s="532">
        <v>55.186999999999998</v>
      </c>
      <c r="F41" s="27">
        <v>44.379061573170866</v>
      </c>
      <c r="G41" s="27">
        <v>44.394808184157803</v>
      </c>
      <c r="H41" s="298">
        <f t="shared" si="2"/>
        <v>3.5482072916244486E-2</v>
      </c>
      <c r="I41" s="27">
        <v>44.425116736682135</v>
      </c>
      <c r="J41" s="298">
        <f t="shared" si="3"/>
        <v>0.10377678544494456</v>
      </c>
      <c r="K41" s="27"/>
      <c r="L41" s="298" t="str">
        <f t="shared" si="4"/>
        <v/>
      </c>
      <c r="M41" s="533">
        <f t="shared" si="0"/>
        <v>44.399662164670268</v>
      </c>
      <c r="N41" s="283">
        <f t="shared" si="1"/>
        <v>5.2721405839042786E-2</v>
      </c>
      <c r="P41" s="27"/>
      <c r="Q41" s="292" t="str">
        <f t="shared" si="5"/>
        <v/>
      </c>
      <c r="S41" s="27"/>
      <c r="T41" s="283" t="str">
        <f t="shared" si="6"/>
        <v/>
      </c>
      <c r="U41" s="701" t="e">
        <f>HLOOKUP($S$8,'MEX QC'!$G$9:$Q$71,'MEX QC'!F39,FALSE)</f>
        <v>#N/A</v>
      </c>
      <c r="V41" s="283" t="str">
        <f t="shared" si="7"/>
        <v/>
      </c>
      <c r="W41" s="532">
        <v>2.8173420032097671</v>
      </c>
      <c r="Y41" s="664"/>
    </row>
    <row r="42" spans="1:25">
      <c r="A42" s="530" t="s">
        <v>234</v>
      </c>
      <c r="B42" s="530">
        <v>100</v>
      </c>
      <c r="C42" s="531">
        <v>6.6136409012352111</v>
      </c>
      <c r="D42" s="531">
        <v>0.29051611469154731</v>
      </c>
      <c r="E42" s="532">
        <v>49.084000000000003</v>
      </c>
      <c r="F42" s="27">
        <v>44.578006101870514</v>
      </c>
      <c r="G42" s="27">
        <v>44.718832020756295</v>
      </c>
      <c r="H42" s="298">
        <f t="shared" si="2"/>
        <v>0.31590896767334797</v>
      </c>
      <c r="I42" s="27">
        <v>44.60097194821001</v>
      </c>
      <c r="J42" s="298">
        <f t="shared" si="3"/>
        <v>5.1518334595346209E-2</v>
      </c>
      <c r="K42" s="27"/>
      <c r="L42" s="298" t="str">
        <f t="shared" si="4"/>
        <v/>
      </c>
      <c r="M42" s="533">
        <f t="shared" si="0"/>
        <v>44.632603356945602</v>
      </c>
      <c r="N42" s="283">
        <f t="shared" si="1"/>
        <v>0.16927965500608885</v>
      </c>
      <c r="P42" s="27"/>
      <c r="Q42" s="292" t="str">
        <f t="shared" si="5"/>
        <v/>
      </c>
      <c r="S42" s="27"/>
      <c r="T42" s="283" t="str">
        <f t="shared" si="6"/>
        <v/>
      </c>
      <c r="U42" s="701" t="e">
        <f>HLOOKUP($S$8,'MEX QC'!$G$9:$Q$71,'MEX QC'!F40,FALSE)</f>
        <v>#N/A</v>
      </c>
      <c r="V42" s="283" t="str">
        <f t="shared" si="7"/>
        <v/>
      </c>
      <c r="W42" s="532">
        <v>0.79542543444726566</v>
      </c>
      <c r="Y42" s="664"/>
    </row>
    <row r="43" spans="1:25">
      <c r="A43" s="530" t="s">
        <v>237</v>
      </c>
      <c r="B43" s="530">
        <v>120</v>
      </c>
      <c r="C43" s="531">
        <v>7.588179482309295</v>
      </c>
      <c r="D43" s="531">
        <v>0.36809931938124019</v>
      </c>
      <c r="E43" s="532">
        <v>53.752000000000002</v>
      </c>
      <c r="F43" s="27">
        <v>44.466395523718845</v>
      </c>
      <c r="G43" s="27">
        <v>44.543203208959646</v>
      </c>
      <c r="H43" s="298">
        <f t="shared" si="2"/>
        <v>0.1727319795908159</v>
      </c>
      <c r="I43" s="27">
        <v>44.511801382110768</v>
      </c>
      <c r="J43" s="298">
        <f t="shared" si="3"/>
        <v>0.10211274796875203</v>
      </c>
      <c r="K43" s="27"/>
      <c r="L43" s="298" t="str">
        <f t="shared" si="4"/>
        <v/>
      </c>
      <c r="M43" s="533">
        <f t="shared" si="0"/>
        <v>44.507133371596417</v>
      </c>
      <c r="N43" s="283">
        <f t="shared" si="1"/>
        <v>8.6763690056855386E-2</v>
      </c>
      <c r="P43" s="27"/>
      <c r="Q43" s="292" t="str">
        <f t="shared" si="5"/>
        <v/>
      </c>
      <c r="S43" s="27"/>
      <c r="T43" s="283" t="str">
        <f t="shared" si="6"/>
        <v/>
      </c>
      <c r="U43" s="701" t="e">
        <f>HLOOKUP($S$8,'MEX QC'!$G$9:$Q$71,'MEX QC'!F41,FALSE)</f>
        <v>#N/A</v>
      </c>
      <c r="V43" s="283" t="str">
        <f t="shared" si="7"/>
        <v/>
      </c>
      <c r="W43" s="532">
        <v>1.242768517947378</v>
      </c>
      <c r="Y43" s="664"/>
    </row>
    <row r="44" spans="1:25">
      <c r="A44" s="536" t="s">
        <v>241</v>
      </c>
      <c r="B44" s="536">
        <v>140</v>
      </c>
      <c r="C44" s="537">
        <v>8.4359614589862257</v>
      </c>
      <c r="D44" s="537">
        <v>0.45081671702125536</v>
      </c>
      <c r="E44" s="538">
        <v>58.063000000000002</v>
      </c>
      <c r="F44" s="215">
        <v>44.368792977634442</v>
      </c>
      <c r="G44" s="215">
        <v>44.350880195501865</v>
      </c>
      <c r="H44" s="292">
        <f t="shared" si="2"/>
        <v>-4.0372480138474671E-2</v>
      </c>
      <c r="I44" s="215">
        <v>44.435264699898717</v>
      </c>
      <c r="J44" s="292">
        <f t="shared" si="3"/>
        <v>0.14981638625549781</v>
      </c>
      <c r="K44" s="215"/>
      <c r="L44" s="292" t="str">
        <f t="shared" si="4"/>
        <v/>
      </c>
      <c r="M44" s="533">
        <f t="shared" si="0"/>
        <v>44.384979291011668</v>
      </c>
      <c r="N44" s="292">
        <f t="shared" si="1"/>
        <v>0.10016882260385546</v>
      </c>
      <c r="O44" s="58"/>
      <c r="P44" s="215"/>
      <c r="Q44" s="292" t="str">
        <f t="shared" si="5"/>
        <v/>
      </c>
      <c r="R44" s="58"/>
      <c r="S44" s="215"/>
      <c r="T44" s="292" t="str">
        <f t="shared" si="6"/>
        <v/>
      </c>
      <c r="U44" s="533" t="e">
        <f>HLOOKUP($S$8,'MEX QC'!$G$9:$Q$71,'MEX QC'!F42,FALSE)</f>
        <v>#N/A</v>
      </c>
      <c r="V44" s="292" t="str">
        <f t="shared" si="7"/>
        <v/>
      </c>
      <c r="W44" s="538">
        <v>1.7690624666352799</v>
      </c>
      <c r="Y44" s="664"/>
    </row>
    <row r="45" spans="1:25">
      <c r="A45" s="530" t="s">
        <v>245</v>
      </c>
      <c r="B45" s="530">
        <v>150</v>
      </c>
      <c r="C45" s="531">
        <v>8.831676949720114</v>
      </c>
      <c r="D45" s="531">
        <v>0.49291798086961647</v>
      </c>
      <c r="E45" s="532">
        <v>60.128</v>
      </c>
      <c r="F45" s="27">
        <v>44.285562072740554</v>
      </c>
      <c r="G45" s="27">
        <v>44.335510412631784</v>
      </c>
      <c r="H45" s="298">
        <f t="shared" si="2"/>
        <v>0.1127869616043001</v>
      </c>
      <c r="I45" s="27">
        <v>44.38606652764939</v>
      </c>
      <c r="J45" s="298">
        <f t="shared" si="3"/>
        <v>0.22694632337228721</v>
      </c>
      <c r="K45" s="27"/>
      <c r="L45" s="298" t="str">
        <f t="shared" si="4"/>
        <v/>
      </c>
      <c r="M45" s="533">
        <f t="shared" si="0"/>
        <v>44.335713004340583</v>
      </c>
      <c r="N45" s="283">
        <f t="shared" si="1"/>
        <v>0.11334549582866051</v>
      </c>
      <c r="P45" s="27"/>
      <c r="Q45" s="292" t="str">
        <f t="shared" si="5"/>
        <v/>
      </c>
      <c r="S45" s="27"/>
      <c r="T45" s="283" t="str">
        <f t="shared" si="6"/>
        <v/>
      </c>
      <c r="U45" s="701" t="e">
        <f>HLOOKUP($S$8,'MEX QC'!$G$9:$Q$71,'MEX QC'!F43,FALSE)</f>
        <v>#N/A</v>
      </c>
      <c r="V45" s="283" t="str">
        <f t="shared" si="7"/>
        <v/>
      </c>
      <c r="W45" s="532">
        <v>2.063165282998574</v>
      </c>
      <c r="Y45" s="664"/>
    </row>
    <row r="46" spans="1:25">
      <c r="A46" s="530" t="s">
        <v>249</v>
      </c>
      <c r="B46" s="530">
        <v>200</v>
      </c>
      <c r="C46" s="531">
        <v>10.533127916478346</v>
      </c>
      <c r="D46" s="531">
        <v>0.73230337407773993</v>
      </c>
      <c r="E46" s="532">
        <v>69.760999999999996</v>
      </c>
      <c r="F46" s="27">
        <v>44.082356842058914</v>
      </c>
      <c r="G46" s="27">
        <v>44.108209023176904</v>
      </c>
      <c r="H46" s="298">
        <f t="shared" si="2"/>
        <v>5.8645188165903236E-2</v>
      </c>
      <c r="I46" s="27">
        <v>44.003323870074183</v>
      </c>
      <c r="J46" s="298">
        <f t="shared" si="3"/>
        <v>-0.17928481516515796</v>
      </c>
      <c r="K46" s="27"/>
      <c r="L46" s="298" t="str">
        <f t="shared" si="4"/>
        <v/>
      </c>
      <c r="M46" s="533">
        <f t="shared" si="0"/>
        <v>44.064629911769998</v>
      </c>
      <c r="N46" s="283">
        <f t="shared" si="1"/>
        <v>0.12400751442130487</v>
      </c>
      <c r="P46" s="27"/>
      <c r="Q46" s="292" t="str">
        <f t="shared" si="5"/>
        <v/>
      </c>
      <c r="S46" s="27"/>
      <c r="T46" s="283" t="str">
        <f t="shared" si="6"/>
        <v/>
      </c>
      <c r="U46" s="701" t="e">
        <f>HLOOKUP($S$8,'MEX QC'!$G$9:$Q$71,'MEX QC'!F44,FALSE)</f>
        <v>#N/A</v>
      </c>
      <c r="V46" s="283" t="str">
        <f t="shared" si="7"/>
        <v/>
      </c>
      <c r="W46" s="665">
        <v>2.8572849185807008</v>
      </c>
      <c r="Y46" s="664"/>
    </row>
    <row r="47" spans="1:25">
      <c r="A47" s="530" t="s">
        <v>238</v>
      </c>
      <c r="B47" s="530">
        <v>120</v>
      </c>
      <c r="C47" s="531">
        <v>10.310491894063471</v>
      </c>
      <c r="D47" s="531">
        <v>0.6348381723836316</v>
      </c>
      <c r="E47" s="532">
        <v>65</v>
      </c>
      <c r="F47" s="27">
        <v>44.210364106543359</v>
      </c>
      <c r="G47" s="27">
        <v>44.326919348000182</v>
      </c>
      <c r="H47" s="298">
        <f t="shared" si="2"/>
        <v>0.26363782296823862</v>
      </c>
      <c r="I47" s="27">
        <v>44.184178512782047</v>
      </c>
      <c r="J47" s="298">
        <f t="shared" si="3"/>
        <v>-5.9229536536290192E-2</v>
      </c>
      <c r="K47" s="27"/>
      <c r="L47" s="298" t="str">
        <f t="shared" si="4"/>
        <v/>
      </c>
      <c r="M47" s="533">
        <f t="shared" si="0"/>
        <v>44.240487322441858</v>
      </c>
      <c r="N47" s="283">
        <f t="shared" si="1"/>
        <v>0.17176295052642271</v>
      </c>
      <c r="P47" s="27"/>
      <c r="Q47" s="292" t="str">
        <f t="shared" si="5"/>
        <v/>
      </c>
      <c r="S47" s="27"/>
      <c r="T47" s="283" t="str">
        <f t="shared" si="6"/>
        <v/>
      </c>
      <c r="U47" s="701" t="e">
        <f>HLOOKUP($S$8,'MEX QC'!$G$9:$Q$71,'MEX QC'!F45,FALSE)</f>
        <v>#N/A</v>
      </c>
      <c r="V47" s="283" t="str">
        <f t="shared" si="7"/>
        <v/>
      </c>
      <c r="W47" s="532">
        <v>0.74278765238565925</v>
      </c>
      <c r="Y47" s="664"/>
    </row>
    <row r="48" spans="1:25">
      <c r="A48" s="530" t="s">
        <v>242</v>
      </c>
      <c r="B48" s="530">
        <v>140</v>
      </c>
      <c r="C48" s="531"/>
      <c r="D48" s="531">
        <v>0.76915213495507195</v>
      </c>
      <c r="E48" s="532">
        <v>69.849999999999994</v>
      </c>
      <c r="F48" s="27">
        <v>44.113194654051711</v>
      </c>
      <c r="G48" s="27">
        <v>44.275806533420941</v>
      </c>
      <c r="H48" s="298">
        <f t="shared" si="2"/>
        <v>0.36862412855037774</v>
      </c>
      <c r="I48" s="27">
        <v>44.173932147693165</v>
      </c>
      <c r="J48" s="298">
        <f t="shared" si="3"/>
        <v>0.13768554764118812</v>
      </c>
      <c r="K48" s="27"/>
      <c r="L48" s="298" t="str">
        <f t="shared" si="4"/>
        <v/>
      </c>
      <c r="M48" s="533">
        <f t="shared" si="0"/>
        <v>44.18764444505527</v>
      </c>
      <c r="N48" s="283">
        <f t="shared" si="1"/>
        <v>0.18595375418180343</v>
      </c>
      <c r="P48" s="27"/>
      <c r="Q48" s="292" t="str">
        <f t="shared" si="5"/>
        <v/>
      </c>
      <c r="S48" s="27"/>
      <c r="T48" s="283" t="str">
        <f t="shared" si="6"/>
        <v/>
      </c>
      <c r="U48" s="701" t="e">
        <f>HLOOKUP($S$8,'MEX QC'!$G$9:$Q$71,'MEX QC'!F46,FALSE)</f>
        <v>#N/A</v>
      </c>
      <c r="V48" s="283" t="str">
        <f t="shared" si="7"/>
        <v/>
      </c>
      <c r="W48" s="532">
        <v>1.1633580611670098</v>
      </c>
      <c r="Y48" s="664"/>
    </row>
    <row r="49" spans="1:25">
      <c r="A49" s="536" t="s">
        <v>246</v>
      </c>
      <c r="B49" s="536">
        <v>150</v>
      </c>
      <c r="C49" s="537"/>
      <c r="D49" s="537">
        <v>0.83812332024006297</v>
      </c>
      <c r="E49" s="538">
        <v>72.150000000000006</v>
      </c>
      <c r="F49" s="215">
        <v>44.042041104134746</v>
      </c>
      <c r="G49" s="215">
        <v>43.979931181389908</v>
      </c>
      <c r="H49" s="292">
        <f t="shared" si="2"/>
        <v>-0.14102416960645198</v>
      </c>
      <c r="I49" s="215">
        <v>44.097628433678643</v>
      </c>
      <c r="J49" s="292">
        <f t="shared" si="3"/>
        <v>0.12621424473144702</v>
      </c>
      <c r="K49" s="215"/>
      <c r="L49" s="292" t="str">
        <f t="shared" si="4"/>
        <v/>
      </c>
      <c r="M49" s="533">
        <f t="shared" si="0"/>
        <v>44.039866906401102</v>
      </c>
      <c r="N49" s="292">
        <f t="shared" si="1"/>
        <v>0.13369418486898602</v>
      </c>
      <c r="O49" s="58"/>
      <c r="P49" s="215"/>
      <c r="Q49" s="292" t="str">
        <f t="shared" si="5"/>
        <v/>
      </c>
      <c r="R49" s="58"/>
      <c r="S49" s="215"/>
      <c r="T49" s="292" t="str">
        <f t="shared" si="6"/>
        <v/>
      </c>
      <c r="U49" s="533" t="e">
        <f>HLOOKUP($S$8,'MEX QC'!$G$9:$Q$71,'MEX QC'!F47,FALSE)</f>
        <v>#N/A</v>
      </c>
      <c r="V49" s="292" t="str">
        <f t="shared" si="7"/>
        <v/>
      </c>
      <c r="W49" s="538">
        <v>1.4090771030362672</v>
      </c>
      <c r="Y49" s="664"/>
    </row>
    <row r="50" spans="1:25">
      <c r="A50" s="530" t="s">
        <v>250</v>
      </c>
      <c r="B50" s="530">
        <v>200</v>
      </c>
      <c r="C50" s="531"/>
      <c r="D50" s="531">
        <v>1.2072306039939562</v>
      </c>
      <c r="E50" s="532">
        <v>82.81</v>
      </c>
      <c r="F50" s="27">
        <v>43.805304389596081</v>
      </c>
      <c r="G50" s="27">
        <v>43.773718062359407</v>
      </c>
      <c r="H50" s="298">
        <f t="shared" si="2"/>
        <v>-7.2106169964603561E-2</v>
      </c>
      <c r="I50" s="27">
        <v>43.771711335394741</v>
      </c>
      <c r="J50" s="298">
        <f t="shared" si="3"/>
        <v>-7.668718359441086E-2</v>
      </c>
      <c r="K50" s="27"/>
      <c r="L50" s="298" t="str">
        <f t="shared" si="4"/>
        <v/>
      </c>
      <c r="M50" s="533">
        <f t="shared" si="0"/>
        <v>43.783577929116746</v>
      </c>
      <c r="N50" s="283">
        <f t="shared" si="1"/>
        <v>4.3035314309669198E-2</v>
      </c>
      <c r="P50" s="27"/>
      <c r="Q50" s="292" t="str">
        <f t="shared" si="5"/>
        <v/>
      </c>
      <c r="S50" s="27"/>
      <c r="T50" s="283" t="str">
        <f t="shared" si="6"/>
        <v/>
      </c>
      <c r="U50" s="701" t="e">
        <f>HLOOKUP($S$8,'MEX QC'!$G$9:$Q$71,'MEX QC'!F48,FALSE)</f>
        <v>#N/A</v>
      </c>
      <c r="V50" s="283" t="str">
        <f t="shared" si="7"/>
        <v/>
      </c>
      <c r="W50" s="532">
        <v>2.2118537872145509</v>
      </c>
      <c r="Y50" s="664"/>
    </row>
    <row r="51" spans="1:25">
      <c r="A51" s="530" t="s">
        <v>254</v>
      </c>
      <c r="B51" s="530">
        <v>250</v>
      </c>
      <c r="C51" s="531"/>
      <c r="D51" s="531">
        <v>1.6128041668984248</v>
      </c>
      <c r="E51" s="532">
        <v>92.84</v>
      </c>
      <c r="F51" s="27">
        <v>43.684275422214348</v>
      </c>
      <c r="G51" s="27">
        <v>43.790120904236815</v>
      </c>
      <c r="H51" s="298">
        <f t="shared" si="2"/>
        <v>0.24229652660930301</v>
      </c>
      <c r="I51" s="27">
        <v>43.714980291427047</v>
      </c>
      <c r="J51" s="298">
        <f t="shared" si="3"/>
        <v>7.0288150406368585E-2</v>
      </c>
      <c r="K51" s="27"/>
      <c r="L51" s="298" t="str">
        <f t="shared" si="4"/>
        <v/>
      </c>
      <c r="M51" s="533">
        <f t="shared" ref="M51:M73" si="8">IF(COUNT(F51,G51,I51,K51)=0,"",AVERAGE(F51,G51,I51,K51))</f>
        <v>43.729792205959406</v>
      </c>
      <c r="N51" s="283">
        <f t="shared" ref="N51:N73" si="9">IF(COUNT(F51,G51,I51,K51)=0,"",STDEV(F51,G51,I51,K51)/M51*100)</f>
        <v>0.12452638514758195</v>
      </c>
      <c r="P51" s="27"/>
      <c r="Q51" s="292" t="str">
        <f t="shared" si="5"/>
        <v/>
      </c>
      <c r="S51" s="27"/>
      <c r="T51" s="283" t="str">
        <f t="shared" si="6"/>
        <v/>
      </c>
      <c r="U51" s="701" t="e">
        <f>HLOOKUP($S$8,'MEX QC'!$G$9:$Q$71,'MEX QC'!F49,FALSE)</f>
        <v>#N/A</v>
      </c>
      <c r="V51" s="283" t="str">
        <f t="shared" si="7"/>
        <v/>
      </c>
      <c r="W51" s="532">
        <v>3.001836445045782</v>
      </c>
      <c r="Y51" s="664"/>
    </row>
    <row r="52" spans="1:25">
      <c r="A52" s="530" t="s">
        <v>243</v>
      </c>
      <c r="B52" s="530">
        <v>140</v>
      </c>
      <c r="C52" s="531"/>
      <c r="D52" s="531">
        <v>1.0269176732121137</v>
      </c>
      <c r="E52" s="532">
        <v>78.519000000000005</v>
      </c>
      <c r="F52" s="27">
        <v>43.86317999041686</v>
      </c>
      <c r="G52" s="27">
        <v>43.902043257319335</v>
      </c>
      <c r="H52" s="298">
        <f t="shared" si="2"/>
        <v>8.8601115812773273E-2</v>
      </c>
      <c r="I52" s="27">
        <v>43.969502155532048</v>
      </c>
      <c r="J52" s="298">
        <f t="shared" si="3"/>
        <v>0.24239502274667918</v>
      </c>
      <c r="K52" s="27"/>
      <c r="L52" s="298" t="str">
        <f t="shared" si="4"/>
        <v/>
      </c>
      <c r="M52" s="533">
        <f t="shared" si="8"/>
        <v>43.911575134422748</v>
      </c>
      <c r="N52" s="283">
        <f t="shared" si="9"/>
        <v>0.12251478316713191</v>
      </c>
      <c r="P52" s="27"/>
      <c r="Q52" s="292" t="str">
        <f t="shared" si="5"/>
        <v/>
      </c>
      <c r="S52" s="27"/>
      <c r="T52" s="283" t="str">
        <f t="shared" si="6"/>
        <v/>
      </c>
      <c r="U52" s="701" t="e">
        <f>HLOOKUP($S$8,'MEX QC'!$G$9:$Q$71,'MEX QC'!F50,FALSE)</f>
        <v>#N/A</v>
      </c>
      <c r="V52" s="283" t="str">
        <f t="shared" si="7"/>
        <v/>
      </c>
      <c r="W52" s="532">
        <v>0.60325691482499955</v>
      </c>
      <c r="Y52" s="664"/>
    </row>
    <row r="53" spans="1:25">
      <c r="A53" s="530" t="s">
        <v>247</v>
      </c>
      <c r="B53" s="530">
        <v>150</v>
      </c>
      <c r="C53" s="531"/>
      <c r="D53" s="531">
        <v>1.1251186734176981</v>
      </c>
      <c r="E53" s="532">
        <v>81.358000000000004</v>
      </c>
      <c r="F53" s="27">
        <v>43.805713287999147</v>
      </c>
      <c r="G53" s="27">
        <v>44.092286681992888</v>
      </c>
      <c r="H53" s="298">
        <f t="shared" si="2"/>
        <v>0.6541918222166011</v>
      </c>
      <c r="I53" s="27">
        <v>43.905782095868801</v>
      </c>
      <c r="J53" s="298">
        <f t="shared" si="3"/>
        <v>0.22843780036579975</v>
      </c>
      <c r="K53" s="27"/>
      <c r="L53" s="298" t="str">
        <f t="shared" si="4"/>
        <v/>
      </c>
      <c r="M53" s="533">
        <f t="shared" si="8"/>
        <v>43.934594021953615</v>
      </c>
      <c r="N53" s="283">
        <f t="shared" si="9"/>
        <v>0.33104442166783032</v>
      </c>
      <c r="P53" s="27"/>
      <c r="Q53" s="292" t="str">
        <f t="shared" si="5"/>
        <v/>
      </c>
      <c r="S53" s="27"/>
      <c r="T53" s="283" t="str">
        <f t="shared" si="6"/>
        <v/>
      </c>
      <c r="U53" s="701" t="e">
        <f>HLOOKUP($S$8,'MEX QC'!$G$9:$Q$71,'MEX QC'!F51,FALSE)</f>
        <v>#N/A</v>
      </c>
      <c r="V53" s="283" t="str">
        <f t="shared" si="7"/>
        <v/>
      </c>
      <c r="W53" s="532">
        <v>0.89686145284094199</v>
      </c>
      <c r="Y53" s="664"/>
    </row>
    <row r="54" spans="1:25">
      <c r="A54" s="536" t="s">
        <v>251</v>
      </c>
      <c r="B54" s="536">
        <v>200</v>
      </c>
      <c r="C54" s="537"/>
      <c r="D54" s="537">
        <v>1.6296937192778045</v>
      </c>
      <c r="E54" s="538">
        <v>94.739000000000004</v>
      </c>
      <c r="F54" s="215">
        <v>43.689963778958258</v>
      </c>
      <c r="G54" s="215">
        <v>43.701576307811465</v>
      </c>
      <c r="H54" s="292">
        <f t="shared" si="2"/>
        <v>2.6579396842619583E-2</v>
      </c>
      <c r="I54" s="215">
        <v>43.679734739163067</v>
      </c>
      <c r="J54" s="292">
        <f t="shared" si="3"/>
        <v>-2.3412790742844039E-2</v>
      </c>
      <c r="K54" s="215"/>
      <c r="L54" s="292" t="str">
        <f t="shared" si="4"/>
        <v/>
      </c>
      <c r="M54" s="533">
        <f t="shared" si="8"/>
        <v>43.690424941977597</v>
      </c>
      <c r="N54" s="292">
        <f t="shared" si="9"/>
        <v>2.5012539126946752E-2</v>
      </c>
      <c r="O54" s="58"/>
      <c r="P54" s="215"/>
      <c r="Q54" s="292" t="str">
        <f t="shared" si="5"/>
        <v/>
      </c>
      <c r="R54" s="58"/>
      <c r="S54" s="215"/>
      <c r="T54" s="292" t="str">
        <f t="shared" si="6"/>
        <v/>
      </c>
      <c r="U54" s="533" t="e">
        <f>HLOOKUP($S$8,'MEX QC'!$G$9:$Q$71,'MEX QC'!F52,FALSE)</f>
        <v>#N/A</v>
      </c>
      <c r="V54" s="292" t="str">
        <f t="shared" si="7"/>
        <v/>
      </c>
      <c r="W54" s="538">
        <v>1.5697420354036626</v>
      </c>
      <c r="Y54" s="664"/>
    </row>
    <row r="55" spans="1:25">
      <c r="A55" s="530" t="s">
        <v>255</v>
      </c>
      <c r="B55" s="530">
        <v>250</v>
      </c>
      <c r="C55" s="531"/>
      <c r="D55" s="531">
        <v>2.1356721844076167</v>
      </c>
      <c r="E55" s="532">
        <v>107.324</v>
      </c>
      <c r="F55" s="27">
        <v>43.513768819798806</v>
      </c>
      <c r="G55" s="27">
        <v>43.721189703892129</v>
      </c>
      <c r="H55" s="298">
        <f t="shared" si="2"/>
        <v>0.47667873806174915</v>
      </c>
      <c r="I55" s="27">
        <v>43.409450717891957</v>
      </c>
      <c r="J55" s="298">
        <f t="shared" si="3"/>
        <v>-0.23973584623031685</v>
      </c>
      <c r="K55" s="27"/>
      <c r="L55" s="298" t="str">
        <f t="shared" si="4"/>
        <v/>
      </c>
      <c r="M55" s="533">
        <f t="shared" si="8"/>
        <v>43.548136413860959</v>
      </c>
      <c r="N55" s="283">
        <f t="shared" si="9"/>
        <v>0.36439145459337696</v>
      </c>
      <c r="P55" s="27"/>
      <c r="Q55" s="292" t="str">
        <f t="shared" si="5"/>
        <v/>
      </c>
      <c r="S55" s="27"/>
      <c r="T55" s="283" t="str">
        <f t="shared" si="6"/>
        <v/>
      </c>
      <c r="U55" s="701" t="e">
        <f>HLOOKUP($S$8,'MEX QC'!$G$9:$Q$71,'MEX QC'!F53,FALSE)</f>
        <v>#N/A</v>
      </c>
      <c r="V55" s="283" t="str">
        <f t="shared" si="7"/>
        <v/>
      </c>
      <c r="W55" s="532">
        <v>2.2683956986257323</v>
      </c>
      <c r="Y55" s="664"/>
    </row>
    <row r="56" spans="1:25">
      <c r="A56" s="530" t="s">
        <v>259</v>
      </c>
      <c r="B56" s="530">
        <v>280</v>
      </c>
      <c r="C56" s="531"/>
      <c r="D56" s="531">
        <v>2.4331518775712206</v>
      </c>
      <c r="E56" s="532">
        <v>114.61199999999999</v>
      </c>
      <c r="F56" s="27">
        <v>43.474401215164995</v>
      </c>
      <c r="G56" s="27">
        <v>43.62341354205244</v>
      </c>
      <c r="H56" s="298">
        <f t="shared" si="2"/>
        <v>0.34275877924102333</v>
      </c>
      <c r="I56" s="27">
        <v>43.545802008809787</v>
      </c>
      <c r="J56" s="298">
        <f t="shared" si="3"/>
        <v>0.16423640498557324</v>
      </c>
      <c r="K56" s="27"/>
      <c r="L56" s="298" t="str">
        <f t="shared" si="4"/>
        <v/>
      </c>
      <c r="M56" s="533">
        <f t="shared" si="8"/>
        <v>43.547872255342405</v>
      </c>
      <c r="N56" s="283">
        <f t="shared" si="9"/>
        <v>0.17113977814246797</v>
      </c>
      <c r="P56" s="27"/>
      <c r="Q56" s="292" t="str">
        <f t="shared" si="5"/>
        <v/>
      </c>
      <c r="S56" s="27"/>
      <c r="T56" s="283" t="str">
        <f t="shared" si="6"/>
        <v/>
      </c>
      <c r="U56" s="701" t="e">
        <f>HLOOKUP($S$8,'MEX QC'!$G$9:$Q$71,'MEX QC'!F54,FALSE)</f>
        <v>#N/A</v>
      </c>
      <c r="V56" s="283" t="str">
        <f t="shared" si="7"/>
        <v/>
      </c>
      <c r="W56" s="532">
        <v>2.5127625014554815</v>
      </c>
      <c r="Y56" s="664"/>
    </row>
    <row r="57" spans="1:25">
      <c r="A57" s="530" t="s">
        <v>248</v>
      </c>
      <c r="B57" s="530">
        <v>150</v>
      </c>
      <c r="C57" s="531"/>
      <c r="D57" s="531">
        <v>1.3834337181000833</v>
      </c>
      <c r="E57" s="532">
        <v>89.066000000000003</v>
      </c>
      <c r="F57" s="27">
        <v>43.670863913125856</v>
      </c>
      <c r="G57" s="27">
        <v>43.722553445047566</v>
      </c>
      <c r="H57" s="298">
        <f t="shared" si="2"/>
        <v>0.11836159693230595</v>
      </c>
      <c r="I57" s="27">
        <v>43.682490976777366</v>
      </c>
      <c r="J57" s="298">
        <f t="shared" si="3"/>
        <v>2.6624304192010742E-2</v>
      </c>
      <c r="K57" s="27"/>
      <c r="L57" s="298" t="str">
        <f t="shared" si="4"/>
        <v/>
      </c>
      <c r="M57" s="533">
        <f t="shared" si="8"/>
        <v>43.691969444983592</v>
      </c>
      <c r="N57" s="283">
        <f t="shared" si="9"/>
        <v>6.2064089910257907E-2</v>
      </c>
      <c r="P57" s="27"/>
      <c r="Q57" s="292" t="str">
        <f t="shared" si="5"/>
        <v/>
      </c>
      <c r="S57" s="27"/>
      <c r="T57" s="283" t="str">
        <f t="shared" si="6"/>
        <v/>
      </c>
      <c r="U57" s="701" t="e">
        <f>HLOOKUP($S$8,'MEX QC'!$G$9:$Q$71,'MEX QC'!F55,FALSE)</f>
        <v>#N/A</v>
      </c>
      <c r="V57" s="283" t="str">
        <f t="shared" si="7"/>
        <v/>
      </c>
      <c r="W57" s="532">
        <v>0.44814236665108781</v>
      </c>
      <c r="Y57" s="664"/>
    </row>
    <row r="58" spans="1:25">
      <c r="A58" s="530" t="s">
        <v>252</v>
      </c>
      <c r="B58" s="530">
        <v>200</v>
      </c>
      <c r="C58" s="531"/>
      <c r="D58" s="531">
        <v>2.0015314501377075</v>
      </c>
      <c r="E58" s="532">
        <v>105.252</v>
      </c>
      <c r="F58" s="27">
        <v>43.561635089231913</v>
      </c>
      <c r="G58" s="27">
        <v>43.554247313935569</v>
      </c>
      <c r="H58" s="298">
        <f t="shared" si="2"/>
        <v>-1.6959361789820063E-2</v>
      </c>
      <c r="I58" s="27">
        <v>43.612414507351055</v>
      </c>
      <c r="J58" s="298">
        <f t="shared" si="3"/>
        <v>0.11656912789229464</v>
      </c>
      <c r="K58" s="27"/>
      <c r="L58" s="298" t="str">
        <f t="shared" si="4"/>
        <v/>
      </c>
      <c r="M58" s="533">
        <f t="shared" si="8"/>
        <v>43.576098970172843</v>
      </c>
      <c r="N58" s="283">
        <f t="shared" si="9"/>
        <v>7.2669107176395728E-2</v>
      </c>
      <c r="P58" s="27"/>
      <c r="Q58" s="292" t="str">
        <f t="shared" si="5"/>
        <v/>
      </c>
      <c r="S58" s="27"/>
      <c r="T58" s="283" t="str">
        <f t="shared" si="6"/>
        <v/>
      </c>
      <c r="U58" s="701" t="e">
        <f>HLOOKUP($S$8,'MEX QC'!$G$9:$Q$71,'MEX QC'!F56,FALSE)</f>
        <v>#N/A</v>
      </c>
      <c r="V58" s="283" t="str">
        <f t="shared" si="7"/>
        <v/>
      </c>
      <c r="W58" s="532">
        <v>1.1653632876100355</v>
      </c>
      <c r="Y58" s="664"/>
    </row>
    <row r="59" spans="1:25">
      <c r="A59" s="536" t="s">
        <v>256</v>
      </c>
      <c r="B59" s="536">
        <v>250</v>
      </c>
      <c r="C59" s="537"/>
      <c r="D59" s="537">
        <v>2.5711570771389516</v>
      </c>
      <c r="E59" s="538">
        <v>120.09699999999999</v>
      </c>
      <c r="F59" s="215">
        <v>43.478599723976892</v>
      </c>
      <c r="G59" s="215">
        <v>43.5712170673524</v>
      </c>
      <c r="H59" s="292">
        <f t="shared" si="2"/>
        <v>0.2130182295738311</v>
      </c>
      <c r="I59" s="215">
        <v>43.496012352359557</v>
      </c>
      <c r="J59" s="292">
        <f t="shared" si="3"/>
        <v>4.0048733154262044E-2</v>
      </c>
      <c r="K59" s="215"/>
      <c r="L59" s="292" t="str">
        <f t="shared" si="4"/>
        <v/>
      </c>
      <c r="M59" s="533">
        <f t="shared" si="8"/>
        <v>43.515276381229619</v>
      </c>
      <c r="N59" s="292">
        <f t="shared" si="9"/>
        <v>0.11311464709562943</v>
      </c>
      <c r="O59" s="58"/>
      <c r="P59" s="215"/>
      <c r="Q59" s="292" t="str">
        <f t="shared" si="5"/>
        <v/>
      </c>
      <c r="R59" s="58"/>
      <c r="S59" s="215"/>
      <c r="T59" s="292" t="str">
        <f t="shared" si="6"/>
        <v/>
      </c>
      <c r="U59" s="533" t="e">
        <f>HLOOKUP($S$8,'MEX QC'!$G$9:$Q$71,'MEX QC'!F57,FALSE)</f>
        <v>#N/A</v>
      </c>
      <c r="V59" s="292" t="str">
        <f t="shared" si="7"/>
        <v/>
      </c>
      <c r="W59" s="538">
        <v>1.7745433399352215</v>
      </c>
      <c r="Y59" s="664"/>
    </row>
    <row r="60" spans="1:25">
      <c r="A60" s="530" t="s">
        <v>260</v>
      </c>
      <c r="B60" s="530">
        <v>280</v>
      </c>
      <c r="C60" s="531"/>
      <c r="D60" s="531">
        <v>2.8808623211292477</v>
      </c>
      <c r="E60" s="532">
        <v>128.495</v>
      </c>
      <c r="F60" s="27">
        <v>43.396408583854011</v>
      </c>
      <c r="G60" s="27">
        <v>43.39330441458273</v>
      </c>
      <c r="H60" s="298">
        <f t="shared" si="2"/>
        <v>-7.153055684973912E-3</v>
      </c>
      <c r="I60" s="27">
        <v>43.461384656188287</v>
      </c>
      <c r="J60" s="298">
        <f t="shared" si="3"/>
        <v>0.14972684250753882</v>
      </c>
      <c r="K60" s="27"/>
      <c r="L60" s="298" t="str">
        <f t="shared" si="4"/>
        <v/>
      </c>
      <c r="M60" s="533">
        <f t="shared" si="8"/>
        <v>43.417032551541674</v>
      </c>
      <c r="N60" s="283">
        <f t="shared" si="9"/>
        <v>8.8539895136358696E-2</v>
      </c>
      <c r="P60" s="27"/>
      <c r="Q60" s="292" t="str">
        <f t="shared" si="5"/>
        <v/>
      </c>
      <c r="S60" s="27"/>
      <c r="T60" s="283" t="str">
        <f t="shared" si="6"/>
        <v/>
      </c>
      <c r="U60" s="701" t="e">
        <f>HLOOKUP($S$8,'MEX QC'!$G$9:$Q$71,'MEX QC'!F58,FALSE)</f>
        <v>#N/A</v>
      </c>
      <c r="V60" s="283" t="str">
        <f t="shared" si="7"/>
        <v/>
      </c>
      <c r="W60" s="532">
        <v>2.0131516705967654</v>
      </c>
      <c r="Y60" s="664"/>
    </row>
    <row r="61" spans="1:25">
      <c r="A61" s="530" t="s">
        <v>263</v>
      </c>
      <c r="B61" s="530">
        <v>300</v>
      </c>
      <c r="C61" s="531"/>
      <c r="D61" s="531">
        <v>3.0951576375640011</v>
      </c>
      <c r="E61" s="532">
        <v>133.916</v>
      </c>
      <c r="F61" s="27">
        <v>43.312738715719959</v>
      </c>
      <c r="G61" s="27">
        <v>43.400028083047069</v>
      </c>
      <c r="H61" s="298">
        <f t="shared" si="2"/>
        <v>0.20153278207602343</v>
      </c>
      <c r="I61" s="27">
        <v>43.365100722787048</v>
      </c>
      <c r="J61" s="298">
        <f t="shared" si="3"/>
        <v>0.12089285651217525</v>
      </c>
      <c r="K61" s="27"/>
      <c r="L61" s="298" t="str">
        <f t="shared" si="4"/>
        <v/>
      </c>
      <c r="M61" s="533">
        <f t="shared" si="8"/>
        <v>43.359289173851359</v>
      </c>
      <c r="N61" s="283">
        <f t="shared" si="9"/>
        <v>0.10132526843137067</v>
      </c>
      <c r="P61" s="27"/>
      <c r="Q61" s="292" t="str">
        <f t="shared" si="5"/>
        <v/>
      </c>
      <c r="S61" s="27"/>
      <c r="T61" s="283" t="str">
        <f t="shared" si="6"/>
        <v/>
      </c>
      <c r="U61" s="701" t="e">
        <f>HLOOKUP($S$8,'MEX QC'!$G$9:$Q$71,'MEX QC'!F59,FALSE)</f>
        <v>#N/A</v>
      </c>
      <c r="V61" s="283" t="str">
        <f t="shared" si="7"/>
        <v/>
      </c>
      <c r="W61" s="532">
        <v>2.4105553532451731</v>
      </c>
      <c r="Y61" s="664"/>
    </row>
    <row r="62" spans="1:25">
      <c r="A62" s="530" t="s">
        <v>253</v>
      </c>
      <c r="B62" s="530">
        <v>200</v>
      </c>
      <c r="C62" s="531"/>
      <c r="D62" s="531">
        <v>2.5415199349414408</v>
      </c>
      <c r="E62" s="532">
        <v>120.14700000000001</v>
      </c>
      <c r="F62" s="27">
        <v>43.330645180198545</v>
      </c>
      <c r="G62" s="27">
        <v>43.676958476638092</v>
      </c>
      <c r="H62" s="298">
        <f t="shared" si="2"/>
        <v>0.79923411017615542</v>
      </c>
      <c r="I62" s="27">
        <v>43.449247732798703</v>
      </c>
      <c r="J62" s="298">
        <f t="shared" si="3"/>
        <v>0.27371517803837875</v>
      </c>
      <c r="K62" s="27"/>
      <c r="L62" s="298" t="str">
        <f t="shared" si="4"/>
        <v/>
      </c>
      <c r="M62" s="533">
        <f t="shared" si="8"/>
        <v>43.485617129878449</v>
      </c>
      <c r="N62" s="283">
        <f t="shared" si="9"/>
        <v>0.40472678284159969</v>
      </c>
      <c r="P62" s="27"/>
      <c r="Q62" s="292" t="str">
        <f t="shared" si="5"/>
        <v/>
      </c>
      <c r="S62" s="27"/>
      <c r="T62" s="283" t="str">
        <f t="shared" si="6"/>
        <v/>
      </c>
      <c r="U62" s="701" t="e">
        <f>HLOOKUP($S$8,'MEX QC'!$G$9:$Q$71,'MEX QC'!F60,FALSE)</f>
        <v>#N/A</v>
      </c>
      <c r="V62" s="283" t="str">
        <f t="shared" si="7"/>
        <v/>
      </c>
      <c r="W62" s="532">
        <v>0.64786042750908168</v>
      </c>
      <c r="Y62" s="664"/>
    </row>
    <row r="63" spans="1:25">
      <c r="A63" s="530" t="s">
        <v>257</v>
      </c>
      <c r="B63" s="530">
        <v>250</v>
      </c>
      <c r="C63" s="531"/>
      <c r="D63" s="531">
        <v>3.1622519161675675</v>
      </c>
      <c r="E63" s="532">
        <v>137.45500000000001</v>
      </c>
      <c r="F63" s="27">
        <v>43.331238831140503</v>
      </c>
      <c r="G63" s="27">
        <v>43.404801243756268</v>
      </c>
      <c r="H63" s="298">
        <f t="shared" si="2"/>
        <v>0.16976761938986634</v>
      </c>
      <c r="I63" s="27">
        <v>43.446165289448082</v>
      </c>
      <c r="J63" s="298">
        <f t="shared" si="3"/>
        <v>0.26522772348014623</v>
      </c>
      <c r="K63" s="27"/>
      <c r="L63" s="298" t="str">
        <f t="shared" si="4"/>
        <v/>
      </c>
      <c r="M63" s="533">
        <f t="shared" si="8"/>
        <v>43.394068454781625</v>
      </c>
      <c r="N63" s="283">
        <f t="shared" si="9"/>
        <v>0.13414301823574637</v>
      </c>
      <c r="P63" s="27"/>
      <c r="Q63" s="292" t="str">
        <f t="shared" si="5"/>
        <v/>
      </c>
      <c r="S63" s="27"/>
      <c r="T63" s="283" t="str">
        <f t="shared" si="6"/>
        <v/>
      </c>
      <c r="U63" s="701" t="e">
        <f>HLOOKUP($S$8,'MEX QC'!$G$9:$Q$71,'MEX QC'!F61,FALSE)</f>
        <v>#N/A</v>
      </c>
      <c r="V63" s="283" t="str">
        <f t="shared" si="7"/>
        <v/>
      </c>
      <c r="W63" s="532">
        <v>1.1656638161633628</v>
      </c>
      <c r="Y63" s="664"/>
    </row>
    <row r="64" spans="1:25">
      <c r="A64" s="536" t="s">
        <v>261</v>
      </c>
      <c r="B64" s="536">
        <v>280</v>
      </c>
      <c r="C64" s="537"/>
      <c r="D64" s="537">
        <v>3.5006101210159413</v>
      </c>
      <c r="E64" s="538">
        <v>147.05000000000001</v>
      </c>
      <c r="F64" s="215">
        <v>43.257305670095107</v>
      </c>
      <c r="G64" s="215">
        <v>43.401496553153734</v>
      </c>
      <c r="H64" s="292">
        <f t="shared" si="2"/>
        <v>0.33333301930154663</v>
      </c>
      <c r="I64" s="215">
        <v>43.337567650074902</v>
      </c>
      <c r="J64" s="292">
        <f t="shared" si="3"/>
        <v>0.1855454904933721</v>
      </c>
      <c r="K64" s="215"/>
      <c r="L64" s="292" t="str">
        <f t="shared" si="4"/>
        <v/>
      </c>
      <c r="M64" s="533">
        <f t="shared" si="8"/>
        <v>43.332123291107912</v>
      </c>
      <c r="N64" s="292">
        <f t="shared" si="9"/>
        <v>0.1667341630388513</v>
      </c>
      <c r="O64" s="58"/>
      <c r="P64" s="215"/>
      <c r="Q64" s="292" t="str">
        <f t="shared" si="5"/>
        <v/>
      </c>
      <c r="R64" s="58"/>
      <c r="S64" s="215"/>
      <c r="T64" s="292" t="str">
        <f t="shared" si="6"/>
        <v/>
      </c>
      <c r="U64" s="533" t="e">
        <f>HLOOKUP($S$8,'MEX QC'!$G$9:$Q$71,'MEX QC'!F62,FALSE)</f>
        <v>#N/A</v>
      </c>
      <c r="V64" s="292" t="str">
        <f t="shared" si="7"/>
        <v/>
      </c>
      <c r="W64" s="538">
        <v>1.3743566100374649</v>
      </c>
      <c r="Y64" s="664"/>
    </row>
    <row r="65" spans="1:25">
      <c r="A65" s="536" t="s">
        <v>264</v>
      </c>
      <c r="B65" s="536">
        <v>300</v>
      </c>
      <c r="C65" s="537"/>
      <c r="D65" s="537">
        <v>3.7047905897248823</v>
      </c>
      <c r="E65" s="538">
        <v>153.21</v>
      </c>
      <c r="F65" s="215">
        <v>43.22535383483774</v>
      </c>
      <c r="G65" s="215">
        <v>43.429356532803624</v>
      </c>
      <c r="H65" s="292">
        <f t="shared" si="2"/>
        <v>0.47195148186726033</v>
      </c>
      <c r="I65" s="215">
        <v>43.155667537735951</v>
      </c>
      <c r="J65" s="292">
        <f t="shared" si="3"/>
        <v>-0.16121625601506401</v>
      </c>
      <c r="K65" s="215"/>
      <c r="L65" s="292" t="str">
        <f t="shared" si="4"/>
        <v/>
      </c>
      <c r="M65" s="533">
        <f t="shared" si="8"/>
        <v>43.270125968459105</v>
      </c>
      <c r="N65" s="292">
        <f t="shared" si="9"/>
        <v>0.32870620147581092</v>
      </c>
      <c r="O65" s="58"/>
      <c r="P65" s="215"/>
      <c r="Q65" s="292" t="str">
        <f t="shared" si="5"/>
        <v/>
      </c>
      <c r="R65" s="58"/>
      <c r="S65" s="215"/>
      <c r="T65" s="292" t="str">
        <f t="shared" si="6"/>
        <v/>
      </c>
      <c r="U65" s="533" t="e">
        <f>HLOOKUP($S$8,'MEX QC'!$G$9:$Q$71,'MEX QC'!F63,FALSE)</f>
        <v>#N/A</v>
      </c>
      <c r="V65" s="292" t="str">
        <f t="shared" si="7"/>
        <v/>
      </c>
      <c r="W65" s="538">
        <v>1.6807536584989653</v>
      </c>
      <c r="Y65" s="664"/>
    </row>
    <row r="66" spans="1:25">
      <c r="A66" s="530" t="s">
        <v>266</v>
      </c>
      <c r="B66" s="530">
        <v>320</v>
      </c>
      <c r="C66" s="531"/>
      <c r="D66" s="531">
        <v>3.8972650748324895</v>
      </c>
      <c r="E66" s="532">
        <v>159.21700000000001</v>
      </c>
      <c r="F66" s="27">
        <v>43.083004608461458</v>
      </c>
      <c r="G66" s="27">
        <v>43.217599498628935</v>
      </c>
      <c r="H66" s="298">
        <f t="shared" si="2"/>
        <v>0.31240831829320254</v>
      </c>
      <c r="I66" s="27">
        <v>43.094736545706326</v>
      </c>
      <c r="J66" s="298">
        <f t="shared" si="3"/>
        <v>2.7231009887744718E-2</v>
      </c>
      <c r="K66" s="27"/>
      <c r="L66" s="298" t="str">
        <f t="shared" si="4"/>
        <v/>
      </c>
      <c r="M66" s="533">
        <f t="shared" si="8"/>
        <v>43.131780217598909</v>
      </c>
      <c r="N66" s="283">
        <f t="shared" si="9"/>
        <v>0.17284890319987489</v>
      </c>
      <c r="P66" s="27"/>
      <c r="Q66" s="292" t="str">
        <f t="shared" si="5"/>
        <v/>
      </c>
      <c r="S66" s="27"/>
      <c r="T66" s="283" t="str">
        <f t="shared" si="6"/>
        <v/>
      </c>
      <c r="U66" s="701" t="e">
        <f>HLOOKUP($S$8,'MEX QC'!$G$9:$Q$71,'MEX QC'!F64,FALSE)</f>
        <v>#N/A</v>
      </c>
      <c r="V66" s="283" t="str">
        <f t="shared" si="7"/>
        <v/>
      </c>
      <c r="W66" s="532">
        <v>1.6231408287232745</v>
      </c>
      <c r="Y66" s="664"/>
    </row>
    <row r="67" spans="1:25">
      <c r="A67" s="530" t="s">
        <v>258</v>
      </c>
      <c r="B67" s="530">
        <v>250</v>
      </c>
      <c r="C67" s="531"/>
      <c r="D67" s="531">
        <v>3.5951513428636979</v>
      </c>
      <c r="E67" s="532">
        <v>149.50700000000001</v>
      </c>
      <c r="F67" s="27">
        <v>43.322328360798579</v>
      </c>
      <c r="G67" s="27">
        <v>43.334894998964273</v>
      </c>
      <c r="H67" s="298">
        <f t="shared" si="2"/>
        <v>2.9007300948915335E-2</v>
      </c>
      <c r="I67" s="27">
        <v>43.129445098776301</v>
      </c>
      <c r="J67" s="298">
        <f t="shared" si="3"/>
        <v>-0.44522829063087382</v>
      </c>
      <c r="K67" s="27"/>
      <c r="L67" s="298" t="str">
        <f t="shared" si="4"/>
        <v/>
      </c>
      <c r="M67" s="533">
        <f t="shared" si="8"/>
        <v>43.262222819513056</v>
      </c>
      <c r="N67" s="283">
        <f t="shared" si="9"/>
        <v>0.26619164009598967</v>
      </c>
      <c r="P67" s="27"/>
      <c r="Q67" s="292" t="str">
        <f t="shared" si="5"/>
        <v/>
      </c>
      <c r="S67" s="27"/>
      <c r="T67" s="283" t="str">
        <f t="shared" si="6"/>
        <v/>
      </c>
      <c r="U67" s="701" t="e">
        <f>HLOOKUP($S$8,'MEX QC'!$G$9:$Q$71,'MEX QC'!F65,FALSE)</f>
        <v>#N/A</v>
      </c>
      <c r="V67" s="283" t="str">
        <f t="shared" si="7"/>
        <v/>
      </c>
      <c r="W67" s="532">
        <v>0.73387277470469225</v>
      </c>
      <c r="Y67" s="664"/>
    </row>
    <row r="68" spans="1:25">
      <c r="A68" s="530" t="s">
        <v>262</v>
      </c>
      <c r="B68" s="530">
        <v>280</v>
      </c>
      <c r="C68" s="531"/>
      <c r="D68" s="531">
        <v>3.9334817438945446</v>
      </c>
      <c r="E68" s="532">
        <v>159.91800000000001</v>
      </c>
      <c r="F68" s="27">
        <v>43.226855678560845</v>
      </c>
      <c r="G68" s="27">
        <v>43.29894803819527</v>
      </c>
      <c r="H68" s="298">
        <f t="shared" si="2"/>
        <v>0.16677678379040761</v>
      </c>
      <c r="I68" s="27">
        <v>43.222950590743693</v>
      </c>
      <c r="J68" s="298">
        <f t="shared" si="3"/>
        <v>-9.0339391007083231E-3</v>
      </c>
      <c r="K68" s="27"/>
      <c r="L68" s="298" t="str">
        <f t="shared" si="4"/>
        <v/>
      </c>
      <c r="M68" s="533">
        <f t="shared" si="8"/>
        <v>43.249584769166603</v>
      </c>
      <c r="N68" s="283">
        <f t="shared" si="9"/>
        <v>9.8947566664914804E-2</v>
      </c>
      <c r="P68" s="27"/>
      <c r="Q68" s="292" t="str">
        <f t="shared" si="5"/>
        <v/>
      </c>
      <c r="S68" s="27"/>
      <c r="T68" s="283" t="str">
        <f t="shared" si="6"/>
        <v/>
      </c>
      <c r="U68" s="701" t="e">
        <f>HLOOKUP($S$8,'MEX QC'!$G$9:$Q$71,'MEX QC'!F66,FALSE)</f>
        <v>#N/A</v>
      </c>
      <c r="V68" s="283" t="str">
        <f t="shared" si="7"/>
        <v/>
      </c>
      <c r="W68" s="532">
        <v>0.89520582359213419</v>
      </c>
      <c r="Y68" s="664"/>
    </row>
    <row r="69" spans="1:25">
      <c r="A69" s="530" t="s">
        <v>265</v>
      </c>
      <c r="B69" s="530">
        <v>300</v>
      </c>
      <c r="C69" s="531"/>
      <c r="D69" s="531">
        <v>4.1453765509423093</v>
      </c>
      <c r="E69" s="532">
        <v>166.58099999999999</v>
      </c>
      <c r="F69" s="27">
        <v>43.156947806155088</v>
      </c>
      <c r="G69" s="27">
        <v>43.161333172657429</v>
      </c>
      <c r="H69" s="298">
        <f t="shared" si="2"/>
        <v>1.0161438019291796E-2</v>
      </c>
      <c r="I69" s="27">
        <v>43.083653065493372</v>
      </c>
      <c r="J69" s="298">
        <f t="shared" si="3"/>
        <v>-0.16983300346198796</v>
      </c>
      <c r="K69" s="27"/>
      <c r="L69" s="298" t="str">
        <f t="shared" si="4"/>
        <v/>
      </c>
      <c r="M69" s="533">
        <f t="shared" si="8"/>
        <v>43.133978014768623</v>
      </c>
      <c r="N69" s="283">
        <f t="shared" si="9"/>
        <v>0.1011680572447128</v>
      </c>
      <c r="P69" s="27"/>
      <c r="Q69" s="292" t="str">
        <f t="shared" si="5"/>
        <v/>
      </c>
      <c r="S69" s="27"/>
      <c r="T69" s="283" t="str">
        <f t="shared" si="6"/>
        <v/>
      </c>
      <c r="U69" s="701" t="e">
        <f>HLOOKUP($S$8,'MEX QC'!$G$9:$Q$71,'MEX QC'!F67,FALSE)</f>
        <v>#N/A</v>
      </c>
      <c r="V69" s="283" t="str">
        <f t="shared" si="7"/>
        <v/>
      </c>
      <c r="W69" s="532">
        <v>1.1187875433583474</v>
      </c>
      <c r="Y69" s="664"/>
    </row>
    <row r="70" spans="1:25">
      <c r="A70" s="530" t="s">
        <v>267</v>
      </c>
      <c r="B70" s="530">
        <v>320</v>
      </c>
      <c r="C70" s="531"/>
      <c r="D70" s="531">
        <v>4.335531420085327</v>
      </c>
      <c r="E70" s="532">
        <v>173.059</v>
      </c>
      <c r="F70" s="27">
        <v>43.060445735630651</v>
      </c>
      <c r="G70" s="27">
        <v>43.014795931452277</v>
      </c>
      <c r="H70" s="298">
        <f t="shared" si="2"/>
        <v>-0.10601331082042512</v>
      </c>
      <c r="I70" s="27">
        <v>43.070332764257763</v>
      </c>
      <c r="J70" s="298">
        <f t="shared" si="3"/>
        <v>2.2960813475581671E-2</v>
      </c>
      <c r="K70" s="27"/>
      <c r="L70" s="298" t="str">
        <f t="shared" si="4"/>
        <v/>
      </c>
      <c r="M70" s="533">
        <f t="shared" si="8"/>
        <v>43.048524810446899</v>
      </c>
      <c r="N70" s="283">
        <f t="shared" si="9"/>
        <v>6.8818695490915391E-2</v>
      </c>
      <c r="P70" s="27"/>
      <c r="Q70" s="292" t="str">
        <f t="shared" si="5"/>
        <v/>
      </c>
      <c r="S70" s="27"/>
      <c r="T70" s="283" t="str">
        <f t="shared" si="6"/>
        <v/>
      </c>
      <c r="U70" s="701" t="e">
        <f>HLOOKUP($S$8,'MEX QC'!$G$9:$Q$71,'MEX QC'!F68,FALSE)</f>
        <v>#N/A</v>
      </c>
      <c r="V70" s="283" t="str">
        <f t="shared" si="7"/>
        <v/>
      </c>
      <c r="W70" s="532">
        <v>1.1003205119450847</v>
      </c>
      <c r="X70" s="69" t="s">
        <v>295</v>
      </c>
      <c r="Y70" s="664"/>
    </row>
    <row r="71" spans="1:25">
      <c r="A71" s="540" t="s">
        <v>294</v>
      </c>
      <c r="B71" s="530">
        <v>250</v>
      </c>
      <c r="C71" s="531"/>
      <c r="D71" s="531">
        <f>D59</f>
        <v>2.5711570771389516</v>
      </c>
      <c r="E71" s="532">
        <v>120.09699999999999</v>
      </c>
      <c r="F71" s="27">
        <v>43.326729011236971</v>
      </c>
      <c r="G71" s="27">
        <v>43.373170109332086</v>
      </c>
      <c r="H71" s="298">
        <f t="shared" si="2"/>
        <v>0.1071881010982183</v>
      </c>
      <c r="I71" s="27">
        <v>43.332892944416528</v>
      </c>
      <c r="J71" s="298">
        <f t="shared" si="3"/>
        <v>1.422662942766555E-2</v>
      </c>
      <c r="K71" s="27"/>
      <c r="L71" s="298" t="str">
        <f t="shared" si="4"/>
        <v/>
      </c>
      <c r="M71" s="533">
        <f t="shared" si="8"/>
        <v>43.344264021661864</v>
      </c>
      <c r="N71" s="283">
        <f t="shared" si="9"/>
        <v>5.8190882175145953E-2</v>
      </c>
      <c r="P71" s="27"/>
      <c r="Q71" s="292" t="str">
        <f t="shared" si="5"/>
        <v/>
      </c>
      <c r="S71" s="27"/>
      <c r="T71" s="283" t="str">
        <f t="shared" si="6"/>
        <v/>
      </c>
      <c r="U71" s="701" t="e">
        <f>HLOOKUP($S$8,'MEX QC'!$G$9:$Q$71,'MEX QC'!F69,FALSE)</f>
        <v>#N/A</v>
      </c>
      <c r="V71" s="283" t="str">
        <f t="shared" si="7"/>
        <v/>
      </c>
      <c r="W71" s="532">
        <f>W59</f>
        <v>1.7745433399352215</v>
      </c>
      <c r="X71" s="294">
        <f>M71/M59</f>
        <v>0.99607006150967436</v>
      </c>
      <c r="Y71" s="664"/>
    </row>
    <row r="72" spans="1:25">
      <c r="A72" s="540" t="s">
        <v>293</v>
      </c>
      <c r="B72" s="530">
        <v>280</v>
      </c>
      <c r="C72" s="531"/>
      <c r="D72" s="531">
        <f>D64</f>
        <v>3.5006101210159413</v>
      </c>
      <c r="E72" s="532">
        <v>147.05000000000001</v>
      </c>
      <c r="F72" s="27">
        <v>43.353820242662607</v>
      </c>
      <c r="G72" s="27">
        <v>43.358366969363829</v>
      </c>
      <c r="H72" s="298">
        <f t="shared" si="2"/>
        <v>1.0487488013218093E-2</v>
      </c>
      <c r="I72" s="27">
        <v>43.286072204935664</v>
      </c>
      <c r="J72" s="298">
        <f t="shared" si="3"/>
        <v>-0.15626774606652857</v>
      </c>
      <c r="K72" s="27"/>
      <c r="L72" s="298" t="str">
        <f t="shared" si="4"/>
        <v/>
      </c>
      <c r="M72" s="533">
        <f t="shared" si="8"/>
        <v>43.332753138987364</v>
      </c>
      <c r="N72" s="283">
        <f t="shared" si="9"/>
        <v>9.3441430532945222E-2</v>
      </c>
      <c r="P72" s="27"/>
      <c r="Q72" s="292" t="str">
        <f t="shared" si="5"/>
        <v/>
      </c>
      <c r="S72" s="27"/>
      <c r="T72" s="283" t="str">
        <f t="shared" si="6"/>
        <v/>
      </c>
      <c r="U72" s="701" t="e">
        <f>HLOOKUP($S$8,'MEX QC'!$G$9:$Q$71,'MEX QC'!F70,FALSE)</f>
        <v>#N/A</v>
      </c>
      <c r="V72" s="283" t="str">
        <f t="shared" si="7"/>
        <v/>
      </c>
      <c r="W72" s="532">
        <f>W64</f>
        <v>1.3743566100374649</v>
      </c>
      <c r="X72" s="294">
        <f>M72/M64</f>
        <v>1.0000145353569503</v>
      </c>
      <c r="Y72" s="664"/>
    </row>
    <row r="73" spans="1:25">
      <c r="A73" s="536" t="s">
        <v>292</v>
      </c>
      <c r="B73" s="536">
        <v>300</v>
      </c>
      <c r="C73" s="537"/>
      <c r="D73" s="537">
        <f>D65</f>
        <v>3.7047905897248823</v>
      </c>
      <c r="E73" s="538">
        <v>153.21</v>
      </c>
      <c r="F73" s="215">
        <v>43.280830122350963</v>
      </c>
      <c r="G73" s="215">
        <v>43.305817328542915</v>
      </c>
      <c r="H73" s="292">
        <f t="shared" si="2"/>
        <v>5.7732733224652284E-2</v>
      </c>
      <c r="I73" s="215">
        <v>43.234711168264994</v>
      </c>
      <c r="J73" s="292">
        <f t="shared" si="3"/>
        <v>-0.10655746194237758</v>
      </c>
      <c r="K73" s="215"/>
      <c r="L73" s="292" t="str">
        <f t="shared" si="4"/>
        <v/>
      </c>
      <c r="M73" s="533">
        <f t="shared" si="8"/>
        <v>43.273786206386291</v>
      </c>
      <c r="N73" s="292">
        <f t="shared" si="9"/>
        <v>8.3359061800341791E-2</v>
      </c>
      <c r="O73" s="58"/>
      <c r="P73" s="215"/>
      <c r="Q73" s="292" t="str">
        <f t="shared" si="5"/>
        <v/>
      </c>
      <c r="R73" s="58"/>
      <c r="S73" s="215"/>
      <c r="T73" s="292" t="str">
        <f t="shared" si="6"/>
        <v/>
      </c>
      <c r="U73" s="533" t="e">
        <f>HLOOKUP($S$8,'MEX QC'!$G$9:$Q$71,'MEX QC'!F71,FALSE)</f>
        <v>#N/A</v>
      </c>
      <c r="V73" s="292" t="str">
        <f t="shared" si="7"/>
        <v/>
      </c>
      <c r="W73" s="538">
        <f>W65</f>
        <v>1.6807536584989653</v>
      </c>
      <c r="X73" s="663">
        <f>M73/M65</f>
        <v>1.000084590415333</v>
      </c>
      <c r="Y73" s="664"/>
    </row>
    <row r="74" spans="1:25" ht="4.5" customHeight="1"/>
    <row r="75" spans="1:25">
      <c r="E75" s="984" t="s">
        <v>20</v>
      </c>
      <c r="F75" s="982">
        <v>44379</v>
      </c>
      <c r="G75" s="1002">
        <v>44383</v>
      </c>
      <c r="H75" s="983"/>
      <c r="I75" s="982">
        <v>44383</v>
      </c>
      <c r="J75" s="983"/>
      <c r="K75" s="982"/>
    </row>
    <row r="76" spans="1:25">
      <c r="V76" s="907" t="s">
        <v>1447</v>
      </c>
    </row>
    <row r="77" spans="1:25">
      <c r="V77" s="991">
        <f>IF(MIN(F75,G75,I75,K75)&lt;30000,"",MIN(F75,G75,I75,K75))</f>
        <v>44379</v>
      </c>
    </row>
    <row r="78" spans="1:25">
      <c r="V78" s="991">
        <f>IF(MAX(F75,G75,I75,K75)&lt;30000,"",MAX(F75,G75,I75,K75))</f>
        <v>44383</v>
      </c>
    </row>
    <row r="79" spans="1:25">
      <c r="Q79" s="70" t="s">
        <v>151</v>
      </c>
      <c r="S79" s="88">
        <f>INT(MIN(S12:S73,P12:P73,K12:K73,I12:I73,G12:G73,F12:F73))</f>
        <v>43</v>
      </c>
    </row>
    <row r="80" spans="1:25">
      <c r="Q80" s="70" t="s">
        <v>152</v>
      </c>
      <c r="S80" s="37">
        <f>INT(MAX(S12:S73,P12:P73,K12:K73,I12:I73,G12:G73,F12:F73))+1</f>
        <v>48</v>
      </c>
    </row>
    <row r="87" spans="17:18">
      <c r="Q87" s="56" t="s">
        <v>45</v>
      </c>
      <c r="R87" s="56" t="str">
        <f>A3&amp; " Set "&amp;F10</f>
        <v>CAL11957 Set 1</v>
      </c>
    </row>
    <row r="88" spans="17:18">
      <c r="R88" s="56" t="str">
        <f>A3&amp; " Set "&amp;G10</f>
        <v>CAL11957 Set 2</v>
      </c>
    </row>
    <row r="89" spans="17:18">
      <c r="R89" s="56" t="str">
        <f>A3&amp; " Set "&amp;I10</f>
        <v>CAL11957 Set 3</v>
      </c>
    </row>
    <row r="90" spans="17:18">
      <c r="R90" s="56" t="str">
        <f>A3&amp; " Set "&amp;K10</f>
        <v>CAL11957 Set 4</v>
      </c>
    </row>
    <row r="91" spans="17:18">
      <c r="R91" s="56" t="str">
        <f>"Previous ("&amp;P8&amp;")"</f>
        <v>Previous (None)</v>
      </c>
    </row>
    <row r="92" spans="17:18">
      <c r="R92" s="56" t="str">
        <f>"QA chamber "&amp;S8</f>
        <v xml:space="preserve">QA chamber </v>
      </c>
    </row>
  </sheetData>
  <sheetProtection sheet="1" objects="1" scenarios="1"/>
  <mergeCells count="10">
    <mergeCell ref="B4:C4"/>
    <mergeCell ref="B5:C5"/>
    <mergeCell ref="M7:N7"/>
    <mergeCell ref="M8:N8"/>
    <mergeCell ref="AA7:AB7"/>
    <mergeCell ref="AA8:AB8"/>
    <mergeCell ref="AA6:AB6"/>
    <mergeCell ref="P8:Q8"/>
    <mergeCell ref="S8:V8"/>
    <mergeCell ref="N5:V5"/>
  </mergeCells>
  <phoneticPr fontId="2" type="noConversion"/>
  <conditionalFormatting sqref="N12:N73">
    <cfRule type="dataBar" priority="55">
      <dataBar>
        <cfvo type="min"/>
        <cfvo type="max"/>
        <color rgb="FF63C384"/>
      </dataBar>
      <extLst>
        <ext xmlns:x14="http://schemas.microsoft.com/office/spreadsheetml/2009/9/main" uri="{B025F937-C7B1-47D3-B67F-A62EFF666E3E}">
          <x14:id>{BDD2C415-D5F1-48DF-8496-BFDD6A6DB1DB}</x14:id>
        </ext>
      </extLst>
    </cfRule>
    <cfRule type="cellIs" dxfId="73" priority="56" stopIfTrue="1" operator="greaterThan">
      <formula>0.3</formula>
    </cfRule>
  </conditionalFormatting>
  <conditionalFormatting sqref="T12:T73">
    <cfRule type="dataBar" priority="59">
      <dataBar>
        <cfvo type="min"/>
        <cfvo type="max"/>
        <color rgb="FF638EC6"/>
      </dataBar>
      <extLst>
        <ext xmlns:x14="http://schemas.microsoft.com/office/spreadsheetml/2009/9/main" uri="{B025F937-C7B1-47D3-B67F-A62EFF666E3E}">
          <x14:id>{9A052B69-97F2-44C8-AE23-000F0256CFB1}</x14:id>
        </ext>
      </extLst>
    </cfRule>
  </conditionalFormatting>
  <conditionalFormatting sqref="V12:V73">
    <cfRule type="dataBar" priority="61">
      <dataBar>
        <cfvo type="min"/>
        <cfvo type="max"/>
        <color rgb="FF638EC6"/>
      </dataBar>
      <extLst>
        <ext xmlns:x14="http://schemas.microsoft.com/office/spreadsheetml/2009/9/main" uri="{B025F937-C7B1-47D3-B67F-A62EFF666E3E}">
          <x14:id>{50C78741-E384-46FD-9AB8-E2C16DB37865}</x14:id>
        </ext>
      </extLst>
    </cfRule>
  </conditionalFormatting>
  <conditionalFormatting sqref="H5">
    <cfRule type="cellIs" dxfId="72" priority="2" operator="equal">
      <formula>"Yes"</formula>
    </cfRule>
    <cfRule type="cellIs" dxfId="71" priority="3" operator="notEqual">
      <formula>"Yes"</formula>
    </cfRule>
  </conditionalFormatting>
  <conditionalFormatting sqref="C8">
    <cfRule type="expression" dxfId="70" priority="1">
      <formula>$C$8&lt;&gt;$C$7</formula>
    </cfRule>
  </conditionalFormatting>
  <dataValidations count="1">
    <dataValidation type="list" allowBlank="1" showInputMessage="1" showErrorMessage="1" sqref="H5" xr:uid="{00000000-0002-0000-0800-000000000000}">
      <formula1>$AG$6:$AG$7</formula1>
    </dataValidation>
  </dataValidations>
  <pageMargins left="0.74803149606299213" right="0.74803149606299213" top="0.98425196850393704" bottom="0.98425196850393704" header="0.51181102362204722" footer="0.51181102362204722"/>
  <pageSetup paperSize="9" scale="49" orientation="landscape" r:id="rId1"/>
  <headerFooter alignWithMargins="0">
    <oddFooter>&amp;L&amp;8&amp;D    &amp;Z&amp;F&amp;R&amp;8&amp;A</oddFooter>
  </headerFooter>
  <drawing r:id="rId2"/>
  <legacyDrawing r:id="rId3"/>
  <controls>
    <mc:AlternateContent xmlns:mc="http://schemas.openxmlformats.org/markup-compatibility/2006">
      <mc:Choice Requires="x14">
        <control shapeId="3075" r:id="rId4" name="CommandButton1">
          <controlPr defaultSize="0" autoLine="0" r:id="rId5">
            <anchor moveWithCells="1">
              <from>
                <xdr:col>16</xdr:col>
                <xdr:colOff>114300</xdr:colOff>
                <xdr:row>75</xdr:row>
                <xdr:rowOff>66675</xdr:rowOff>
              </from>
              <to>
                <xdr:col>19</xdr:col>
                <xdr:colOff>0</xdr:colOff>
                <xdr:row>77</xdr:row>
                <xdr:rowOff>114300</xdr:rowOff>
              </to>
            </anchor>
          </controlPr>
        </control>
      </mc:Choice>
      <mc:Fallback>
        <control shapeId="3075" r:id="rId4" name="CommandButton1"/>
      </mc:Fallback>
    </mc:AlternateContent>
    <mc:AlternateContent xmlns:mc="http://schemas.openxmlformats.org/markup-compatibility/2006">
      <mc:Choice Requires="x14">
        <control shapeId="3079" r:id="rId6" name="Button 7">
          <controlPr defaultSize="0" print="0" autoFill="0" autoPict="0" macro="[0]!Button7_Click">
            <anchor moveWithCells="1" sizeWithCells="1">
              <from>
                <xdr:col>8</xdr:col>
                <xdr:colOff>133350</xdr:colOff>
                <xdr:row>3</xdr:row>
                <xdr:rowOff>66675</xdr:rowOff>
              </from>
              <to>
                <xdr:col>11</xdr:col>
                <xdr:colOff>152400</xdr:colOff>
                <xdr:row>5</xdr:row>
                <xdr:rowOff>123825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dataBar" id="{BDD2C415-D5F1-48DF-8496-BFDD6A6DB1DB}">
            <x14:dataBar minLength="0" maxLength="100" negativeBarColorSameAsPositive="1" axisPosition="none">
              <x14:cfvo type="min"/>
              <x14:cfvo type="max"/>
            </x14:dataBar>
          </x14:cfRule>
          <xm:sqref>N12:N73</xm:sqref>
        </x14:conditionalFormatting>
        <x14:conditionalFormatting xmlns:xm="http://schemas.microsoft.com/office/excel/2006/main">
          <x14:cfRule type="dataBar" id="{9A052B69-97F2-44C8-AE23-000F0256CFB1}">
            <x14:dataBar minLength="0" maxLength="100" negativeBarColorSameAsPositive="1" axisPosition="none">
              <x14:cfvo type="min"/>
              <x14:cfvo type="max"/>
            </x14:dataBar>
          </x14:cfRule>
          <xm:sqref>T12:T73</xm:sqref>
        </x14:conditionalFormatting>
        <x14:conditionalFormatting xmlns:xm="http://schemas.microsoft.com/office/excel/2006/main">
          <x14:cfRule type="dataBar" id="{50C78741-E384-46FD-9AB8-E2C16DB37865}">
            <x14:dataBar minLength="0" maxLength="100" negativeBarColorSameAsPositive="1" axisPosition="none">
              <x14:cfvo type="min"/>
              <x14:cfvo type="max"/>
            </x14:dataBar>
          </x14:cfRule>
          <xm:sqref>V12:V73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5">
    <pageSetUpPr fitToPage="1"/>
  </sheetPr>
  <dimension ref="A1:X73"/>
  <sheetViews>
    <sheetView zoomScale="85" zoomScaleNormal="85" workbookViewId="0">
      <selection activeCell="E12" sqref="E12"/>
    </sheetView>
  </sheetViews>
  <sheetFormatPr defaultColWidth="9.140625" defaultRowHeight="12.75"/>
  <cols>
    <col min="1" max="1" width="13.85546875" style="323" customWidth="1"/>
    <col min="2" max="2" width="9.140625" style="56"/>
    <col min="3" max="3" width="11.7109375" style="56" customWidth="1"/>
    <col min="4" max="5" width="8.7109375" style="56" customWidth="1"/>
    <col min="6" max="7" width="9.5703125" style="56" customWidth="1"/>
    <col min="8" max="8" width="9.28515625" style="56" customWidth="1"/>
    <col min="9" max="13" width="9.140625" style="56"/>
    <col min="14" max="14" width="12.140625" style="56" bestFit="1" customWidth="1"/>
    <col min="15" max="16384" width="9.140625" style="56"/>
  </cols>
  <sheetData>
    <row r="1" spans="1:24" s="511" customFormat="1" ht="15.75">
      <c r="A1" s="510" t="s">
        <v>307</v>
      </c>
      <c r="F1" s="56"/>
      <c r="G1" s="56"/>
      <c r="M1" s="58" t="str">
        <f>Intro!$D$4</f>
        <v>IRC-FORM-2100J (ARPANSA-FORM-1856)</v>
      </c>
    </row>
    <row r="2" spans="1:24" s="511" customFormat="1" ht="12.75" customHeight="1">
      <c r="A2" s="513"/>
      <c r="M2" s="69" t="str">
        <f>Intro!$D$5</f>
        <v>23-Production</v>
      </c>
    </row>
    <row r="3" spans="1:24" s="69" customFormat="1">
      <c r="A3" s="514" t="str">
        <f>Client!B5</f>
        <v>CAL11957</v>
      </c>
      <c r="B3" s="1232" t="str">
        <f>Client!B6</f>
        <v>De-identified for distribution</v>
      </c>
      <c r="C3" s="1232"/>
      <c r="D3" s="1232"/>
      <c r="E3" s="1232"/>
      <c r="F3" s="1232"/>
      <c r="G3" s="1232"/>
      <c r="H3" s="1232"/>
      <c r="I3" s="1232"/>
      <c r="J3" s="1232"/>
      <c r="M3" s="69" t="str">
        <f>Intro!$B$10</f>
        <v>Validated: Note yet</v>
      </c>
    </row>
    <row r="4" spans="1:24">
      <c r="A4" s="188" t="s">
        <v>27</v>
      </c>
      <c r="B4" s="1246" t="str">
        <f>Client!B29</f>
        <v>IBA FC65-G</v>
      </c>
      <c r="C4" s="1246"/>
      <c r="D4" s="70"/>
      <c r="F4" s="70"/>
      <c r="G4" s="70"/>
    </row>
    <row r="5" spans="1:24">
      <c r="A5" s="56" t="s">
        <v>28</v>
      </c>
      <c r="B5" s="1247" t="str">
        <f>Client!B30</f>
        <v>457</v>
      </c>
      <c r="C5" s="1247"/>
      <c r="E5" s="70"/>
    </row>
    <row r="6" spans="1:24" ht="12.75" customHeight="1">
      <c r="P6" s="664"/>
      <c r="Q6" s="664"/>
      <c r="R6" s="664"/>
      <c r="S6" s="664"/>
      <c r="T6" s="664"/>
      <c r="U6" s="664"/>
      <c r="V6" s="664"/>
      <c r="W6" s="664"/>
      <c r="X6" s="664"/>
    </row>
    <row r="7" spans="1:24">
      <c r="C7" s="1248" t="s">
        <v>1329</v>
      </c>
      <c r="D7" s="1249"/>
      <c r="E7" s="1240" t="s">
        <v>1339</v>
      </c>
      <c r="F7" s="1241"/>
      <c r="G7" s="1241"/>
      <c r="H7" s="1242"/>
      <c r="I7" s="1235" t="s">
        <v>1334</v>
      </c>
      <c r="J7" s="1236"/>
      <c r="K7" s="1236"/>
      <c r="L7" s="1237"/>
      <c r="M7" s="917"/>
      <c r="N7" s="917"/>
      <c r="P7" s="664"/>
      <c r="Q7" s="664"/>
      <c r="R7" s="664"/>
      <c r="S7" s="664"/>
      <c r="T7" s="664"/>
      <c r="U7" s="664"/>
      <c r="V7" s="664"/>
      <c r="W7" s="664"/>
      <c r="X7" s="664"/>
    </row>
    <row r="8" spans="1:24">
      <c r="C8" s="1233" t="s">
        <v>1338</v>
      </c>
      <c r="D8" s="1234"/>
      <c r="E8" s="1243" t="s">
        <v>1340</v>
      </c>
      <c r="F8" s="1244"/>
      <c r="G8" s="1244"/>
      <c r="H8" s="1245"/>
      <c r="I8" s="1233" t="s">
        <v>1337</v>
      </c>
      <c r="J8" s="1238"/>
      <c r="K8" s="1238"/>
      <c r="L8" s="1239"/>
      <c r="M8" s="918"/>
      <c r="N8" s="918"/>
      <c r="P8" s="951" t="s">
        <v>1394</v>
      </c>
      <c r="Q8" s="664"/>
      <c r="R8" s="664"/>
      <c r="S8" s="664"/>
      <c r="T8" s="664"/>
      <c r="U8" s="664"/>
      <c r="V8" s="664"/>
      <c r="W8" s="664"/>
      <c r="X8" s="664"/>
    </row>
    <row r="9" spans="1:24">
      <c r="A9" s="288" t="s">
        <v>35</v>
      </c>
      <c r="B9" s="288" t="s">
        <v>36</v>
      </c>
      <c r="C9" s="311" t="s">
        <v>1330</v>
      </c>
      <c r="D9" s="311" t="s">
        <v>1329</v>
      </c>
      <c r="E9" s="288" t="s">
        <v>84</v>
      </c>
      <c r="F9" s="288" t="s">
        <v>84</v>
      </c>
      <c r="G9" s="288" t="s">
        <v>84</v>
      </c>
      <c r="H9" s="288" t="s">
        <v>84</v>
      </c>
      <c r="I9" s="288" t="s">
        <v>84</v>
      </c>
      <c r="J9" s="288" t="s">
        <v>84</v>
      </c>
      <c r="K9" s="288" t="s">
        <v>84</v>
      </c>
      <c r="L9" s="288" t="s">
        <v>84</v>
      </c>
      <c r="M9" s="288" t="s">
        <v>1333</v>
      </c>
      <c r="N9" s="527" t="s">
        <v>1335</v>
      </c>
      <c r="P9" s="950" t="s">
        <v>1395</v>
      </c>
      <c r="Q9" s="664"/>
      <c r="R9" s="664"/>
      <c r="S9" s="664"/>
      <c r="T9" s="664"/>
      <c r="U9" s="664"/>
      <c r="V9" s="664"/>
      <c r="W9" s="664"/>
      <c r="X9" s="664"/>
    </row>
    <row r="10" spans="1:24" ht="15.75">
      <c r="A10" s="289"/>
      <c r="B10" s="289"/>
      <c r="C10" s="342" t="s">
        <v>1331</v>
      </c>
      <c r="D10" s="342" t="s">
        <v>1330</v>
      </c>
      <c r="E10" s="35">
        <v>1</v>
      </c>
      <c r="F10" s="35">
        <v>2</v>
      </c>
      <c r="G10" s="35"/>
      <c r="H10" s="74"/>
      <c r="I10" s="190">
        <f>IF(ISBLANK(E10),"",E10)</f>
        <v>1</v>
      </c>
      <c r="J10" s="190">
        <f t="shared" ref="J10:L10" si="0">IF(ISBLANK(F10),"",F10)</f>
        <v>2</v>
      </c>
      <c r="K10" s="190" t="str">
        <f t="shared" si="0"/>
        <v/>
      </c>
      <c r="L10" s="190" t="str">
        <f t="shared" si="0"/>
        <v/>
      </c>
      <c r="M10" s="289" t="s">
        <v>285</v>
      </c>
      <c r="N10" s="528" t="s">
        <v>1336</v>
      </c>
      <c r="P10" s="950" t="s">
        <v>1397</v>
      </c>
      <c r="Q10" s="664"/>
      <c r="R10" s="664"/>
      <c r="S10" s="664"/>
      <c r="T10" s="664"/>
      <c r="U10" s="664"/>
      <c r="V10" s="664"/>
      <c r="W10" s="664"/>
      <c r="X10" s="664"/>
    </row>
    <row r="11" spans="1:24">
      <c r="A11" s="334"/>
      <c r="B11" s="334"/>
      <c r="C11" s="334" t="s">
        <v>1332</v>
      </c>
      <c r="D11" s="334" t="s">
        <v>140</v>
      </c>
      <c r="E11" s="334" t="s">
        <v>140</v>
      </c>
      <c r="F11" s="334" t="s">
        <v>140</v>
      </c>
      <c r="G11" s="334" t="s">
        <v>140</v>
      </c>
      <c r="H11" s="334" t="s">
        <v>140</v>
      </c>
      <c r="I11" s="334" t="s">
        <v>140</v>
      </c>
      <c r="J11" s="334" t="s">
        <v>140</v>
      </c>
      <c r="K11" s="334" t="s">
        <v>140</v>
      </c>
      <c r="L11" s="334" t="s">
        <v>140</v>
      </c>
      <c r="M11" s="334" t="s">
        <v>38</v>
      </c>
      <c r="N11" s="529" t="s">
        <v>38</v>
      </c>
      <c r="P11" s="950" t="s">
        <v>1396</v>
      </c>
      <c r="Q11" s="664"/>
      <c r="R11" s="664"/>
      <c r="S11" s="664"/>
      <c r="T11" s="664"/>
      <c r="U11" s="664"/>
      <c r="V11" s="664"/>
      <c r="W11" s="664"/>
      <c r="X11" s="664"/>
    </row>
    <row r="12" spans="1:24">
      <c r="A12" s="530" t="s">
        <v>216</v>
      </c>
      <c r="B12" s="530">
        <v>40</v>
      </c>
      <c r="C12" s="531">
        <v>0.36691357990664253</v>
      </c>
      <c r="D12" s="532">
        <v>0.7</v>
      </c>
      <c r="E12" s="27"/>
      <c r="F12" s="27"/>
      <c r="G12" s="27"/>
      <c r="H12" s="27"/>
      <c r="I12" s="189" t="str">
        <f>IF(ISBLANK(E12),"",SQRT((E12/2)^2-SUMSQ($C12:$D12)))</f>
        <v/>
      </c>
      <c r="J12" s="189" t="str">
        <f>IF(ISBLANK(F12),"",SQRT((F12/2)^2-SUMSQ($C12:$D12)))</f>
        <v/>
      </c>
      <c r="K12" s="189" t="str">
        <f t="shared" ref="K12:L12" si="1">IF(ISBLANK(G12),"",SQRT((G12/2)^2-SUMSQ($C12:$D12)))</f>
        <v/>
      </c>
      <c r="L12" s="189" t="str">
        <f t="shared" si="1"/>
        <v/>
      </c>
      <c r="M12" s="298">
        <f>MEX!N12</f>
        <v>0.31039717099619979</v>
      </c>
      <c r="N12" s="292">
        <f>SQRT(SUMSQ(I12:M12,C12:D12))*2</f>
        <v>1.6982013766127411</v>
      </c>
      <c r="O12" s="664"/>
      <c r="P12"/>
      <c r="Q12" s="664"/>
      <c r="R12" s="664"/>
      <c r="S12" s="664"/>
      <c r="T12" s="664"/>
      <c r="U12" s="664"/>
      <c r="V12" s="664"/>
      <c r="W12" s="664"/>
      <c r="X12" s="664"/>
    </row>
    <row r="13" spans="1:24">
      <c r="A13" s="530" t="s">
        <v>218</v>
      </c>
      <c r="B13" s="530">
        <v>50</v>
      </c>
      <c r="C13" s="531">
        <v>0.29912301205451852</v>
      </c>
      <c r="D13" s="532">
        <v>0.7</v>
      </c>
      <c r="E13" s="27"/>
      <c r="F13" s="27"/>
      <c r="G13" s="27"/>
      <c r="H13" s="27"/>
      <c r="I13" s="189" t="str">
        <f t="shared" ref="I13:I73" si="2">IF(ISBLANK(E13),"",SQRT((E13/2)^2-SUMSQ($C13:$D13)))</f>
        <v/>
      </c>
      <c r="J13" s="189" t="str">
        <f t="shared" ref="J13:J73" si="3">IF(ISBLANK(F13),"",SQRT((F13/2)^2-SUMSQ($C13:$D13)))</f>
        <v/>
      </c>
      <c r="K13" s="189" t="str">
        <f t="shared" ref="K13:K73" si="4">IF(ISBLANK(G13),"",SQRT((G13/2)^2-SUMSQ($C13:$D13)))</f>
        <v/>
      </c>
      <c r="L13" s="189" t="str">
        <f t="shared" ref="L13:L73" si="5">IF(ISBLANK(H13),"",SQRT((H13/2)^2-SUMSQ($C13:$D13)))</f>
        <v/>
      </c>
      <c r="M13" s="298">
        <f>MEX!N13</f>
        <v>8.0713672413285018E-2</v>
      </c>
      <c r="N13" s="292">
        <f t="shared" ref="N13:N73" si="6">SQRT(SUMSQ(I13:M13,C13:D13))*2</f>
        <v>1.530998724042586</v>
      </c>
      <c r="O13" s="664"/>
      <c r="P13" s="664"/>
      <c r="Q13" s="664"/>
      <c r="R13" s="664"/>
      <c r="S13" s="664"/>
      <c r="T13" s="664"/>
      <c r="U13" s="664"/>
      <c r="V13" s="664"/>
      <c r="W13" s="664"/>
      <c r="X13" s="664"/>
    </row>
    <row r="14" spans="1:24">
      <c r="A14" s="530" t="s">
        <v>221</v>
      </c>
      <c r="B14" s="530">
        <v>60</v>
      </c>
      <c r="C14" s="531">
        <v>0.25282979229810154</v>
      </c>
      <c r="D14" s="532">
        <v>0.7</v>
      </c>
      <c r="E14" s="27"/>
      <c r="F14" s="27"/>
      <c r="G14" s="27"/>
      <c r="H14" s="27"/>
      <c r="I14" s="189" t="str">
        <f t="shared" si="2"/>
        <v/>
      </c>
      <c r="J14" s="189" t="str">
        <f t="shared" si="3"/>
        <v/>
      </c>
      <c r="K14" s="189" t="str">
        <f t="shared" si="4"/>
        <v/>
      </c>
      <c r="L14" s="189" t="str">
        <f t="shared" si="5"/>
        <v/>
      </c>
      <c r="M14" s="298">
        <f>MEX!N14</f>
        <v>0.32520141868132418</v>
      </c>
      <c r="N14" s="292">
        <f t="shared" si="6"/>
        <v>1.6244123449245849</v>
      </c>
      <c r="O14" s="664"/>
      <c r="P14" s="664"/>
      <c r="Q14" s="664"/>
      <c r="R14" s="664"/>
      <c r="S14" s="664"/>
      <c r="T14" s="664"/>
      <c r="U14" s="664"/>
      <c r="V14" s="664"/>
      <c r="W14" s="664"/>
      <c r="X14" s="664"/>
    </row>
    <row r="15" spans="1:24">
      <c r="A15" s="530" t="s">
        <v>223</v>
      </c>
      <c r="B15" s="530">
        <v>70</v>
      </c>
      <c r="C15" s="531">
        <v>0.21766922412671308</v>
      </c>
      <c r="D15" s="532">
        <v>0.7</v>
      </c>
      <c r="E15" s="27"/>
      <c r="F15" s="27"/>
      <c r="G15" s="27"/>
      <c r="H15" s="27"/>
      <c r="I15" s="189" t="str">
        <f t="shared" si="2"/>
        <v/>
      </c>
      <c r="J15" s="189" t="str">
        <f t="shared" si="3"/>
        <v/>
      </c>
      <c r="K15" s="189" t="str">
        <f t="shared" si="4"/>
        <v/>
      </c>
      <c r="L15" s="189" t="str">
        <f t="shared" si="5"/>
        <v/>
      </c>
      <c r="M15" s="298">
        <f>MEX!N15</f>
        <v>0.11817842860713516</v>
      </c>
      <c r="N15" s="292">
        <f t="shared" si="6"/>
        <v>1.4850535776462437</v>
      </c>
      <c r="O15" s="664"/>
      <c r="P15"/>
      <c r="Q15" s="664"/>
      <c r="R15" s="664"/>
      <c r="S15" s="664"/>
      <c r="T15" s="664"/>
      <c r="U15" s="664"/>
      <c r="V15" s="664"/>
      <c r="W15" s="664"/>
      <c r="X15" s="664"/>
    </row>
    <row r="16" spans="1:24">
      <c r="A16" s="530" t="s">
        <v>227</v>
      </c>
      <c r="B16" s="530">
        <v>80</v>
      </c>
      <c r="C16" s="531">
        <v>0.18871420963746166</v>
      </c>
      <c r="D16" s="532">
        <v>0.7</v>
      </c>
      <c r="E16" s="27"/>
      <c r="F16" s="27"/>
      <c r="G16" s="27"/>
      <c r="H16" s="27"/>
      <c r="I16" s="189" t="str">
        <f t="shared" si="2"/>
        <v/>
      </c>
      <c r="J16" s="189" t="str">
        <f t="shared" si="3"/>
        <v/>
      </c>
      <c r="K16" s="189" t="str">
        <f t="shared" si="4"/>
        <v/>
      </c>
      <c r="L16" s="189" t="str">
        <f t="shared" si="5"/>
        <v/>
      </c>
      <c r="M16" s="298">
        <f>MEX!N16</f>
        <v>0.18904965324503065</v>
      </c>
      <c r="N16" s="292">
        <f t="shared" si="6"/>
        <v>1.4984696517596319</v>
      </c>
      <c r="O16" s="664"/>
      <c r="P16" s="664"/>
      <c r="Q16" s="664"/>
      <c r="R16" s="664"/>
      <c r="S16" s="664"/>
      <c r="T16" s="664"/>
      <c r="U16" s="664"/>
      <c r="V16" s="664"/>
      <c r="W16" s="664"/>
      <c r="X16" s="664"/>
    </row>
    <row r="17" spans="1:24">
      <c r="A17" s="530" t="s">
        <v>229</v>
      </c>
      <c r="B17" s="530">
        <v>90</v>
      </c>
      <c r="C17" s="531">
        <v>0.16447118993840437</v>
      </c>
      <c r="D17" s="532">
        <v>0.7</v>
      </c>
      <c r="E17" s="27"/>
      <c r="F17" s="27"/>
      <c r="G17" s="27"/>
      <c r="H17" s="27"/>
      <c r="I17" s="189" t="str">
        <f t="shared" si="2"/>
        <v/>
      </c>
      <c r="J17" s="189" t="str">
        <f t="shared" si="3"/>
        <v/>
      </c>
      <c r="K17" s="189" t="str">
        <f t="shared" si="4"/>
        <v/>
      </c>
      <c r="L17" s="189" t="str">
        <f t="shared" si="5"/>
        <v/>
      </c>
      <c r="M17" s="298">
        <f>MEX!N17</f>
        <v>0.15095749014195234</v>
      </c>
      <c r="N17" s="292">
        <f t="shared" si="6"/>
        <v>1.4694746491855002</v>
      </c>
      <c r="O17" s="664"/>
      <c r="P17" s="950" t="s">
        <v>1398</v>
      </c>
      <c r="Q17" s="664"/>
      <c r="R17" s="664"/>
      <c r="S17" s="664"/>
      <c r="T17" s="664"/>
      <c r="U17" s="664"/>
      <c r="V17" s="664"/>
      <c r="W17" s="664"/>
      <c r="X17" s="664"/>
    </row>
    <row r="18" spans="1:24">
      <c r="A18" s="530" t="s">
        <v>231</v>
      </c>
      <c r="B18" s="530">
        <v>100</v>
      </c>
      <c r="C18" s="531">
        <v>0.14425775238882554</v>
      </c>
      <c r="D18" s="532">
        <v>0.7</v>
      </c>
      <c r="E18" s="27"/>
      <c r="F18" s="27"/>
      <c r="G18" s="27"/>
      <c r="H18" s="27"/>
      <c r="I18" s="189" t="str">
        <f t="shared" si="2"/>
        <v/>
      </c>
      <c r="J18" s="189" t="str">
        <f t="shared" si="3"/>
        <v/>
      </c>
      <c r="K18" s="189" t="str">
        <f t="shared" si="4"/>
        <v/>
      </c>
      <c r="L18" s="189" t="str">
        <f t="shared" si="5"/>
        <v/>
      </c>
      <c r="M18" s="298">
        <f>MEX!N18</f>
        <v>9.4554063168838617E-2</v>
      </c>
      <c r="N18" s="292">
        <f t="shared" si="6"/>
        <v>1.4418748489186048</v>
      </c>
      <c r="O18" s="664"/>
      <c r="P18"/>
      <c r="Q18" s="664"/>
      <c r="R18" s="664"/>
      <c r="S18" s="664"/>
      <c r="T18" s="664"/>
      <c r="U18" s="664"/>
      <c r="V18" s="664"/>
      <c r="W18" s="664"/>
      <c r="X18" s="664"/>
    </row>
    <row r="19" spans="1:24">
      <c r="A19" s="530" t="s">
        <v>977</v>
      </c>
      <c r="B19" s="530">
        <v>40</v>
      </c>
      <c r="C19" s="531">
        <v>0.19780525149743378</v>
      </c>
      <c r="D19" s="532">
        <v>0.7</v>
      </c>
      <c r="E19" s="27"/>
      <c r="F19" s="27"/>
      <c r="G19" s="27"/>
      <c r="H19" s="27"/>
      <c r="I19" s="189" t="str">
        <f t="shared" si="2"/>
        <v/>
      </c>
      <c r="J19" s="189" t="str">
        <f t="shared" si="3"/>
        <v/>
      </c>
      <c r="K19" s="189" t="str">
        <f t="shared" si="4"/>
        <v/>
      </c>
      <c r="L19" s="189" t="str">
        <f t="shared" si="5"/>
        <v/>
      </c>
      <c r="M19" s="298">
        <f>MEX!N19</f>
        <v>0.17192531274437639</v>
      </c>
      <c r="N19" s="292">
        <f t="shared" si="6"/>
        <v>1.4949049878600507</v>
      </c>
      <c r="O19" s="664"/>
      <c r="P19" s="664"/>
      <c r="Q19" s="664"/>
      <c r="R19" s="664"/>
      <c r="S19" s="664"/>
      <c r="T19" s="664"/>
      <c r="U19" s="664"/>
      <c r="V19" s="664"/>
      <c r="W19" s="664"/>
      <c r="X19" s="664"/>
    </row>
    <row r="20" spans="1:24">
      <c r="A20" s="530" t="s">
        <v>978</v>
      </c>
      <c r="B20" s="530">
        <v>50</v>
      </c>
      <c r="C20" s="531">
        <v>0.16248014239334641</v>
      </c>
      <c r="D20" s="532">
        <v>0.7</v>
      </c>
      <c r="E20" s="27"/>
      <c r="F20" s="27"/>
      <c r="G20" s="27"/>
      <c r="H20" s="27"/>
      <c r="I20" s="189" t="str">
        <f t="shared" si="2"/>
        <v/>
      </c>
      <c r="J20" s="189" t="str">
        <f t="shared" si="3"/>
        <v/>
      </c>
      <c r="K20" s="189" t="str">
        <f t="shared" si="4"/>
        <v/>
      </c>
      <c r="L20" s="189" t="str">
        <f t="shared" si="5"/>
        <v/>
      </c>
      <c r="M20" s="298">
        <f>MEX!N20</f>
        <v>0.25456194594017334</v>
      </c>
      <c r="N20" s="292">
        <f t="shared" si="6"/>
        <v>1.5247315580035847</v>
      </c>
      <c r="O20" s="664"/>
      <c r="P20" s="664"/>
      <c r="Q20" s="664"/>
      <c r="R20" s="664"/>
      <c r="S20" s="664"/>
      <c r="T20" s="664"/>
      <c r="U20" s="664"/>
      <c r="V20" s="664"/>
      <c r="W20" s="664"/>
      <c r="X20" s="664"/>
    </row>
    <row r="21" spans="1:24">
      <c r="A21" s="530" t="s">
        <v>979</v>
      </c>
      <c r="B21" s="530">
        <v>60</v>
      </c>
      <c r="C21" s="531">
        <v>0.13949854608980683</v>
      </c>
      <c r="D21" s="532">
        <v>0.7</v>
      </c>
      <c r="E21" s="27"/>
      <c r="F21" s="27"/>
      <c r="G21" s="27"/>
      <c r="H21" s="27"/>
      <c r="I21" s="189" t="str">
        <f t="shared" si="2"/>
        <v/>
      </c>
      <c r="J21" s="189" t="str">
        <f t="shared" si="3"/>
        <v/>
      </c>
      <c r="K21" s="189" t="str">
        <f t="shared" si="4"/>
        <v/>
      </c>
      <c r="L21" s="189" t="str">
        <f t="shared" si="5"/>
        <v/>
      </c>
      <c r="M21" s="298">
        <f>MEX!N21</f>
        <v>0.25637435864401875</v>
      </c>
      <c r="N21" s="292">
        <f t="shared" si="6"/>
        <v>1.5168225421997155</v>
      </c>
      <c r="O21" s="664"/>
      <c r="P21" s="664"/>
      <c r="Q21" s="664"/>
      <c r="R21" s="664"/>
      <c r="S21" s="664"/>
      <c r="T21" s="664"/>
      <c r="U21" s="664"/>
      <c r="V21" s="664"/>
      <c r="W21" s="664"/>
      <c r="X21" s="664"/>
    </row>
    <row r="22" spans="1:24">
      <c r="A22" s="530" t="s">
        <v>980</v>
      </c>
      <c r="B22" s="530">
        <v>70</v>
      </c>
      <c r="C22" s="531">
        <v>0.12210391281717081</v>
      </c>
      <c r="D22" s="532">
        <v>0.7</v>
      </c>
      <c r="E22" s="27"/>
      <c r="F22" s="27"/>
      <c r="G22" s="27"/>
      <c r="H22" s="27"/>
      <c r="I22" s="189" t="str">
        <f t="shared" si="2"/>
        <v/>
      </c>
      <c r="J22" s="189" t="str">
        <f t="shared" si="3"/>
        <v/>
      </c>
      <c r="K22" s="189" t="str">
        <f t="shared" si="4"/>
        <v/>
      </c>
      <c r="L22" s="189" t="str">
        <f t="shared" si="5"/>
        <v/>
      </c>
      <c r="M22" s="298">
        <f>MEX!N22</f>
        <v>9.581560313192769E-2</v>
      </c>
      <c r="N22" s="292">
        <f t="shared" si="6"/>
        <v>1.4340013881845419</v>
      </c>
      <c r="O22" s="664"/>
      <c r="P22" s="664"/>
      <c r="Q22" s="664"/>
      <c r="R22" s="664"/>
      <c r="S22" s="664"/>
      <c r="T22" s="664"/>
      <c r="U22" s="664"/>
      <c r="V22" s="664"/>
      <c r="W22" s="664"/>
      <c r="X22" s="664"/>
    </row>
    <row r="23" spans="1:24">
      <c r="A23" s="530" t="s">
        <v>981</v>
      </c>
      <c r="B23" s="530">
        <v>80</v>
      </c>
      <c r="C23" s="531">
        <v>0.10733708792709962</v>
      </c>
      <c r="D23" s="532">
        <v>0.7</v>
      </c>
      <c r="E23" s="27"/>
      <c r="F23" s="27"/>
      <c r="G23" s="27"/>
      <c r="H23" s="27"/>
      <c r="I23" s="189" t="str">
        <f t="shared" si="2"/>
        <v/>
      </c>
      <c r="J23" s="189" t="str">
        <f t="shared" si="3"/>
        <v/>
      </c>
      <c r="K23" s="189" t="str">
        <f t="shared" si="4"/>
        <v/>
      </c>
      <c r="L23" s="189" t="str">
        <f t="shared" si="5"/>
        <v/>
      </c>
      <c r="M23" s="298">
        <f>MEX!N23</f>
        <v>0.14392931445657767</v>
      </c>
      <c r="N23" s="292">
        <f t="shared" si="6"/>
        <v>1.4453192007367925</v>
      </c>
      <c r="O23" s="664"/>
      <c r="P23" s="664"/>
      <c r="Q23" s="664"/>
      <c r="R23" s="664"/>
      <c r="S23" s="664"/>
      <c r="T23" s="664"/>
      <c r="U23" s="664"/>
      <c r="V23" s="664"/>
      <c r="W23" s="664"/>
      <c r="X23" s="664"/>
    </row>
    <row r="24" spans="1:24">
      <c r="A24" s="530" t="s">
        <v>982</v>
      </c>
      <c r="B24" s="530">
        <v>90</v>
      </c>
      <c r="C24" s="531">
        <v>9.4571812147654644E-2</v>
      </c>
      <c r="D24" s="532">
        <v>0.7</v>
      </c>
      <c r="E24" s="27"/>
      <c r="F24" s="27"/>
      <c r="G24" s="27"/>
      <c r="H24" s="27"/>
      <c r="I24" s="189" t="str">
        <f t="shared" si="2"/>
        <v/>
      </c>
      <c r="J24" s="189" t="str">
        <f t="shared" si="3"/>
        <v/>
      </c>
      <c r="K24" s="189" t="str">
        <f t="shared" si="4"/>
        <v/>
      </c>
      <c r="L24" s="189" t="str">
        <f t="shared" si="5"/>
        <v/>
      </c>
      <c r="M24" s="298">
        <f>MEX!N24</f>
        <v>0.12128734643142701</v>
      </c>
      <c r="N24" s="292">
        <f t="shared" si="6"/>
        <v>1.4333938022152437</v>
      </c>
      <c r="O24" s="664"/>
      <c r="P24" s="664"/>
      <c r="Q24" s="664"/>
      <c r="R24" s="664"/>
      <c r="S24" s="664"/>
      <c r="T24" s="664"/>
      <c r="U24" s="664"/>
      <c r="V24" s="664"/>
      <c r="W24" s="664"/>
      <c r="X24" s="664"/>
    </row>
    <row r="25" spans="1:24">
      <c r="A25" s="530" t="s">
        <v>983</v>
      </c>
      <c r="B25" s="530">
        <v>100</v>
      </c>
      <c r="C25" s="531">
        <v>8.3642825408973831E-2</v>
      </c>
      <c r="D25" s="532">
        <v>0.7</v>
      </c>
      <c r="E25" s="27"/>
      <c r="F25" s="27"/>
      <c r="G25" s="27"/>
      <c r="H25" s="27"/>
      <c r="I25" s="189" t="str">
        <f t="shared" si="2"/>
        <v/>
      </c>
      <c r="J25" s="189" t="str">
        <f t="shared" si="3"/>
        <v/>
      </c>
      <c r="K25" s="189" t="str">
        <f t="shared" si="4"/>
        <v/>
      </c>
      <c r="L25" s="189" t="str">
        <f t="shared" si="5"/>
        <v/>
      </c>
      <c r="M25" s="298">
        <f>MEX!N25</f>
        <v>0.11675547797420903</v>
      </c>
      <c r="N25" s="292">
        <f t="shared" si="6"/>
        <v>1.4291647405101793</v>
      </c>
      <c r="O25" s="664"/>
      <c r="P25" s="664"/>
      <c r="Q25" s="664"/>
      <c r="R25" s="664"/>
      <c r="S25" s="664"/>
      <c r="T25" s="664"/>
      <c r="U25" s="664"/>
      <c r="V25" s="664"/>
      <c r="W25" s="664"/>
      <c r="X25" s="664"/>
    </row>
    <row r="26" spans="1:24">
      <c r="A26" s="530" t="s">
        <v>217</v>
      </c>
      <c r="B26" s="530">
        <v>40</v>
      </c>
      <c r="C26" s="531">
        <v>7.5406674494407078E-2</v>
      </c>
      <c r="D26" s="532">
        <v>0.7</v>
      </c>
      <c r="E26" s="27"/>
      <c r="F26" s="27"/>
      <c r="G26" s="27"/>
      <c r="H26" s="27"/>
      <c r="I26" s="189" t="str">
        <f t="shared" si="2"/>
        <v/>
      </c>
      <c r="J26" s="189" t="str">
        <f t="shared" si="3"/>
        <v/>
      </c>
      <c r="K26" s="189" t="str">
        <f t="shared" si="4"/>
        <v/>
      </c>
      <c r="L26" s="189" t="str">
        <f t="shared" si="5"/>
        <v/>
      </c>
      <c r="M26" s="298">
        <f>MEX!N26</f>
        <v>0.1547534238573319</v>
      </c>
      <c r="N26" s="292">
        <f t="shared" si="6"/>
        <v>1.4417139643547501</v>
      </c>
      <c r="O26" s="664"/>
      <c r="P26" s="664"/>
      <c r="Q26" s="664"/>
      <c r="R26" s="664"/>
      <c r="S26" s="664"/>
      <c r="T26" s="664"/>
      <c r="U26" s="664"/>
      <c r="V26" s="664"/>
      <c r="W26" s="664"/>
      <c r="X26" s="664"/>
    </row>
    <row r="27" spans="1:24">
      <c r="A27" s="536" t="s">
        <v>219</v>
      </c>
      <c r="B27" s="536">
        <v>50</v>
      </c>
      <c r="C27" s="537">
        <v>5.6470215264712298E-2</v>
      </c>
      <c r="D27" s="538">
        <v>0.7</v>
      </c>
      <c r="E27" s="215"/>
      <c r="F27" s="215"/>
      <c r="G27" s="215"/>
      <c r="H27" s="215"/>
      <c r="I27" s="189" t="str">
        <f t="shared" si="2"/>
        <v/>
      </c>
      <c r="J27" s="189" t="str">
        <f t="shared" si="3"/>
        <v/>
      </c>
      <c r="K27" s="189" t="str">
        <f t="shared" si="4"/>
        <v/>
      </c>
      <c r="L27" s="189" t="str">
        <f t="shared" si="5"/>
        <v/>
      </c>
      <c r="M27" s="298">
        <f>MEX!N27</f>
        <v>0.12454515930280188</v>
      </c>
      <c r="N27" s="292">
        <f t="shared" si="6"/>
        <v>1.4264646955572411</v>
      </c>
      <c r="O27" s="664"/>
      <c r="P27" s="664"/>
      <c r="Q27" s="664"/>
      <c r="R27" s="664"/>
      <c r="S27" s="664"/>
      <c r="T27" s="664"/>
      <c r="U27" s="664"/>
      <c r="V27" s="664"/>
      <c r="W27" s="664"/>
      <c r="X27" s="664"/>
    </row>
    <row r="28" spans="1:24">
      <c r="A28" s="530" t="s">
        <v>222</v>
      </c>
      <c r="B28" s="530">
        <v>60</v>
      </c>
      <c r="C28" s="531">
        <v>4.6405969249347923E-2</v>
      </c>
      <c r="D28" s="532">
        <v>0.7</v>
      </c>
      <c r="E28" s="27"/>
      <c r="F28" s="27"/>
      <c r="G28" s="27"/>
      <c r="H28" s="27"/>
      <c r="I28" s="189" t="str">
        <f t="shared" si="2"/>
        <v/>
      </c>
      <c r="J28" s="189" t="str">
        <f t="shared" si="3"/>
        <v/>
      </c>
      <c r="K28" s="189" t="str">
        <f t="shared" si="4"/>
        <v/>
      </c>
      <c r="L28" s="189" t="str">
        <f t="shared" si="5"/>
        <v/>
      </c>
      <c r="M28" s="298">
        <f>MEX!N28</f>
        <v>9.03216896681618E-2</v>
      </c>
      <c r="N28" s="292">
        <f t="shared" si="6"/>
        <v>1.4146540518536439</v>
      </c>
      <c r="O28" s="664"/>
      <c r="P28" s="664"/>
      <c r="Q28" s="664"/>
      <c r="R28" s="664"/>
      <c r="S28" s="664"/>
      <c r="T28" s="664"/>
      <c r="U28" s="664"/>
      <c r="V28" s="664"/>
      <c r="W28" s="664"/>
      <c r="X28" s="664"/>
    </row>
    <row r="29" spans="1:24">
      <c r="A29" s="536" t="s">
        <v>224</v>
      </c>
      <c r="B29" s="536">
        <v>70</v>
      </c>
      <c r="C29" s="537">
        <v>3.957626201035902E-2</v>
      </c>
      <c r="D29" s="538">
        <v>0.7</v>
      </c>
      <c r="E29" s="215"/>
      <c r="F29" s="215"/>
      <c r="G29" s="215"/>
      <c r="H29" s="215"/>
      <c r="I29" s="189" t="str">
        <f t="shared" si="2"/>
        <v/>
      </c>
      <c r="J29" s="189" t="str">
        <f t="shared" si="3"/>
        <v/>
      </c>
      <c r="K29" s="189" t="str">
        <f t="shared" si="4"/>
        <v/>
      </c>
      <c r="L29" s="189" t="str">
        <f t="shared" si="5"/>
        <v/>
      </c>
      <c r="M29" s="298">
        <f>MEX!N29</f>
        <v>0.12189221138703006</v>
      </c>
      <c r="N29" s="292">
        <f t="shared" si="6"/>
        <v>1.4232694638915471</v>
      </c>
      <c r="O29" s="664"/>
      <c r="P29" s="664"/>
      <c r="Q29" s="664"/>
      <c r="R29" s="664"/>
      <c r="S29" s="664"/>
      <c r="T29" s="664"/>
      <c r="U29" s="664"/>
      <c r="V29" s="664"/>
      <c r="W29" s="664"/>
      <c r="X29" s="664"/>
    </row>
    <row r="30" spans="1:24">
      <c r="A30" s="530" t="s">
        <v>228</v>
      </c>
      <c r="B30" s="530">
        <v>80</v>
      </c>
      <c r="C30" s="531">
        <v>3.3960264811438989E-2</v>
      </c>
      <c r="D30" s="532">
        <v>0.7</v>
      </c>
      <c r="E30" s="27"/>
      <c r="F30" s="27"/>
      <c r="G30" s="27"/>
      <c r="H30" s="27"/>
      <c r="I30" s="189" t="str">
        <f t="shared" si="2"/>
        <v/>
      </c>
      <c r="J30" s="189" t="str">
        <f t="shared" si="3"/>
        <v/>
      </c>
      <c r="K30" s="189" t="str">
        <f t="shared" si="4"/>
        <v/>
      </c>
      <c r="L30" s="189" t="str">
        <f t="shared" si="5"/>
        <v/>
      </c>
      <c r="M30" s="298">
        <f>MEX!N30</f>
        <v>5.9393569552448539E-2</v>
      </c>
      <c r="N30" s="292">
        <f t="shared" si="6"/>
        <v>1.406671099710582</v>
      </c>
      <c r="O30" s="664"/>
      <c r="P30" s="664"/>
      <c r="Q30" s="664"/>
      <c r="R30" s="664"/>
      <c r="S30" s="664"/>
      <c r="T30" s="664"/>
      <c r="U30" s="664"/>
      <c r="V30" s="664"/>
      <c r="W30" s="664"/>
      <c r="X30" s="664"/>
    </row>
    <row r="31" spans="1:24">
      <c r="A31" s="530" t="s">
        <v>230</v>
      </c>
      <c r="B31" s="530">
        <v>90</v>
      </c>
      <c r="C31" s="531">
        <v>2.9289451001524025E-2</v>
      </c>
      <c r="D31" s="532">
        <v>0.7</v>
      </c>
      <c r="E31" s="27"/>
      <c r="F31" s="27"/>
      <c r="G31" s="27"/>
      <c r="H31" s="27"/>
      <c r="I31" s="189" t="str">
        <f t="shared" si="2"/>
        <v/>
      </c>
      <c r="J31" s="189" t="str">
        <f t="shared" si="3"/>
        <v/>
      </c>
      <c r="K31" s="189" t="str">
        <f t="shared" si="4"/>
        <v/>
      </c>
      <c r="L31" s="189" t="str">
        <f t="shared" si="5"/>
        <v/>
      </c>
      <c r="M31" s="298">
        <f>MEX!N31</f>
        <v>9.1151777579023568E-2</v>
      </c>
      <c r="N31" s="292">
        <f t="shared" si="6"/>
        <v>1.413034349894986</v>
      </c>
      <c r="O31" s="664"/>
      <c r="P31" s="664"/>
      <c r="Q31" s="664"/>
      <c r="R31" s="664"/>
      <c r="S31" s="664"/>
      <c r="T31" s="664"/>
      <c r="U31" s="664"/>
      <c r="V31" s="664"/>
      <c r="W31" s="664"/>
      <c r="X31" s="664"/>
    </row>
    <row r="32" spans="1:24">
      <c r="A32" s="530" t="s">
        <v>220</v>
      </c>
      <c r="B32" s="530">
        <v>50</v>
      </c>
      <c r="C32" s="531">
        <v>5.1319748018789912E-2</v>
      </c>
      <c r="D32" s="532">
        <v>0.7</v>
      </c>
      <c r="E32" s="27"/>
      <c r="F32" s="27"/>
      <c r="G32" s="27"/>
      <c r="H32" s="27"/>
      <c r="I32" s="189" t="str">
        <f t="shared" si="2"/>
        <v/>
      </c>
      <c r="J32" s="189" t="str">
        <f t="shared" si="3"/>
        <v/>
      </c>
      <c r="K32" s="189" t="str">
        <f t="shared" si="4"/>
        <v/>
      </c>
      <c r="L32" s="189" t="str">
        <f t="shared" si="5"/>
        <v/>
      </c>
      <c r="M32" s="298">
        <f>MEX!N32</f>
        <v>0.28696017582077399</v>
      </c>
      <c r="N32" s="292">
        <f t="shared" si="6"/>
        <v>1.5165485274712465</v>
      </c>
      <c r="O32" s="664"/>
      <c r="P32" s="664"/>
      <c r="Q32" s="664"/>
      <c r="R32" s="664"/>
      <c r="S32" s="664"/>
      <c r="T32" s="664"/>
      <c r="U32" s="664"/>
      <c r="V32" s="664"/>
      <c r="W32" s="664"/>
      <c r="X32" s="664"/>
    </row>
    <row r="33" spans="1:15">
      <c r="A33" s="530" t="s">
        <v>225</v>
      </c>
      <c r="B33" s="530">
        <v>70</v>
      </c>
      <c r="C33" s="531">
        <v>3.5396241392513517E-2</v>
      </c>
      <c r="D33" s="532">
        <v>0.7</v>
      </c>
      <c r="E33" s="27"/>
      <c r="F33" s="27"/>
      <c r="G33" s="27"/>
      <c r="H33" s="27"/>
      <c r="I33" s="189" t="str">
        <f t="shared" si="2"/>
        <v/>
      </c>
      <c r="J33" s="189" t="str">
        <f t="shared" si="3"/>
        <v/>
      </c>
      <c r="K33" s="189" t="str">
        <f t="shared" si="4"/>
        <v/>
      </c>
      <c r="L33" s="189" t="str">
        <f t="shared" si="5"/>
        <v/>
      </c>
      <c r="M33" s="298">
        <f>MEX!N33</f>
        <v>9.7054140847596698E-2</v>
      </c>
      <c r="N33" s="292">
        <f t="shared" si="6"/>
        <v>1.4151641603155192</v>
      </c>
      <c r="O33" s="664"/>
    </row>
    <row r="34" spans="1:15">
      <c r="A34" s="536" t="s">
        <v>232</v>
      </c>
      <c r="B34" s="536">
        <v>100</v>
      </c>
      <c r="C34" s="537">
        <v>2.2424519276837973E-2</v>
      </c>
      <c r="D34" s="538">
        <v>0.7</v>
      </c>
      <c r="E34" s="215"/>
      <c r="F34" s="215"/>
      <c r="G34" s="215"/>
      <c r="H34" s="215"/>
      <c r="I34" s="189" t="str">
        <f t="shared" si="2"/>
        <v/>
      </c>
      <c r="J34" s="189" t="str">
        <f t="shared" si="3"/>
        <v/>
      </c>
      <c r="K34" s="189" t="str">
        <f t="shared" si="4"/>
        <v/>
      </c>
      <c r="L34" s="189" t="str">
        <f t="shared" si="5"/>
        <v/>
      </c>
      <c r="M34" s="298">
        <f>MEX!N34</f>
        <v>5.3248071393559616E-2</v>
      </c>
      <c r="N34" s="292">
        <f t="shared" si="6"/>
        <v>1.404760785574442</v>
      </c>
      <c r="O34" s="664"/>
    </row>
    <row r="35" spans="1:15">
      <c r="A35" s="530" t="s">
        <v>235</v>
      </c>
      <c r="B35" s="530">
        <v>120</v>
      </c>
      <c r="C35" s="531">
        <v>1.8125341640868875E-2</v>
      </c>
      <c r="D35" s="532">
        <v>0.7</v>
      </c>
      <c r="E35" s="27"/>
      <c r="F35" s="27"/>
      <c r="G35" s="27"/>
      <c r="H35" s="27"/>
      <c r="I35" s="189" t="str">
        <f t="shared" si="2"/>
        <v/>
      </c>
      <c r="J35" s="189" t="str">
        <f t="shared" si="3"/>
        <v/>
      </c>
      <c r="K35" s="189" t="str">
        <f t="shared" si="4"/>
        <v/>
      </c>
      <c r="L35" s="189" t="str">
        <f t="shared" si="5"/>
        <v/>
      </c>
      <c r="M35" s="298">
        <f>MEX!N35</f>
        <v>9.7101355600959879E-2</v>
      </c>
      <c r="N35" s="292">
        <f t="shared" si="6"/>
        <v>1.4138701514200549</v>
      </c>
      <c r="O35" s="664"/>
    </row>
    <row r="36" spans="1:15">
      <c r="A36" s="530" t="s">
        <v>239</v>
      </c>
      <c r="B36" s="530">
        <v>140</v>
      </c>
      <c r="C36" s="531">
        <v>1.6968851418677211E-2</v>
      </c>
      <c r="D36" s="532">
        <v>0.7</v>
      </c>
      <c r="E36" s="27"/>
      <c r="F36" s="27"/>
      <c r="G36" s="27"/>
      <c r="H36" s="27"/>
      <c r="I36" s="189" t="str">
        <f t="shared" si="2"/>
        <v/>
      </c>
      <c r="J36" s="189" t="str">
        <f t="shared" si="3"/>
        <v/>
      </c>
      <c r="K36" s="189" t="str">
        <f t="shared" si="4"/>
        <v/>
      </c>
      <c r="L36" s="189" t="str">
        <f t="shared" si="5"/>
        <v/>
      </c>
      <c r="M36" s="298">
        <f>MEX!N36</f>
        <v>0.18999471875948548</v>
      </c>
      <c r="N36" s="292">
        <f t="shared" si="6"/>
        <v>1.4510491860374204</v>
      </c>
      <c r="O36" s="664"/>
    </row>
    <row r="37" spans="1:15">
      <c r="A37" s="530" t="s">
        <v>226</v>
      </c>
      <c r="B37" s="530">
        <v>70</v>
      </c>
      <c r="C37" s="531">
        <v>2.6604726969507997E-2</v>
      </c>
      <c r="D37" s="532">
        <v>0.7</v>
      </c>
      <c r="E37" s="27"/>
      <c r="F37" s="27"/>
      <c r="G37" s="27"/>
      <c r="H37" s="27"/>
      <c r="I37" s="189" t="str">
        <f t="shared" si="2"/>
        <v/>
      </c>
      <c r="J37" s="189" t="str">
        <f t="shared" si="3"/>
        <v/>
      </c>
      <c r="K37" s="189" t="str">
        <f t="shared" si="4"/>
        <v/>
      </c>
      <c r="L37" s="189" t="str">
        <f t="shared" si="5"/>
        <v/>
      </c>
      <c r="M37" s="298">
        <f>MEX!N37</f>
        <v>0.29291712120084284</v>
      </c>
      <c r="N37" s="292">
        <f t="shared" si="6"/>
        <v>1.5185628092241839</v>
      </c>
      <c r="O37" s="664"/>
    </row>
    <row r="38" spans="1:15">
      <c r="A38" s="530" t="s">
        <v>233</v>
      </c>
      <c r="B38" s="530">
        <v>100</v>
      </c>
      <c r="C38" s="531">
        <v>1.5951176446762361E-2</v>
      </c>
      <c r="D38" s="532">
        <v>0.7</v>
      </c>
      <c r="E38" s="27"/>
      <c r="F38" s="27"/>
      <c r="G38" s="27"/>
      <c r="H38" s="27"/>
      <c r="I38" s="189" t="str">
        <f t="shared" si="2"/>
        <v/>
      </c>
      <c r="J38" s="189" t="str">
        <f t="shared" si="3"/>
        <v/>
      </c>
      <c r="K38" s="189" t="str">
        <f t="shared" si="4"/>
        <v/>
      </c>
      <c r="L38" s="189" t="str">
        <f t="shared" si="5"/>
        <v/>
      </c>
      <c r="M38" s="298">
        <f>MEX!N38</f>
        <v>0.17369892987273311</v>
      </c>
      <c r="N38" s="292">
        <f t="shared" si="6"/>
        <v>1.4428108098693582</v>
      </c>
      <c r="O38" s="664"/>
    </row>
    <row r="39" spans="1:15">
      <c r="A39" s="536" t="s">
        <v>236</v>
      </c>
      <c r="B39" s="536">
        <v>120</v>
      </c>
      <c r="C39" s="537">
        <v>1.3109987125909939E-2</v>
      </c>
      <c r="D39" s="538">
        <v>0.7</v>
      </c>
      <c r="E39" s="215"/>
      <c r="F39" s="215"/>
      <c r="G39" s="215"/>
      <c r="H39" s="215"/>
      <c r="I39" s="189" t="str">
        <f t="shared" si="2"/>
        <v/>
      </c>
      <c r="J39" s="189" t="str">
        <f t="shared" si="3"/>
        <v/>
      </c>
      <c r="K39" s="189" t="str">
        <f t="shared" si="4"/>
        <v/>
      </c>
      <c r="L39" s="189" t="str">
        <f t="shared" si="5"/>
        <v/>
      </c>
      <c r="M39" s="298">
        <f>MEX!N39</f>
        <v>6.5497364433583949E-2</v>
      </c>
      <c r="N39" s="292">
        <f t="shared" si="6"/>
        <v>1.4063595223273275</v>
      </c>
      <c r="O39" s="664"/>
    </row>
    <row r="40" spans="1:15">
      <c r="A40" s="530" t="s">
        <v>240</v>
      </c>
      <c r="B40" s="530">
        <v>140</v>
      </c>
      <c r="C40" s="531">
        <v>1.3323880854390069E-2</v>
      </c>
      <c r="D40" s="532">
        <v>0.7</v>
      </c>
      <c r="E40" s="27"/>
      <c r="F40" s="27"/>
      <c r="G40" s="27"/>
      <c r="H40" s="27"/>
      <c r="I40" s="189" t="str">
        <f t="shared" si="2"/>
        <v/>
      </c>
      <c r="J40" s="189" t="str">
        <f t="shared" si="3"/>
        <v/>
      </c>
      <c r="K40" s="189" t="str">
        <f t="shared" si="4"/>
        <v/>
      </c>
      <c r="L40" s="189" t="str">
        <f t="shared" si="5"/>
        <v/>
      </c>
      <c r="M40" s="298">
        <f>MEX!N40</f>
        <v>7.6251545818394037E-2</v>
      </c>
      <c r="N40" s="292">
        <f t="shared" si="6"/>
        <v>1.4085337398028015</v>
      </c>
      <c r="O40" s="664"/>
    </row>
    <row r="41" spans="1:15">
      <c r="A41" s="530" t="s">
        <v>244</v>
      </c>
      <c r="B41" s="530">
        <v>150</v>
      </c>
      <c r="C41" s="531">
        <v>1.4171047568729556E-2</v>
      </c>
      <c r="D41" s="532">
        <v>0.7</v>
      </c>
      <c r="E41" s="27"/>
      <c r="F41" s="27"/>
      <c r="G41" s="27"/>
      <c r="H41" s="27"/>
      <c r="I41" s="189" t="str">
        <f t="shared" si="2"/>
        <v/>
      </c>
      <c r="J41" s="189" t="str">
        <f t="shared" si="3"/>
        <v/>
      </c>
      <c r="K41" s="189" t="str">
        <f t="shared" si="4"/>
        <v/>
      </c>
      <c r="L41" s="189" t="str">
        <f t="shared" si="5"/>
        <v/>
      </c>
      <c r="M41" s="298">
        <f>MEX!N41</f>
        <v>5.2721405839042786E-2</v>
      </c>
      <c r="N41" s="292">
        <f t="shared" si="6"/>
        <v>1.4042512100373497</v>
      </c>
      <c r="O41" s="664"/>
    </row>
    <row r="42" spans="1:15">
      <c r="A42" s="530" t="s">
        <v>234</v>
      </c>
      <c r="B42" s="530">
        <v>100</v>
      </c>
      <c r="C42" s="531">
        <v>9.1774117474008321E-3</v>
      </c>
      <c r="D42" s="532">
        <v>0.7</v>
      </c>
      <c r="E42" s="27"/>
      <c r="F42" s="27"/>
      <c r="G42" s="27"/>
      <c r="H42" s="27"/>
      <c r="I42" s="189" t="str">
        <f t="shared" si="2"/>
        <v/>
      </c>
      <c r="J42" s="189" t="str">
        <f t="shared" si="3"/>
        <v/>
      </c>
      <c r="K42" s="189" t="str">
        <f t="shared" si="4"/>
        <v/>
      </c>
      <c r="L42" s="189" t="str">
        <f t="shared" si="5"/>
        <v/>
      </c>
      <c r="M42" s="298">
        <f>MEX!N42</f>
        <v>0.16927965500608885</v>
      </c>
      <c r="N42" s="292">
        <f t="shared" si="6"/>
        <v>1.440471903905608</v>
      </c>
      <c r="O42" s="664"/>
    </row>
    <row r="43" spans="1:15">
      <c r="A43" s="530" t="s">
        <v>237</v>
      </c>
      <c r="B43" s="530">
        <v>120</v>
      </c>
      <c r="C43" s="531">
        <v>7.9666582996296142E-3</v>
      </c>
      <c r="D43" s="532">
        <v>0.7</v>
      </c>
      <c r="E43" s="27"/>
      <c r="F43" s="27"/>
      <c r="G43" s="27"/>
      <c r="H43" s="27"/>
      <c r="I43" s="189" t="str">
        <f t="shared" si="2"/>
        <v/>
      </c>
      <c r="J43" s="189" t="str">
        <f t="shared" si="3"/>
        <v/>
      </c>
      <c r="K43" s="189" t="str">
        <f t="shared" si="4"/>
        <v/>
      </c>
      <c r="L43" s="189" t="str">
        <f t="shared" si="5"/>
        <v/>
      </c>
      <c r="M43" s="298">
        <f>MEX!N43</f>
        <v>8.6763690056855386E-2</v>
      </c>
      <c r="N43" s="292">
        <f t="shared" si="6"/>
        <v>1.4108031833771075</v>
      </c>
      <c r="O43" s="664"/>
    </row>
    <row r="44" spans="1:15">
      <c r="A44" s="536" t="s">
        <v>241</v>
      </c>
      <c r="B44" s="536">
        <v>140</v>
      </c>
      <c r="C44" s="537">
        <v>9.8770200640818651E-3</v>
      </c>
      <c r="D44" s="538">
        <v>0.7</v>
      </c>
      <c r="E44" s="215"/>
      <c r="F44" s="215"/>
      <c r="G44" s="215"/>
      <c r="H44" s="215"/>
      <c r="I44" s="189" t="str">
        <f t="shared" si="2"/>
        <v/>
      </c>
      <c r="J44" s="189" t="str">
        <f t="shared" si="3"/>
        <v/>
      </c>
      <c r="K44" s="189" t="str">
        <f t="shared" si="4"/>
        <v/>
      </c>
      <c r="L44" s="189" t="str">
        <f t="shared" si="5"/>
        <v/>
      </c>
      <c r="M44" s="298">
        <f>MEX!N44</f>
        <v>0.10016882260385546</v>
      </c>
      <c r="N44" s="292">
        <f t="shared" si="6"/>
        <v>1.4143993050722117</v>
      </c>
      <c r="O44" s="664"/>
    </row>
    <row r="45" spans="1:15">
      <c r="A45" s="530" t="s">
        <v>245</v>
      </c>
      <c r="B45" s="530">
        <v>150</v>
      </c>
      <c r="C45" s="531">
        <v>1.1491991595709017E-2</v>
      </c>
      <c r="D45" s="532">
        <v>0.7</v>
      </c>
      <c r="E45" s="27"/>
      <c r="F45" s="27"/>
      <c r="G45" s="27"/>
      <c r="H45" s="27"/>
      <c r="I45" s="189" t="str">
        <f t="shared" si="2"/>
        <v/>
      </c>
      <c r="J45" s="189" t="str">
        <f t="shared" si="3"/>
        <v/>
      </c>
      <c r="K45" s="189" t="str">
        <f t="shared" si="4"/>
        <v/>
      </c>
      <c r="L45" s="189" t="str">
        <f t="shared" si="5"/>
        <v/>
      </c>
      <c r="M45" s="298">
        <f>MEX!N45</f>
        <v>0.11334549582866051</v>
      </c>
      <c r="N45" s="292">
        <f t="shared" si="6"/>
        <v>1.4184206249141764</v>
      </c>
      <c r="O45" s="664"/>
    </row>
    <row r="46" spans="1:15">
      <c r="A46" s="530" t="s">
        <v>249</v>
      </c>
      <c r="B46" s="530">
        <v>200</v>
      </c>
      <c r="C46" s="531">
        <v>1.9031183623012815E-2</v>
      </c>
      <c r="D46" s="532">
        <v>0.7</v>
      </c>
      <c r="E46" s="27"/>
      <c r="F46" s="27"/>
      <c r="G46" s="27"/>
      <c r="H46" s="27"/>
      <c r="I46" s="189" t="str">
        <f t="shared" si="2"/>
        <v/>
      </c>
      <c r="J46" s="189" t="str">
        <f t="shared" si="3"/>
        <v/>
      </c>
      <c r="K46" s="189" t="str">
        <f t="shared" si="4"/>
        <v/>
      </c>
      <c r="L46" s="189" t="str">
        <f t="shared" si="5"/>
        <v/>
      </c>
      <c r="M46" s="298">
        <f>MEX!N46</f>
        <v>0.12400751442130487</v>
      </c>
      <c r="N46" s="292">
        <f t="shared" si="6"/>
        <v>1.4223080532473165</v>
      </c>
      <c r="O46" s="664"/>
    </row>
    <row r="47" spans="1:15">
      <c r="A47" s="530" t="s">
        <v>238</v>
      </c>
      <c r="B47" s="530">
        <v>120</v>
      </c>
      <c r="C47" s="531">
        <v>2.5178532171099555E-3</v>
      </c>
      <c r="D47" s="532">
        <v>0.7</v>
      </c>
      <c r="E47" s="27"/>
      <c r="F47" s="27"/>
      <c r="G47" s="27"/>
      <c r="H47" s="27"/>
      <c r="I47" s="189" t="str">
        <f t="shared" si="2"/>
        <v/>
      </c>
      <c r="J47" s="189" t="str">
        <f t="shared" si="3"/>
        <v/>
      </c>
      <c r="K47" s="189" t="str">
        <f t="shared" si="4"/>
        <v/>
      </c>
      <c r="L47" s="189" t="str">
        <f t="shared" si="5"/>
        <v/>
      </c>
      <c r="M47" s="298">
        <f>MEX!N47</f>
        <v>0.17176295052642271</v>
      </c>
      <c r="N47" s="292">
        <f t="shared" si="6"/>
        <v>1.4415392478297151</v>
      </c>
      <c r="O47" s="664"/>
    </row>
    <row r="48" spans="1:15">
      <c r="A48" s="530" t="s">
        <v>242</v>
      </c>
      <c r="B48" s="530">
        <v>140</v>
      </c>
      <c r="C48" s="531">
        <v>7.673688133860157E-3</v>
      </c>
      <c r="D48" s="532">
        <v>0.7</v>
      </c>
      <c r="E48" s="27"/>
      <c r="F48" s="27"/>
      <c r="G48" s="27"/>
      <c r="H48" s="27"/>
      <c r="I48" s="189" t="str">
        <f t="shared" si="2"/>
        <v/>
      </c>
      <c r="J48" s="189" t="str">
        <f t="shared" si="3"/>
        <v/>
      </c>
      <c r="K48" s="189" t="str">
        <f t="shared" si="4"/>
        <v/>
      </c>
      <c r="L48" s="189" t="str">
        <f t="shared" si="5"/>
        <v/>
      </c>
      <c r="M48" s="298">
        <f>MEX!N48</f>
        <v>0.18595375418180343</v>
      </c>
      <c r="N48" s="292">
        <f t="shared" si="6"/>
        <v>1.4486375449833988</v>
      </c>
      <c r="O48" s="664"/>
    </row>
    <row r="49" spans="1:15">
      <c r="A49" s="536" t="s">
        <v>246</v>
      </c>
      <c r="B49" s="536">
        <v>150</v>
      </c>
      <c r="C49" s="537">
        <v>1.0807038841320615E-2</v>
      </c>
      <c r="D49" s="538">
        <v>0.7</v>
      </c>
      <c r="E49" s="215"/>
      <c r="F49" s="215"/>
      <c r="G49" s="215"/>
      <c r="H49" s="215"/>
      <c r="I49" s="189" t="str">
        <f t="shared" si="2"/>
        <v/>
      </c>
      <c r="J49" s="189" t="str">
        <f t="shared" si="3"/>
        <v/>
      </c>
      <c r="K49" s="189" t="str">
        <f t="shared" si="4"/>
        <v/>
      </c>
      <c r="L49" s="189" t="str">
        <f t="shared" si="5"/>
        <v/>
      </c>
      <c r="M49" s="298">
        <f>MEX!N49</f>
        <v>0.13369418486898602</v>
      </c>
      <c r="N49" s="292">
        <f t="shared" si="6"/>
        <v>1.4254696449329258</v>
      </c>
      <c r="O49" s="664"/>
    </row>
    <row r="50" spans="1:15">
      <c r="A50" s="530" t="s">
        <v>250</v>
      </c>
      <c r="B50" s="530">
        <v>200</v>
      </c>
      <c r="C50" s="531">
        <v>2.2518427160713728E-2</v>
      </c>
      <c r="D50" s="532">
        <v>0.7</v>
      </c>
      <c r="E50" s="27"/>
      <c r="F50" s="27"/>
      <c r="G50" s="27"/>
      <c r="H50" s="27"/>
      <c r="I50" s="189" t="str">
        <f t="shared" si="2"/>
        <v/>
      </c>
      <c r="J50" s="189" t="str">
        <f t="shared" si="3"/>
        <v/>
      </c>
      <c r="K50" s="189" t="str">
        <f t="shared" si="4"/>
        <v/>
      </c>
      <c r="L50" s="189" t="str">
        <f t="shared" si="5"/>
        <v/>
      </c>
      <c r="M50" s="298">
        <f>MEX!N50</f>
        <v>4.3035314309669198E-2</v>
      </c>
      <c r="N50" s="292">
        <f t="shared" si="6"/>
        <v>1.4033661216368654</v>
      </c>
      <c r="O50" s="664"/>
    </row>
    <row r="51" spans="1:15">
      <c r="A51" s="530" t="s">
        <v>254</v>
      </c>
      <c r="B51" s="530">
        <v>250</v>
      </c>
      <c r="C51" s="531">
        <v>1.6033481059567478E-2</v>
      </c>
      <c r="D51" s="532">
        <v>0.7</v>
      </c>
      <c r="E51" s="27"/>
      <c r="F51" s="27"/>
      <c r="G51" s="27"/>
      <c r="H51" s="27"/>
      <c r="I51" s="189" t="str">
        <f t="shared" si="2"/>
        <v/>
      </c>
      <c r="J51" s="189" t="str">
        <f t="shared" si="3"/>
        <v/>
      </c>
      <c r="K51" s="189" t="str">
        <f t="shared" si="4"/>
        <v/>
      </c>
      <c r="L51" s="189" t="str">
        <f t="shared" si="5"/>
        <v/>
      </c>
      <c r="M51" s="298">
        <f>MEX!N51</f>
        <v>0.12452638514758195</v>
      </c>
      <c r="N51" s="292">
        <f t="shared" si="6"/>
        <v>1.422341580792478</v>
      </c>
      <c r="O51" s="664"/>
    </row>
    <row r="52" spans="1:15">
      <c r="A52" s="530" t="s">
        <v>243</v>
      </c>
      <c r="B52" s="530">
        <v>140</v>
      </c>
      <c r="C52" s="531">
        <v>9.5441295642872959E-3</v>
      </c>
      <c r="D52" s="532">
        <v>0.7</v>
      </c>
      <c r="E52" s="27"/>
      <c r="F52" s="27"/>
      <c r="G52" s="27"/>
      <c r="H52" s="27"/>
      <c r="I52" s="189" t="str">
        <f t="shared" si="2"/>
        <v/>
      </c>
      <c r="J52" s="189" t="str">
        <f t="shared" si="3"/>
        <v/>
      </c>
      <c r="K52" s="189" t="str">
        <f t="shared" si="4"/>
        <v/>
      </c>
      <c r="L52" s="189" t="str">
        <f t="shared" si="5"/>
        <v/>
      </c>
      <c r="M52" s="298">
        <f>MEX!N52</f>
        <v>0.12251478316713191</v>
      </c>
      <c r="N52" s="292">
        <f t="shared" si="6"/>
        <v>1.4214091071941664</v>
      </c>
      <c r="O52" s="664"/>
    </row>
    <row r="53" spans="1:15">
      <c r="A53" s="530" t="s">
        <v>247</v>
      </c>
      <c r="B53" s="530">
        <v>150</v>
      </c>
      <c r="C53" s="531">
        <v>1.3895884109391687E-2</v>
      </c>
      <c r="D53" s="532">
        <v>0.7</v>
      </c>
      <c r="E53" s="27"/>
      <c r="F53" s="27"/>
      <c r="G53" s="27"/>
      <c r="H53" s="27"/>
      <c r="I53" s="189" t="str">
        <f t="shared" si="2"/>
        <v/>
      </c>
      <c r="J53" s="189" t="str">
        <f t="shared" si="3"/>
        <v/>
      </c>
      <c r="K53" s="189" t="str">
        <f t="shared" si="4"/>
        <v/>
      </c>
      <c r="L53" s="189" t="str">
        <f t="shared" si="5"/>
        <v/>
      </c>
      <c r="M53" s="298">
        <f>MEX!N53</f>
        <v>0.33104442166783032</v>
      </c>
      <c r="N53" s="292">
        <f t="shared" si="6"/>
        <v>1.5489138190520089</v>
      </c>
      <c r="O53" s="664"/>
    </row>
    <row r="54" spans="1:15">
      <c r="A54" s="536" t="s">
        <v>251</v>
      </c>
      <c r="B54" s="536">
        <v>200</v>
      </c>
      <c r="C54" s="537">
        <v>2.8389185648898252E-2</v>
      </c>
      <c r="D54" s="538">
        <v>0.7</v>
      </c>
      <c r="E54" s="215"/>
      <c r="F54" s="215"/>
      <c r="G54" s="215"/>
      <c r="H54" s="215"/>
      <c r="I54" s="189" t="str">
        <f t="shared" si="2"/>
        <v/>
      </c>
      <c r="J54" s="189" t="str">
        <f t="shared" si="3"/>
        <v/>
      </c>
      <c r="K54" s="189" t="str">
        <f t="shared" si="4"/>
        <v/>
      </c>
      <c r="L54" s="189" t="str">
        <f t="shared" si="5"/>
        <v/>
      </c>
      <c r="M54" s="298">
        <f>MEX!N54</f>
        <v>2.5012539126946752E-2</v>
      </c>
      <c r="N54" s="292">
        <f t="shared" si="6"/>
        <v>1.4020436126959597</v>
      </c>
      <c r="O54" s="664"/>
    </row>
    <row r="55" spans="1:15">
      <c r="A55" s="530" t="s">
        <v>255</v>
      </c>
      <c r="B55" s="530">
        <v>250</v>
      </c>
      <c r="C55" s="531">
        <v>1.8797407319610659E-2</v>
      </c>
      <c r="D55" s="532">
        <v>0.7</v>
      </c>
      <c r="E55" s="27"/>
      <c r="F55" s="27"/>
      <c r="G55" s="27"/>
      <c r="H55" s="27"/>
      <c r="I55" s="189" t="str">
        <f t="shared" si="2"/>
        <v/>
      </c>
      <c r="J55" s="189" t="str">
        <f t="shared" si="3"/>
        <v/>
      </c>
      <c r="K55" s="189" t="str">
        <f t="shared" si="4"/>
        <v/>
      </c>
      <c r="L55" s="189" t="str">
        <f t="shared" si="5"/>
        <v/>
      </c>
      <c r="M55" s="298">
        <f>MEX!N55</f>
        <v>0.36439145459337696</v>
      </c>
      <c r="N55" s="292">
        <f t="shared" si="6"/>
        <v>1.5787773430127712</v>
      </c>
      <c r="O55" s="664"/>
    </row>
    <row r="56" spans="1:15">
      <c r="A56" s="530" t="s">
        <v>259</v>
      </c>
      <c r="B56" s="530">
        <v>280</v>
      </c>
      <c r="C56" s="531">
        <v>4.4194018391452428E-3</v>
      </c>
      <c r="D56" s="532">
        <v>0.7</v>
      </c>
      <c r="E56" s="27"/>
      <c r="F56" s="27"/>
      <c r="G56" s="27"/>
      <c r="H56" s="27"/>
      <c r="I56" s="189" t="str">
        <f t="shared" si="2"/>
        <v/>
      </c>
      <c r="J56" s="189" t="str">
        <f t="shared" si="3"/>
        <v/>
      </c>
      <c r="K56" s="189" t="str">
        <f t="shared" si="4"/>
        <v/>
      </c>
      <c r="L56" s="189" t="str">
        <f t="shared" si="5"/>
        <v/>
      </c>
      <c r="M56" s="298">
        <f>MEX!N56</f>
        <v>0.17113977814246797</v>
      </c>
      <c r="N56" s="292">
        <f t="shared" si="6"/>
        <v>1.4412610516839326</v>
      </c>
      <c r="O56" s="664"/>
    </row>
    <row r="57" spans="1:15">
      <c r="A57" s="530" t="s">
        <v>248</v>
      </c>
      <c r="B57" s="530">
        <v>150</v>
      </c>
      <c r="C57" s="531">
        <v>1.8106573380958224E-2</v>
      </c>
      <c r="D57" s="532">
        <v>0.7</v>
      </c>
      <c r="E57" s="27"/>
      <c r="F57" s="27"/>
      <c r="G57" s="27"/>
      <c r="H57" s="27"/>
      <c r="I57" s="189" t="str">
        <f t="shared" si="2"/>
        <v/>
      </c>
      <c r="J57" s="189" t="str">
        <f t="shared" si="3"/>
        <v/>
      </c>
      <c r="K57" s="189" t="str">
        <f t="shared" si="4"/>
        <v/>
      </c>
      <c r="L57" s="189" t="str">
        <f t="shared" si="5"/>
        <v/>
      </c>
      <c r="M57" s="298">
        <f>MEX!N57</f>
        <v>6.2064089910257907E-2</v>
      </c>
      <c r="N57" s="292">
        <f t="shared" si="6"/>
        <v>1.4059584620549621</v>
      </c>
      <c r="O57" s="664"/>
    </row>
    <row r="58" spans="1:15">
      <c r="A58" s="530" t="s">
        <v>252</v>
      </c>
      <c r="B58" s="530">
        <v>200</v>
      </c>
      <c r="C58" s="531">
        <v>3.4310696270978269E-2</v>
      </c>
      <c r="D58" s="532">
        <v>0.7</v>
      </c>
      <c r="E58" s="27"/>
      <c r="F58" s="27"/>
      <c r="G58" s="27"/>
      <c r="H58" s="27"/>
      <c r="I58" s="189" t="str">
        <f t="shared" si="2"/>
        <v/>
      </c>
      <c r="J58" s="189" t="str">
        <f t="shared" si="3"/>
        <v/>
      </c>
      <c r="K58" s="189" t="str">
        <f t="shared" si="4"/>
        <v/>
      </c>
      <c r="L58" s="189" t="str">
        <f t="shared" si="5"/>
        <v/>
      </c>
      <c r="M58" s="298">
        <f>MEX!N58</f>
        <v>7.2669107176395728E-2</v>
      </c>
      <c r="N58" s="292">
        <f t="shared" si="6"/>
        <v>1.4091955478448173</v>
      </c>
      <c r="O58" s="664"/>
    </row>
    <row r="59" spans="1:15">
      <c r="A59" s="536" t="s">
        <v>256</v>
      </c>
      <c r="B59" s="536">
        <v>250</v>
      </c>
      <c r="C59" s="537">
        <v>2.1131819937898477E-2</v>
      </c>
      <c r="D59" s="538">
        <v>0.7</v>
      </c>
      <c r="E59" s="215"/>
      <c r="F59" s="215"/>
      <c r="G59" s="215"/>
      <c r="H59" s="215"/>
      <c r="I59" s="189" t="str">
        <f t="shared" si="2"/>
        <v/>
      </c>
      <c r="J59" s="189" t="str">
        <f t="shared" si="3"/>
        <v/>
      </c>
      <c r="K59" s="189" t="str">
        <f t="shared" si="4"/>
        <v/>
      </c>
      <c r="L59" s="189" t="str">
        <f t="shared" si="5"/>
        <v/>
      </c>
      <c r="M59" s="298">
        <f>MEX!N59</f>
        <v>0.11311464709562943</v>
      </c>
      <c r="N59" s="292">
        <f t="shared" si="6"/>
        <v>1.4187902976852591</v>
      </c>
      <c r="O59" s="664"/>
    </row>
    <row r="60" spans="1:15">
      <c r="A60" s="530" t="s">
        <v>260</v>
      </c>
      <c r="B60" s="530">
        <v>280</v>
      </c>
      <c r="C60" s="531">
        <v>6.5843794360531671E-3</v>
      </c>
      <c r="D60" s="532">
        <v>0.7</v>
      </c>
      <c r="E60" s="27"/>
      <c r="F60" s="27"/>
      <c r="G60" s="27"/>
      <c r="H60" s="27"/>
      <c r="I60" s="189" t="str">
        <f t="shared" si="2"/>
        <v/>
      </c>
      <c r="J60" s="189" t="str">
        <f t="shared" si="3"/>
        <v/>
      </c>
      <c r="K60" s="189" t="str">
        <f t="shared" si="4"/>
        <v/>
      </c>
      <c r="L60" s="189" t="str">
        <f t="shared" si="5"/>
        <v/>
      </c>
      <c r="M60" s="298">
        <f>MEX!N60</f>
        <v>8.8539895136358696E-2</v>
      </c>
      <c r="N60" s="292">
        <f t="shared" si="6"/>
        <v>1.4112160246869581</v>
      </c>
      <c r="O60" s="664"/>
    </row>
    <row r="61" spans="1:15">
      <c r="A61" s="530" t="s">
        <v>263</v>
      </c>
      <c r="B61" s="530">
        <v>300</v>
      </c>
      <c r="C61" s="531">
        <v>3.6523573759199568E-2</v>
      </c>
      <c r="D61" s="532">
        <v>0.7</v>
      </c>
      <c r="E61" s="27"/>
      <c r="F61" s="27"/>
      <c r="G61" s="27"/>
      <c r="H61" s="27"/>
      <c r="I61" s="189" t="str">
        <f t="shared" si="2"/>
        <v/>
      </c>
      <c r="J61" s="189" t="str">
        <f t="shared" si="3"/>
        <v/>
      </c>
      <c r="K61" s="189" t="str">
        <f t="shared" si="4"/>
        <v/>
      </c>
      <c r="L61" s="189" t="str">
        <f t="shared" si="5"/>
        <v/>
      </c>
      <c r="M61" s="298">
        <f>MEX!N61</f>
        <v>0.10132526843137067</v>
      </c>
      <c r="N61" s="292">
        <f t="shared" si="6"/>
        <v>1.4164756001609529</v>
      </c>
      <c r="O61" s="664"/>
    </row>
    <row r="62" spans="1:15">
      <c r="A62" s="530" t="s">
        <v>253</v>
      </c>
      <c r="B62" s="530">
        <v>200</v>
      </c>
      <c r="C62" s="531">
        <v>4.337244722024014E-2</v>
      </c>
      <c r="D62" s="532">
        <v>0.7</v>
      </c>
      <c r="E62" s="27"/>
      <c r="F62" s="27"/>
      <c r="G62" s="27"/>
      <c r="H62" s="27"/>
      <c r="I62" s="189" t="str">
        <f t="shared" si="2"/>
        <v/>
      </c>
      <c r="J62" s="189" t="str">
        <f t="shared" si="3"/>
        <v/>
      </c>
      <c r="K62" s="189" t="str">
        <f t="shared" si="4"/>
        <v/>
      </c>
      <c r="L62" s="189" t="str">
        <f t="shared" si="5"/>
        <v/>
      </c>
      <c r="M62" s="298">
        <f>MEX!N62</f>
        <v>0.40472678284159969</v>
      </c>
      <c r="N62" s="292">
        <f t="shared" si="6"/>
        <v>1.6194874966200683</v>
      </c>
      <c r="O62" s="664"/>
    </row>
    <row r="63" spans="1:15">
      <c r="A63" s="530" t="s">
        <v>257</v>
      </c>
      <c r="B63" s="530">
        <v>250</v>
      </c>
      <c r="C63" s="531">
        <v>2.2932238500854574E-2</v>
      </c>
      <c r="D63" s="532">
        <v>0.7</v>
      </c>
      <c r="E63" s="27"/>
      <c r="F63" s="27"/>
      <c r="G63" s="27"/>
      <c r="H63" s="27"/>
      <c r="I63" s="189" t="str">
        <f t="shared" si="2"/>
        <v/>
      </c>
      <c r="J63" s="189" t="str">
        <f t="shared" si="3"/>
        <v/>
      </c>
      <c r="K63" s="189" t="str">
        <f t="shared" si="4"/>
        <v/>
      </c>
      <c r="L63" s="189" t="str">
        <f t="shared" si="5"/>
        <v/>
      </c>
      <c r="M63" s="298">
        <f>MEX!N63</f>
        <v>0.13414301823574637</v>
      </c>
      <c r="N63" s="292">
        <f t="shared" si="6"/>
        <v>1.4262120976966306</v>
      </c>
      <c r="O63" s="664"/>
    </row>
    <row r="64" spans="1:15">
      <c r="A64" s="536" t="s">
        <v>261</v>
      </c>
      <c r="B64" s="536">
        <v>280</v>
      </c>
      <c r="C64" s="537">
        <v>1.2348840690852292E-2</v>
      </c>
      <c r="D64" s="538">
        <v>0.7</v>
      </c>
      <c r="E64" s="215"/>
      <c r="F64" s="215"/>
      <c r="G64" s="215"/>
      <c r="H64" s="215"/>
      <c r="I64" s="189" t="str">
        <f t="shared" si="2"/>
        <v/>
      </c>
      <c r="J64" s="189" t="str">
        <f t="shared" si="3"/>
        <v/>
      </c>
      <c r="K64" s="189" t="str">
        <f t="shared" si="4"/>
        <v/>
      </c>
      <c r="L64" s="189" t="str">
        <f t="shared" si="5"/>
        <v/>
      </c>
      <c r="M64" s="298">
        <f>MEX!N64</f>
        <v>0.1667341630388513</v>
      </c>
      <c r="N64" s="292">
        <f t="shared" si="6"/>
        <v>1.439378720129868</v>
      </c>
      <c r="O64" s="664"/>
    </row>
    <row r="65" spans="1:15">
      <c r="A65" s="536" t="s">
        <v>264</v>
      </c>
      <c r="B65" s="536">
        <v>300</v>
      </c>
      <c r="C65" s="537">
        <v>4.8897591546903652E-2</v>
      </c>
      <c r="D65" s="538">
        <v>0.7</v>
      </c>
      <c r="E65" s="215"/>
      <c r="F65" s="215"/>
      <c r="G65" s="215"/>
      <c r="H65" s="215"/>
      <c r="I65" s="189" t="str">
        <f t="shared" si="2"/>
        <v/>
      </c>
      <c r="J65" s="189" t="str">
        <f t="shared" si="3"/>
        <v/>
      </c>
      <c r="K65" s="189" t="str">
        <f t="shared" si="4"/>
        <v/>
      </c>
      <c r="L65" s="189" t="str">
        <f t="shared" si="5"/>
        <v/>
      </c>
      <c r="M65" s="298">
        <f>MEX!N65</f>
        <v>0.32870620147581092</v>
      </c>
      <c r="N65" s="292">
        <f t="shared" si="6"/>
        <v>1.5497596476199065</v>
      </c>
      <c r="O65" s="664"/>
    </row>
    <row r="66" spans="1:15">
      <c r="A66" s="530" t="s">
        <v>266</v>
      </c>
      <c r="B66" s="530">
        <v>320</v>
      </c>
      <c r="C66" s="531">
        <v>9.5486840275255114E-2</v>
      </c>
      <c r="D66" s="532">
        <v>0.7</v>
      </c>
      <c r="E66" s="27"/>
      <c r="F66" s="27"/>
      <c r="G66" s="27"/>
      <c r="H66" s="27"/>
      <c r="I66" s="189" t="str">
        <f t="shared" si="2"/>
        <v/>
      </c>
      <c r="J66" s="189" t="str">
        <f t="shared" si="3"/>
        <v/>
      </c>
      <c r="K66" s="189" t="str">
        <f t="shared" si="4"/>
        <v/>
      </c>
      <c r="L66" s="189" t="str">
        <f t="shared" si="5"/>
        <v/>
      </c>
      <c r="M66" s="298">
        <f>MEX!N66</f>
        <v>0.17284890319987489</v>
      </c>
      <c r="N66" s="292">
        <f t="shared" si="6"/>
        <v>1.4546401341956048</v>
      </c>
      <c r="O66" s="664"/>
    </row>
    <row r="67" spans="1:15">
      <c r="A67" s="530" t="s">
        <v>258</v>
      </c>
      <c r="B67" s="530">
        <v>250</v>
      </c>
      <c r="C67" s="531">
        <v>2.136910639520595E-2</v>
      </c>
      <c r="D67" s="532">
        <v>0.7</v>
      </c>
      <c r="E67" s="27"/>
      <c r="F67" s="27"/>
      <c r="G67" s="27"/>
      <c r="H67" s="27"/>
      <c r="I67" s="189" t="str">
        <f t="shared" si="2"/>
        <v/>
      </c>
      <c r="J67" s="189" t="str">
        <f t="shared" si="3"/>
        <v/>
      </c>
      <c r="K67" s="189" t="str">
        <f t="shared" si="4"/>
        <v/>
      </c>
      <c r="L67" s="189" t="str">
        <f t="shared" si="5"/>
        <v/>
      </c>
      <c r="M67" s="298">
        <f>MEX!N67</f>
        <v>0.26619164009598967</v>
      </c>
      <c r="N67" s="292">
        <f t="shared" si="6"/>
        <v>1.4984186704190821</v>
      </c>
      <c r="O67" s="664"/>
    </row>
    <row r="68" spans="1:15">
      <c r="A68" s="530" t="s">
        <v>262</v>
      </c>
      <c r="B68" s="530">
        <v>280</v>
      </c>
      <c r="C68" s="531">
        <v>2.1361000924056128E-2</v>
      </c>
      <c r="D68" s="532">
        <v>0.7</v>
      </c>
      <c r="E68" s="27"/>
      <c r="F68" s="27"/>
      <c r="G68" s="27"/>
      <c r="H68" s="27"/>
      <c r="I68" s="189" t="str">
        <f t="shared" si="2"/>
        <v/>
      </c>
      <c r="J68" s="189" t="str">
        <f t="shared" si="3"/>
        <v/>
      </c>
      <c r="K68" s="189" t="str">
        <f t="shared" si="4"/>
        <v/>
      </c>
      <c r="L68" s="189" t="str">
        <f t="shared" si="5"/>
        <v/>
      </c>
      <c r="M68" s="298">
        <f>MEX!N68</f>
        <v>9.8947566664914804E-2</v>
      </c>
      <c r="N68" s="292">
        <f t="shared" si="6"/>
        <v>1.414562707424998</v>
      </c>
      <c r="O68" s="664"/>
    </row>
    <row r="69" spans="1:15">
      <c r="A69" s="530" t="s">
        <v>265</v>
      </c>
      <c r="B69" s="530">
        <v>300</v>
      </c>
      <c r="C69" s="531">
        <v>6.4281190736504845E-2</v>
      </c>
      <c r="D69" s="532">
        <v>0.7</v>
      </c>
      <c r="E69" s="27"/>
      <c r="F69" s="27"/>
      <c r="G69" s="27"/>
      <c r="H69" s="27"/>
      <c r="I69" s="189" t="str">
        <f t="shared" si="2"/>
        <v/>
      </c>
      <c r="J69" s="189" t="str">
        <f t="shared" si="3"/>
        <v/>
      </c>
      <c r="K69" s="189" t="str">
        <f t="shared" si="4"/>
        <v/>
      </c>
      <c r="L69" s="189" t="str">
        <f t="shared" si="5"/>
        <v/>
      </c>
      <c r="M69" s="298">
        <f>MEX!N69</f>
        <v>0.1011680572447128</v>
      </c>
      <c r="N69" s="292">
        <f t="shared" si="6"/>
        <v>1.4203760731428454</v>
      </c>
      <c r="O69" s="664"/>
    </row>
    <row r="70" spans="1:15">
      <c r="A70" s="530" t="s">
        <v>267</v>
      </c>
      <c r="B70" s="530">
        <v>320</v>
      </c>
      <c r="C70" s="531">
        <v>0.11796484531599982</v>
      </c>
      <c r="D70" s="532">
        <v>0.7</v>
      </c>
      <c r="E70" s="27"/>
      <c r="F70" s="27"/>
      <c r="G70" s="27"/>
      <c r="H70" s="27"/>
      <c r="I70" s="189" t="str">
        <f t="shared" si="2"/>
        <v/>
      </c>
      <c r="J70" s="189" t="str">
        <f t="shared" si="3"/>
        <v/>
      </c>
      <c r="K70" s="189" t="str">
        <f t="shared" si="4"/>
        <v/>
      </c>
      <c r="L70" s="189" t="str">
        <f t="shared" si="5"/>
        <v/>
      </c>
      <c r="M70" s="298">
        <f>MEX!N70</f>
        <v>6.8818695490915391E-2</v>
      </c>
      <c r="N70" s="292">
        <f t="shared" si="6"/>
        <v>1.4263964632310318</v>
      </c>
      <c r="O70" s="664"/>
    </row>
    <row r="71" spans="1:15">
      <c r="A71" s="540" t="s">
        <v>294</v>
      </c>
      <c r="B71" s="530">
        <v>250</v>
      </c>
      <c r="C71" s="531">
        <v>2.1131819937898477E-2</v>
      </c>
      <c r="D71" s="532">
        <v>0.7</v>
      </c>
      <c r="E71" s="27"/>
      <c r="F71" s="27"/>
      <c r="G71" s="27"/>
      <c r="H71" s="27"/>
      <c r="I71" s="189" t="str">
        <f t="shared" si="2"/>
        <v/>
      </c>
      <c r="J71" s="189" t="str">
        <f t="shared" si="3"/>
        <v/>
      </c>
      <c r="K71" s="189" t="str">
        <f t="shared" si="4"/>
        <v/>
      </c>
      <c r="L71" s="189" t="str">
        <f t="shared" si="5"/>
        <v/>
      </c>
      <c r="M71" s="298">
        <f>MEX!N71</f>
        <v>5.8190882175145953E-2</v>
      </c>
      <c r="N71" s="292">
        <f t="shared" si="6"/>
        <v>1.4054646670510211</v>
      </c>
      <c r="O71" s="664"/>
    </row>
    <row r="72" spans="1:15">
      <c r="A72" s="540" t="s">
        <v>293</v>
      </c>
      <c r="B72" s="530">
        <v>280</v>
      </c>
      <c r="C72" s="531">
        <v>1.2348840690852292E-2</v>
      </c>
      <c r="D72" s="532">
        <v>0.7</v>
      </c>
      <c r="E72" s="27"/>
      <c r="F72" s="27"/>
      <c r="G72" s="27"/>
      <c r="H72" s="27"/>
      <c r="I72" s="189" t="str">
        <f t="shared" si="2"/>
        <v/>
      </c>
      <c r="J72" s="189" t="str">
        <f t="shared" si="3"/>
        <v/>
      </c>
      <c r="K72" s="189" t="str">
        <f t="shared" si="4"/>
        <v/>
      </c>
      <c r="L72" s="189" t="str">
        <f t="shared" si="5"/>
        <v/>
      </c>
      <c r="M72" s="298">
        <f>MEX!N72</f>
        <v>9.3441430532945222E-2</v>
      </c>
      <c r="N72" s="292">
        <f t="shared" si="6"/>
        <v>1.4126341278709802</v>
      </c>
      <c r="O72" s="664"/>
    </row>
    <row r="73" spans="1:15">
      <c r="A73" s="536" t="s">
        <v>292</v>
      </c>
      <c r="B73" s="536">
        <v>300</v>
      </c>
      <c r="C73" s="537">
        <v>4.8897591546903652E-2</v>
      </c>
      <c r="D73" s="538">
        <v>0.7</v>
      </c>
      <c r="E73" s="215"/>
      <c r="F73" s="215"/>
      <c r="G73" s="215"/>
      <c r="H73" s="215"/>
      <c r="I73" s="189" t="str">
        <f t="shared" si="2"/>
        <v/>
      </c>
      <c r="J73" s="189" t="str">
        <f t="shared" si="3"/>
        <v/>
      </c>
      <c r="K73" s="189" t="str">
        <f t="shared" si="4"/>
        <v/>
      </c>
      <c r="L73" s="189" t="str">
        <f t="shared" si="5"/>
        <v/>
      </c>
      <c r="M73" s="298">
        <f>MEX!N73</f>
        <v>8.3359061800341791E-2</v>
      </c>
      <c r="N73" s="292">
        <f t="shared" si="6"/>
        <v>1.4132794594747651</v>
      </c>
      <c r="O73" s="664"/>
    </row>
  </sheetData>
  <sheetProtection sheet="1" objects="1" scenarios="1"/>
  <mergeCells count="9">
    <mergeCell ref="B3:J3"/>
    <mergeCell ref="C8:D8"/>
    <mergeCell ref="I7:L7"/>
    <mergeCell ref="I8:L8"/>
    <mergeCell ref="E7:H7"/>
    <mergeCell ref="E8:H8"/>
    <mergeCell ref="B4:C4"/>
    <mergeCell ref="B5:C5"/>
    <mergeCell ref="C7:D7"/>
  </mergeCells>
  <pageMargins left="0.7" right="0.7" top="0.75" bottom="0.75" header="0.3" footer="0.3"/>
  <pageSetup paperSize="9" scale="56"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X138"/>
  <sheetViews>
    <sheetView workbookViewId="0">
      <selection activeCell="U8" sqref="U8"/>
    </sheetView>
  </sheetViews>
  <sheetFormatPr defaultRowHeight="12.75"/>
  <cols>
    <col min="11" max="11" width="3.85546875" customWidth="1"/>
  </cols>
  <sheetData>
    <row r="1" spans="1:21">
      <c r="A1" s="5" t="s">
        <v>290</v>
      </c>
    </row>
    <row r="5" spans="1:21">
      <c r="A5" s="5" t="s">
        <v>297</v>
      </c>
      <c r="L5" s="5" t="s">
        <v>291</v>
      </c>
    </row>
    <row r="7" spans="1:21" ht="63" customHeight="1">
      <c r="A7" s="77" t="s">
        <v>278</v>
      </c>
      <c r="B7" s="77" t="s">
        <v>279</v>
      </c>
      <c r="C7" s="77" t="s">
        <v>280</v>
      </c>
      <c r="D7" s="77" t="s">
        <v>281</v>
      </c>
      <c r="E7" s="77" t="s">
        <v>287</v>
      </c>
      <c r="F7" s="77" t="s">
        <v>288</v>
      </c>
      <c r="G7" s="77" t="s">
        <v>282</v>
      </c>
      <c r="H7" s="77" t="s">
        <v>283</v>
      </c>
      <c r="I7" s="77" t="s">
        <v>299</v>
      </c>
      <c r="J7" s="77" t="s">
        <v>284</v>
      </c>
      <c r="L7" s="77" t="s">
        <v>278</v>
      </c>
      <c r="M7" s="77" t="s">
        <v>279</v>
      </c>
      <c r="N7" s="77" t="s">
        <v>280</v>
      </c>
      <c r="O7" s="77" t="s">
        <v>281</v>
      </c>
      <c r="P7" s="77" t="s">
        <v>287</v>
      </c>
      <c r="Q7" s="77" t="s">
        <v>288</v>
      </c>
      <c r="R7" s="77" t="s">
        <v>300</v>
      </c>
      <c r="S7" s="77" t="s">
        <v>283</v>
      </c>
      <c r="T7" s="77" t="s">
        <v>299</v>
      </c>
      <c r="U7" s="77" t="s">
        <v>284</v>
      </c>
    </row>
    <row r="8" spans="1:21">
      <c r="A8" s="79" t="str">
        <f>L13</f>
        <v>NXA50</v>
      </c>
      <c r="B8" s="79">
        <f>M13</f>
        <v>50</v>
      </c>
      <c r="C8" s="80">
        <f>N13</f>
        <v>4</v>
      </c>
      <c r="D8" s="80"/>
      <c r="E8" s="81">
        <f t="shared" ref="E8:J8" si="0">P13</f>
        <v>2.3884184190002435</v>
      </c>
      <c r="F8" s="81">
        <f t="shared" si="0"/>
        <v>7.9990307372596242E-2</v>
      </c>
      <c r="G8" s="80">
        <f t="shared" si="0"/>
        <v>29.934000000000001</v>
      </c>
      <c r="H8" s="80">
        <f t="shared" si="0"/>
        <v>0.36494547749932849</v>
      </c>
      <c r="I8" s="81">
        <f t="shared" si="0"/>
        <v>45.021741124033042</v>
      </c>
      <c r="J8" s="80">
        <f t="shared" si="0"/>
        <v>1.4264646955572411</v>
      </c>
      <c r="L8" s="79" t="str">
        <f>MEXtabs!L77</f>
        <v>NXJ40</v>
      </c>
      <c r="M8" s="79">
        <f>MEXtabs!M77</f>
        <v>40</v>
      </c>
      <c r="N8" s="80">
        <f>MEXtabs!N77</f>
        <v>0.5</v>
      </c>
      <c r="O8" s="80"/>
      <c r="P8" s="81">
        <f>MEXtabs!P77</f>
        <v>0.57492783060838692</v>
      </c>
      <c r="Q8" s="81"/>
      <c r="R8" s="80">
        <f>MEXtabs!R77</f>
        <v>17.956</v>
      </c>
      <c r="S8" s="80">
        <f>MEXtabs!S77</f>
        <v>1.8019770692792743</v>
      </c>
      <c r="T8" s="81">
        <f>MEXtabs!T77</f>
        <v>47.693535864374525</v>
      </c>
      <c r="U8" s="80">
        <f>MEXtabs!U77</f>
        <v>1.6982013766127411</v>
      </c>
    </row>
    <row r="9" spans="1:21">
      <c r="A9" s="82" t="str">
        <f>L20</f>
        <v>NXA70</v>
      </c>
      <c r="B9" s="82">
        <f>M20</f>
        <v>70</v>
      </c>
      <c r="C9" s="83">
        <f>N20</f>
        <v>4</v>
      </c>
      <c r="D9" s="83"/>
      <c r="E9" s="84">
        <f t="shared" ref="E9:J9" si="1">P20</f>
        <v>3.1929733252964523</v>
      </c>
      <c r="F9" s="84">
        <f t="shared" si="1"/>
        <v>0.11135967269909675</v>
      </c>
      <c r="G9" s="83">
        <f t="shared" si="1"/>
        <v>34.274999999999999</v>
      </c>
      <c r="H9" s="83">
        <f t="shared" si="1"/>
        <v>0.81063727072613534</v>
      </c>
      <c r="I9" s="84">
        <f t="shared" si="1"/>
        <v>44.974926824133554</v>
      </c>
      <c r="J9" s="83">
        <f t="shared" si="1"/>
        <v>1.4232694638915471</v>
      </c>
      <c r="L9" s="82" t="str">
        <f>MEXtabs!L84</f>
        <v>NXK40</v>
      </c>
      <c r="M9" s="82">
        <f>MEXtabs!M84</f>
        <v>40</v>
      </c>
      <c r="N9" s="83">
        <f>MEXtabs!N84</f>
        <v>1</v>
      </c>
      <c r="O9" s="82"/>
      <c r="P9" s="84">
        <f>MEXtabs!P84</f>
        <v>0.9258920135550176</v>
      </c>
      <c r="Q9" s="82"/>
      <c r="R9" s="83">
        <f>MEXtabs!R84</f>
        <v>20.93</v>
      </c>
      <c r="S9" s="83">
        <f>MEXtabs!S84</f>
        <v>1.0507108322148071</v>
      </c>
      <c r="T9" s="84">
        <f>MEXtabs!T84</f>
        <v>46.203313821965558</v>
      </c>
      <c r="U9" s="83">
        <f>MEXtabs!U84</f>
        <v>1.4949049878600507</v>
      </c>
    </row>
    <row r="10" spans="1:21">
      <c r="A10" s="82" t="str">
        <f>L31</f>
        <v>NXB100</v>
      </c>
      <c r="B10" s="82">
        <f>M31</f>
        <v>100</v>
      </c>
      <c r="C10" s="83">
        <f>N31</f>
        <v>4.5</v>
      </c>
      <c r="D10" s="83"/>
      <c r="E10" s="84">
        <f t="shared" ref="E10:J10" si="2">P31</f>
        <v>4.7352150332082985</v>
      </c>
      <c r="F10" s="84">
        <f t="shared" si="2"/>
        <v>0.18268575344478749</v>
      </c>
      <c r="G10" s="83">
        <f t="shared" si="2"/>
        <v>41.587000000000003</v>
      </c>
      <c r="H10" s="83">
        <f t="shared" si="2"/>
        <v>1.5509425824921932</v>
      </c>
      <c r="I10" s="84">
        <f t="shared" si="2"/>
        <v>44.778484986701471</v>
      </c>
      <c r="J10" s="83">
        <f t="shared" si="2"/>
        <v>1.404760785574442</v>
      </c>
      <c r="L10" s="82" t="str">
        <f>MEXtabs!L91</f>
        <v>NXA40</v>
      </c>
      <c r="M10" s="82">
        <f>MEXtabs!M91</f>
        <v>40</v>
      </c>
      <c r="N10" s="83">
        <f>MEXtabs!N91</f>
        <v>4</v>
      </c>
      <c r="O10" s="83"/>
      <c r="P10" s="84">
        <f>MEXtabs!P91</f>
        <v>1.8978864505991633</v>
      </c>
      <c r="Q10" s="84">
        <f>MEXtabs!Q91</f>
        <v>6.272293453927999E-2</v>
      </c>
      <c r="R10" s="83">
        <f>MEXtabs!R91</f>
        <v>27.068000000000001</v>
      </c>
      <c r="S10" s="83">
        <f>MEXtabs!S91</f>
        <v>0.16880655413586165</v>
      </c>
      <c r="T10" s="84">
        <f>MEXtabs!T91</f>
        <v>44.99892515741616</v>
      </c>
      <c r="U10" s="83">
        <f>MEXtabs!U91</f>
        <v>1.4417139643547501</v>
      </c>
    </row>
    <row r="11" spans="1:21">
      <c r="A11" s="82" t="str">
        <f>L35</f>
        <v>NXC120</v>
      </c>
      <c r="B11" s="82">
        <f>M35</f>
        <v>120</v>
      </c>
      <c r="C11" s="83">
        <f>N35</f>
        <v>6</v>
      </c>
      <c r="D11" s="83"/>
      <c r="E11" s="84">
        <f t="shared" ref="E11:J11" si="3">P35</f>
        <v>6.3769778478391608</v>
      </c>
      <c r="F11" s="84">
        <f t="shared" si="3"/>
        <v>0.28062311390349393</v>
      </c>
      <c r="G11" s="83">
        <f t="shared" si="3"/>
        <v>48.945</v>
      </c>
      <c r="H11" s="83">
        <f t="shared" si="3"/>
        <v>1.784368405695494</v>
      </c>
      <c r="I11" s="84">
        <f t="shared" si="3"/>
        <v>44.596340368679414</v>
      </c>
      <c r="J11" s="83">
        <f t="shared" si="3"/>
        <v>1.4063595223273275</v>
      </c>
      <c r="L11" s="79" t="str">
        <f>MEXtabs!L78</f>
        <v>NXJ50</v>
      </c>
      <c r="M11" s="79">
        <f>MEXtabs!M78</f>
        <v>50</v>
      </c>
      <c r="N11" s="80">
        <f>MEXtabs!N78</f>
        <v>0.5</v>
      </c>
      <c r="O11" s="80"/>
      <c r="P11" s="81">
        <f>MEXtabs!P78</f>
        <v>0.68410318438743511</v>
      </c>
      <c r="Q11" s="81"/>
      <c r="R11" s="80">
        <f>MEXtabs!R78</f>
        <v>19.5</v>
      </c>
      <c r="S11" s="80">
        <f>MEXtabs!S78</f>
        <v>2.737821518171756</v>
      </c>
      <c r="T11" s="81">
        <f>MEXtabs!T78</f>
        <v>47.316194322138813</v>
      </c>
      <c r="U11" s="80">
        <f>MEXtabs!U78</f>
        <v>1.530998724042586</v>
      </c>
    </row>
    <row r="12" spans="1:21">
      <c r="A12" s="82" t="str">
        <f>L40</f>
        <v>NXD140</v>
      </c>
      <c r="B12" s="82">
        <f>M40</f>
        <v>140</v>
      </c>
      <c r="C12" s="83">
        <f>N40</f>
        <v>9</v>
      </c>
      <c r="D12" s="83"/>
      <c r="E12" s="84">
        <f t="shared" ref="E12:J12" si="4">P40</f>
        <v>8.4359614589862257</v>
      </c>
      <c r="F12" s="84">
        <f t="shared" si="4"/>
        <v>0.45081671702125536</v>
      </c>
      <c r="G12" s="83">
        <f t="shared" si="4"/>
        <v>58.063000000000002</v>
      </c>
      <c r="H12" s="83">
        <f t="shared" si="4"/>
        <v>1.7690624666352799</v>
      </c>
      <c r="I12" s="84">
        <f t="shared" si="4"/>
        <v>44.384979291011668</v>
      </c>
      <c r="J12" s="83">
        <f t="shared" si="4"/>
        <v>1.4143993050722117</v>
      </c>
      <c r="L12" s="82" t="str">
        <f>MEXtabs!L85</f>
        <v>NXK50</v>
      </c>
      <c r="M12" s="82">
        <f>MEXtabs!M85</f>
        <v>50</v>
      </c>
      <c r="N12" s="83">
        <f>MEXtabs!N85</f>
        <v>1</v>
      </c>
      <c r="O12" s="82"/>
      <c r="P12" s="84">
        <f>MEXtabs!P85</f>
        <v>1.1174180366661788</v>
      </c>
      <c r="Q12" s="82"/>
      <c r="R12" s="83">
        <f>MEXtabs!R85</f>
        <v>22.646000000000001</v>
      </c>
      <c r="S12" s="83">
        <f>MEXtabs!S85</f>
        <v>1.5824054702653265</v>
      </c>
      <c r="T12" s="84">
        <f>MEXtabs!T85</f>
        <v>45.914809793111083</v>
      </c>
      <c r="U12" s="83">
        <f>MEXtabs!U85</f>
        <v>1.5247315580035847</v>
      </c>
    </row>
    <row r="13" spans="1:21">
      <c r="A13" s="82" t="str">
        <f>L45</f>
        <v>NXE150</v>
      </c>
      <c r="B13" s="82">
        <f>M45</f>
        <v>150</v>
      </c>
      <c r="C13" s="83">
        <f>N45</f>
        <v>4</v>
      </c>
      <c r="D13" s="83">
        <f>O45</f>
        <v>0.5</v>
      </c>
      <c r="E13" s="84"/>
      <c r="F13" s="84">
        <f>Q45</f>
        <v>0.83812332024006297</v>
      </c>
      <c r="G13" s="83">
        <f>R45</f>
        <v>72.150000000000006</v>
      </c>
      <c r="H13" s="83">
        <f>S45</f>
        <v>1.4090771030362672</v>
      </c>
      <c r="I13" s="84">
        <f>T45</f>
        <v>44.039866906401102</v>
      </c>
      <c r="J13" s="83">
        <f>U45</f>
        <v>1.4254696449329258</v>
      </c>
      <c r="L13" s="82" t="str">
        <f>MEXtabs!L92</f>
        <v>NXA50</v>
      </c>
      <c r="M13" s="82">
        <f>MEXtabs!M92</f>
        <v>50</v>
      </c>
      <c r="N13" s="83">
        <f>MEXtabs!N92</f>
        <v>4</v>
      </c>
      <c r="O13" s="83"/>
      <c r="P13" s="84">
        <f>MEXtabs!P92</f>
        <v>2.3884184190002435</v>
      </c>
      <c r="Q13" s="84">
        <f>MEXtabs!Q92</f>
        <v>7.9990307372596242E-2</v>
      </c>
      <c r="R13" s="83">
        <f>MEXtabs!R92</f>
        <v>29.934000000000001</v>
      </c>
      <c r="S13" s="83">
        <f>MEXtabs!S92</f>
        <v>0.36494547749932849</v>
      </c>
      <c r="T13" s="84">
        <f>MEXtabs!T92</f>
        <v>45.021741124033042</v>
      </c>
      <c r="U13" s="83">
        <f>MEXtabs!U92</f>
        <v>1.4264646955572411</v>
      </c>
    </row>
    <row r="14" spans="1:21">
      <c r="A14" s="82" t="str">
        <f>L50</f>
        <v>NXF200</v>
      </c>
      <c r="B14" s="82">
        <f>M50</f>
        <v>200</v>
      </c>
      <c r="C14" s="83">
        <f>N50</f>
        <v>4</v>
      </c>
      <c r="D14" s="83">
        <f>O50</f>
        <v>1</v>
      </c>
      <c r="E14" s="84"/>
      <c r="F14" s="84">
        <f>Q50</f>
        <v>1.6296937192778045</v>
      </c>
      <c r="G14" s="83">
        <f>R50</f>
        <v>94.739000000000004</v>
      </c>
      <c r="H14" s="83">
        <f>S50</f>
        <v>1.5697420354036626</v>
      </c>
      <c r="I14" s="84">
        <f>T50</f>
        <v>43.690424941977597</v>
      </c>
      <c r="J14" s="83">
        <f>U50</f>
        <v>1.4020436126959597</v>
      </c>
      <c r="L14" s="85" t="str">
        <f>MEXtabs!L97</f>
        <v>NXB50</v>
      </c>
      <c r="M14" s="85">
        <f>MEXtabs!M97</f>
        <v>50</v>
      </c>
      <c r="N14" s="86">
        <f>MEXtabs!N97</f>
        <v>4.5</v>
      </c>
      <c r="O14" s="86"/>
      <c r="P14" s="87">
        <f>MEXtabs!P97</f>
        <v>2.5292585864499295</v>
      </c>
      <c r="Q14" s="87">
        <f>MEXtabs!Q97</f>
        <v>8.4996170866672577E-2</v>
      </c>
      <c r="R14" s="86">
        <f>MEXtabs!R97</f>
        <v>30.623000000000001</v>
      </c>
      <c r="S14" s="86">
        <f>MEXtabs!S97</f>
        <v>0.31069524293476081</v>
      </c>
      <c r="T14" s="87">
        <f>MEXtabs!T97</f>
        <v>44.909193923534019</v>
      </c>
      <c r="U14" s="86">
        <f>MEXtabs!U97</f>
        <v>1.5165485274712465</v>
      </c>
    </row>
    <row r="15" spans="1:21">
      <c r="A15" s="82" t="str">
        <f>L55</f>
        <v>NXG250</v>
      </c>
      <c r="B15" s="82">
        <f>M55</f>
        <v>250</v>
      </c>
      <c r="C15" s="83">
        <f>N55</f>
        <v>4</v>
      </c>
      <c r="D15" s="83">
        <f>O55</f>
        <v>1.6</v>
      </c>
      <c r="E15" s="84"/>
      <c r="F15" s="84">
        <f>Q55</f>
        <v>2.5711570771389516</v>
      </c>
      <c r="G15" s="83">
        <f>R55</f>
        <v>120.09699999999999</v>
      </c>
      <c r="H15" s="83">
        <f>S55</f>
        <v>1.7745433399352215</v>
      </c>
      <c r="I15" s="84">
        <f>T55</f>
        <v>43.515276381229619</v>
      </c>
      <c r="J15" s="83">
        <f>U55</f>
        <v>1.4187902976852591</v>
      </c>
      <c r="L15" s="82" t="str">
        <f>MEXtabs!L79</f>
        <v>NXJ60</v>
      </c>
      <c r="M15" s="82">
        <f>MEXtabs!M79</f>
        <v>60</v>
      </c>
      <c r="N15" s="83">
        <f>MEXtabs!N79</f>
        <v>0.5</v>
      </c>
      <c r="O15" s="83"/>
      <c r="P15" s="84">
        <f>MEXtabs!P79</f>
        <v>0.78881379165109278</v>
      </c>
      <c r="Q15" s="84"/>
      <c r="R15" s="83">
        <f>MEXtabs!R79</f>
        <v>20.856999999999999</v>
      </c>
      <c r="S15" s="83">
        <f>MEXtabs!S79</f>
        <v>3.4684158768750319</v>
      </c>
      <c r="T15" s="84">
        <f>MEXtabs!T79</f>
        <v>46.813271686133454</v>
      </c>
      <c r="U15" s="83">
        <f>MEXtabs!U79</f>
        <v>1.6244123449245849</v>
      </c>
    </row>
    <row r="16" spans="1:21">
      <c r="A16" s="82" t="str">
        <f>L60</f>
        <v>NXH280</v>
      </c>
      <c r="B16" s="82">
        <f>M60</f>
        <v>280</v>
      </c>
      <c r="C16" s="83">
        <f>N60</f>
        <v>4</v>
      </c>
      <c r="D16" s="83">
        <f>O60</f>
        <v>3</v>
      </c>
      <c r="E16" s="84"/>
      <c r="F16" s="84">
        <f>Q60</f>
        <v>3.5006101210159413</v>
      </c>
      <c r="G16" s="83">
        <f>R60</f>
        <v>147.05000000000001</v>
      </c>
      <c r="H16" s="83">
        <f>S60</f>
        <v>1.3743566100374649</v>
      </c>
      <c r="I16" s="84">
        <f>T60</f>
        <v>43.332123291107912</v>
      </c>
      <c r="J16" s="83">
        <f>U60</f>
        <v>1.439378720129868</v>
      </c>
      <c r="L16" s="82" t="str">
        <f>MEXtabs!L86</f>
        <v>NXK60</v>
      </c>
      <c r="M16" s="82">
        <f>MEXtabs!M86</f>
        <v>60</v>
      </c>
      <c r="N16" s="83">
        <f>MEXtabs!N86</f>
        <v>1</v>
      </c>
      <c r="O16" s="82"/>
      <c r="P16" s="84">
        <f>MEXtabs!P86</f>
        <v>1.2886011015031504</v>
      </c>
      <c r="Q16" s="82"/>
      <c r="R16" s="83">
        <f>MEXtabs!R86</f>
        <v>24.094999999999999</v>
      </c>
      <c r="S16" s="83">
        <f>MEXtabs!S86</f>
        <v>2.114331045347686</v>
      </c>
      <c r="T16" s="84">
        <f>MEXtabs!T86</f>
        <v>45.792090469114378</v>
      </c>
      <c r="U16" s="83">
        <f>MEXtabs!U86</f>
        <v>1.5168225421997155</v>
      </c>
    </row>
    <row r="17" spans="1:21">
      <c r="A17" s="85" t="str">
        <f>L63</f>
        <v>NXH300</v>
      </c>
      <c r="B17" s="85">
        <f>M63</f>
        <v>300</v>
      </c>
      <c r="C17" s="86">
        <f>N63</f>
        <v>4</v>
      </c>
      <c r="D17" s="86">
        <f>O63</f>
        <v>3</v>
      </c>
      <c r="E17" s="87"/>
      <c r="F17" s="87">
        <f>Q63</f>
        <v>3.7047905897248823</v>
      </c>
      <c r="G17" s="86">
        <f>R63</f>
        <v>153.21</v>
      </c>
      <c r="H17" s="86">
        <f>S63</f>
        <v>1.6807536584989653</v>
      </c>
      <c r="I17" s="87">
        <f>T63</f>
        <v>43.270125968459105</v>
      </c>
      <c r="J17" s="86">
        <f>U63</f>
        <v>1.5497596476199065</v>
      </c>
      <c r="L17" s="82" t="str">
        <f>MEXtabs!L93</f>
        <v>NXA60</v>
      </c>
      <c r="M17" s="82">
        <f>MEXtabs!M93</f>
        <v>60</v>
      </c>
      <c r="N17" s="83">
        <f>MEXtabs!N93</f>
        <v>4</v>
      </c>
      <c r="O17" s="83"/>
      <c r="P17" s="84">
        <f>MEXtabs!P93</f>
        <v>2.8058625894538358</v>
      </c>
      <c r="Q17" s="84">
        <f>MEXtabs!Q93</f>
        <v>9.5799660048102947E-2</v>
      </c>
      <c r="R17" s="83">
        <f>MEXtabs!R93</f>
        <v>32.250999999999998</v>
      </c>
      <c r="S17" s="83">
        <f>MEXtabs!S93</f>
        <v>0.57718311185013538</v>
      </c>
      <c r="T17" s="84">
        <f>MEXtabs!T93</f>
        <v>45.047957186376919</v>
      </c>
      <c r="U17" s="83">
        <f>MEXtabs!U93</f>
        <v>1.4146540518536439</v>
      </c>
    </row>
    <row r="18" spans="1:21">
      <c r="A18" s="85" t="str">
        <f>L69</f>
        <v>NXH300*</v>
      </c>
      <c r="B18" s="85">
        <f>M69</f>
        <v>300</v>
      </c>
      <c r="C18" s="86">
        <f>N69</f>
        <v>4</v>
      </c>
      <c r="D18" s="86">
        <f>O69</f>
        <v>3</v>
      </c>
      <c r="E18" s="87"/>
      <c r="F18" s="87">
        <f>Q69</f>
        <v>3.7047905897248823</v>
      </c>
      <c r="G18" s="86">
        <f>R69</f>
        <v>153.21</v>
      </c>
      <c r="H18" s="86">
        <f>S69</f>
        <v>1.6807536584989653</v>
      </c>
      <c r="I18" s="87">
        <f>T69</f>
        <v>43.273786206386291</v>
      </c>
      <c r="J18" s="86">
        <f>U69</f>
        <v>1.4132794594747651</v>
      </c>
      <c r="L18" s="79" t="str">
        <f>MEXtabs!L80</f>
        <v>NXJ70</v>
      </c>
      <c r="M18" s="79">
        <f>MEXtabs!M80</f>
        <v>70</v>
      </c>
      <c r="N18" s="80">
        <f>MEXtabs!N80</f>
        <v>0.5</v>
      </c>
      <c r="O18" s="80"/>
      <c r="P18" s="81">
        <f>MEXtabs!P80</f>
        <v>0.89521104032277998</v>
      </c>
      <c r="Q18" s="81"/>
      <c r="R18" s="80">
        <f>MEXtabs!R80</f>
        <v>22.146999999999998</v>
      </c>
      <c r="S18" s="80">
        <f>MEXtabs!S80</f>
        <v>4.1450178898030403</v>
      </c>
      <c r="T18" s="81">
        <f>MEXtabs!T80</f>
        <v>46.58433497953672</v>
      </c>
      <c r="U18" s="80">
        <f>MEXtabs!U80</f>
        <v>1.4850535776462437</v>
      </c>
    </row>
    <row r="19" spans="1:21" ht="12.75" customHeight="1">
      <c r="L19" s="82" t="str">
        <f>MEXtabs!L87</f>
        <v>NXK70</v>
      </c>
      <c r="M19" s="82">
        <f>MEXtabs!M87</f>
        <v>70</v>
      </c>
      <c r="N19" s="83">
        <f>MEXtabs!N87</f>
        <v>1</v>
      </c>
      <c r="O19" s="82"/>
      <c r="P19" s="84">
        <f>MEXtabs!P87</f>
        <v>1.4584444510077763</v>
      </c>
      <c r="Q19" s="82"/>
      <c r="R19" s="83">
        <f>MEXtabs!R87</f>
        <v>25.442</v>
      </c>
      <c r="S19" s="83">
        <f>MEXtabs!S87</f>
        <v>2.6337193158119625</v>
      </c>
      <c r="T19" s="84">
        <f>MEXtabs!T87</f>
        <v>45.625916563366793</v>
      </c>
      <c r="U19" s="83">
        <f>MEXtabs!U87</f>
        <v>1.4340013881845419</v>
      </c>
    </row>
    <row r="20" spans="1:21" ht="12.75" customHeight="1">
      <c r="L20" s="82" t="str">
        <f>MEXtabs!L94</f>
        <v>NXA70</v>
      </c>
      <c r="M20" s="82">
        <f>MEXtabs!M94</f>
        <v>70</v>
      </c>
      <c r="N20" s="83">
        <f>MEXtabs!N94</f>
        <v>4</v>
      </c>
      <c r="O20" s="83"/>
      <c r="P20" s="84">
        <f>MEXtabs!P94</f>
        <v>3.1929733252964523</v>
      </c>
      <c r="Q20" s="84">
        <f>MEXtabs!Q94</f>
        <v>0.11135967269909675</v>
      </c>
      <c r="R20" s="83">
        <f>MEXtabs!R94</f>
        <v>34.274999999999999</v>
      </c>
      <c r="S20" s="83">
        <f>MEXtabs!S94</f>
        <v>0.81063727072613534</v>
      </c>
      <c r="T20" s="84">
        <f>MEXtabs!T94</f>
        <v>44.974926824133554</v>
      </c>
      <c r="U20" s="83">
        <f>MEXtabs!U94</f>
        <v>1.4232694638915471</v>
      </c>
    </row>
    <row r="21" spans="1:21" ht="13.5" customHeight="1">
      <c r="L21" s="82" t="str">
        <f>MEXtabs!L98</f>
        <v>NXB70</v>
      </c>
      <c r="M21" s="82">
        <f>MEXtabs!M98</f>
        <v>70</v>
      </c>
      <c r="N21" s="83">
        <f>MEXtabs!N98</f>
        <v>4.5</v>
      </c>
      <c r="O21" s="83"/>
      <c r="P21" s="84">
        <f>MEXtabs!P98</f>
        <v>3.3915742452383575</v>
      </c>
      <c r="Q21" s="84">
        <f>MEXtabs!Q98</f>
        <v>0.11942976937282476</v>
      </c>
      <c r="R21" s="83">
        <f>MEXtabs!R98</f>
        <v>35.19</v>
      </c>
      <c r="S21" s="83">
        <f>MEXtabs!S98</f>
        <v>0.71410395997552412</v>
      </c>
      <c r="T21" s="84">
        <f>MEXtabs!T98</f>
        <v>44.93060349187283</v>
      </c>
      <c r="U21" s="83">
        <f>MEXtabs!U98</f>
        <v>1.4151641603155192</v>
      </c>
    </row>
    <row r="22" spans="1:21">
      <c r="L22" s="85" t="str">
        <f>MEXtabs!L102</f>
        <v>NXC70</v>
      </c>
      <c r="M22" s="85">
        <f>MEXtabs!M102</f>
        <v>70</v>
      </c>
      <c r="N22" s="86">
        <f>MEXtabs!N102</f>
        <v>6</v>
      </c>
      <c r="O22" s="86"/>
      <c r="P22" s="87">
        <f>P102</f>
        <v>3.9520687461764625</v>
      </c>
      <c r="Q22" s="87">
        <f>MEXtabs!Q102</f>
        <v>0.14140515813491988</v>
      </c>
      <c r="R22" s="86">
        <f>MEXtabs!R102</f>
        <v>37.509</v>
      </c>
      <c r="S22" s="86">
        <f>MEXtabs!S102</f>
        <v>0.51116160491747753</v>
      </c>
      <c r="T22" s="87">
        <f>MEXtabs!T102</f>
        <v>44.834642207686024</v>
      </c>
      <c r="U22" s="86">
        <f>MEXtabs!U102</f>
        <v>1.5185628092241839</v>
      </c>
    </row>
    <row r="23" spans="1:21">
      <c r="L23" s="82" t="str">
        <f>MEXtabs!L81</f>
        <v>NXJ80</v>
      </c>
      <c r="M23" s="82">
        <f>MEXtabs!M81</f>
        <v>80</v>
      </c>
      <c r="N23" s="83">
        <f>MEXtabs!N81</f>
        <v>0.5</v>
      </c>
      <c r="O23" s="83"/>
      <c r="P23" s="84">
        <f>MEXtabs!P81</f>
        <v>1.0168942180395382</v>
      </c>
      <c r="Q23" s="84"/>
      <c r="R23" s="83">
        <f>MEXtabs!R81</f>
        <v>23.48</v>
      </c>
      <c r="S23" s="83">
        <f>MEXtabs!S81</f>
        <v>4.8068940348088303</v>
      </c>
      <c r="T23" s="84">
        <f>MEXtabs!T81</f>
        <v>46.356066401222279</v>
      </c>
      <c r="U23" s="83">
        <f>MEXtabs!U81</f>
        <v>1.4984696517596319</v>
      </c>
    </row>
    <row r="24" spans="1:21">
      <c r="L24" s="82" t="str">
        <f>MEXtabs!L88</f>
        <v>NXK80</v>
      </c>
      <c r="M24" s="82">
        <f>MEXtabs!M88</f>
        <v>80</v>
      </c>
      <c r="N24" s="83">
        <f>MEXtabs!N88</f>
        <v>1</v>
      </c>
      <c r="O24" s="82"/>
      <c r="P24" s="84">
        <f>MEXtabs!P88</f>
        <v>1.6431678445072386</v>
      </c>
      <c r="Q24" s="82"/>
      <c r="R24" s="83">
        <f>MEXtabs!R88</f>
        <v>26.841999999999999</v>
      </c>
      <c r="S24" s="83">
        <f>MEXtabs!S88</f>
        <v>3.1672754372213583</v>
      </c>
      <c r="T24" s="84">
        <f>MEXtabs!T88</f>
        <v>45.516912000756918</v>
      </c>
      <c r="U24" s="83">
        <f>MEXtabs!U88</f>
        <v>1.4453192007367925</v>
      </c>
    </row>
    <row r="25" spans="1:21">
      <c r="L25" s="82" t="str">
        <f>MEXtabs!L95</f>
        <v>NXA80</v>
      </c>
      <c r="M25" s="82">
        <f>MEXtabs!M95</f>
        <v>80</v>
      </c>
      <c r="N25" s="83">
        <f>MEXtabs!N95</f>
        <v>4</v>
      </c>
      <c r="O25" s="83"/>
      <c r="P25" s="84">
        <f>MEXtabs!P95</f>
        <v>3.6197123995759788</v>
      </c>
      <c r="Q25" s="84">
        <f>MEXtabs!Q95</f>
        <v>0.12923885884326811</v>
      </c>
      <c r="R25" s="83">
        <f>MEXtabs!R95</f>
        <v>36.328000000000003</v>
      </c>
      <c r="S25" s="83">
        <f>MEXtabs!S95</f>
        <v>1.0802880729181519</v>
      </c>
      <c r="T25" s="84">
        <f>MEXtabs!T95</f>
        <v>44.884206076157788</v>
      </c>
      <c r="U25" s="83">
        <f>MEXtabs!U95</f>
        <v>1.406671099710582</v>
      </c>
    </row>
    <row r="26" spans="1:21">
      <c r="L26" s="79" t="str">
        <f>MEXtabs!L82</f>
        <v>NXJ90</v>
      </c>
      <c r="M26" s="79">
        <f>MEXtabs!M82</f>
        <v>90</v>
      </c>
      <c r="N26" s="80">
        <f>MEXtabs!N82</f>
        <v>0.5</v>
      </c>
      <c r="O26" s="80"/>
      <c r="P26" s="81">
        <f>MEXtabs!P82</f>
        <v>1.1524525686905205</v>
      </c>
      <c r="Q26" s="81"/>
      <c r="R26" s="80">
        <f>MEXtabs!R82</f>
        <v>24.878</v>
      </c>
      <c r="S26" s="80">
        <f>MEXtabs!S82</f>
        <v>5.4523121200535467</v>
      </c>
      <c r="T26" s="81">
        <f>MEXtabs!T82</f>
        <v>46.158010183854593</v>
      </c>
      <c r="U26" s="80">
        <f>MEXtabs!U82</f>
        <v>1.4694746491855002</v>
      </c>
    </row>
    <row r="27" spans="1:21">
      <c r="L27" s="82" t="str">
        <f>MEXtabs!L89</f>
        <v>NXK90</v>
      </c>
      <c r="M27" s="82">
        <f>MEXtabs!M89</f>
        <v>90</v>
      </c>
      <c r="N27" s="83">
        <f>MEXtabs!N89</f>
        <v>1</v>
      </c>
      <c r="O27" s="82"/>
      <c r="P27" s="84">
        <f>MEXtabs!P89</f>
        <v>1.8393319677543469</v>
      </c>
      <c r="Q27" s="82"/>
      <c r="R27" s="83">
        <f>MEXtabs!R89</f>
        <v>28.32</v>
      </c>
      <c r="S27" s="83">
        <f>MEXtabs!S89</f>
        <v>3.7092619856216902</v>
      </c>
      <c r="T27" s="84">
        <f>MEXtabs!T89</f>
        <v>45.379279329759093</v>
      </c>
      <c r="U27" s="83">
        <f>MEXtabs!U89</f>
        <v>1.4333938022152437</v>
      </c>
    </row>
    <row r="28" spans="1:21">
      <c r="L28" s="85" t="str">
        <f>MEXtabs!L96</f>
        <v>NXA90</v>
      </c>
      <c r="M28" s="85">
        <f>MEXtabs!M96</f>
        <v>90</v>
      </c>
      <c r="N28" s="86">
        <f>MEXtabs!N96</f>
        <v>4</v>
      </c>
      <c r="O28" s="86"/>
      <c r="P28" s="87">
        <f>MEXtabs!P96</f>
        <v>4.0393687541302778</v>
      </c>
      <c r="Q28" s="87">
        <f>MEXtabs!Q96</f>
        <v>0.14848211806760514</v>
      </c>
      <c r="R28" s="86">
        <f>MEXtabs!R96</f>
        <v>38.384999999999998</v>
      </c>
      <c r="S28" s="86">
        <f>MEXtabs!S96</f>
        <v>1.3821064635114191</v>
      </c>
      <c r="T28" s="87">
        <f>MEXtabs!T96</f>
        <v>44.84083069639663</v>
      </c>
      <c r="U28" s="86">
        <f>MEXtabs!U96</f>
        <v>1.413034349894986</v>
      </c>
    </row>
    <row r="29" spans="1:21">
      <c r="L29" s="82" t="str">
        <f>MEXtabs!L83</f>
        <v>NXJ100</v>
      </c>
      <c r="M29" s="82">
        <f>MEXtabs!M83</f>
        <v>100</v>
      </c>
      <c r="N29" s="83">
        <f>MEXtabs!N83</f>
        <v>0.5</v>
      </c>
      <c r="O29" s="83"/>
      <c r="P29" s="84">
        <f>MEXtabs!P83</f>
        <v>1.3031305701207649</v>
      </c>
      <c r="Q29" s="84"/>
      <c r="R29" s="83">
        <f>MEXtabs!R83</f>
        <v>26.34</v>
      </c>
      <c r="S29" s="83">
        <f>MEXtabs!S83</f>
        <v>6.083126630200046</v>
      </c>
      <c r="T29" s="84">
        <f>MEXtabs!T83</f>
        <v>45.974847556635403</v>
      </c>
      <c r="U29" s="83">
        <f>MEXtabs!U83</f>
        <v>1.4418748489186048</v>
      </c>
    </row>
    <row r="30" spans="1:21">
      <c r="L30" s="82" t="str">
        <f>MEXtabs!L90</f>
        <v>NXK100</v>
      </c>
      <c r="M30" s="82">
        <f>MEXtabs!M90</f>
        <v>100</v>
      </c>
      <c r="N30" s="83">
        <f>MEXtabs!N90</f>
        <v>1</v>
      </c>
      <c r="O30" s="82"/>
      <c r="P30" s="84">
        <f>MEXtabs!P90</f>
        <v>2.0480553989194346</v>
      </c>
      <c r="Q30" s="82"/>
      <c r="R30" s="83">
        <f>MEXtabs!R90</f>
        <v>29.867000000000001</v>
      </c>
      <c r="S30" s="83">
        <f>MEXtabs!S90</f>
        <v>4.2580945084621344</v>
      </c>
      <c r="T30" s="84">
        <f>MEXtabs!T90</f>
        <v>45.340349958431013</v>
      </c>
      <c r="U30" s="83">
        <f>MEXtabs!U90</f>
        <v>1.4291647405101793</v>
      </c>
    </row>
    <row r="31" spans="1:21">
      <c r="L31" s="82" t="str">
        <f>MEXtabs!L99</f>
        <v>NXB100</v>
      </c>
      <c r="M31" s="82">
        <f>MEXtabs!M99</f>
        <v>100</v>
      </c>
      <c r="N31" s="83">
        <f>MEXtabs!N99</f>
        <v>4.5</v>
      </c>
      <c r="O31" s="83"/>
      <c r="P31" s="84">
        <f>MEXtabs!P99</f>
        <v>4.7352150332082985</v>
      </c>
      <c r="Q31" s="84">
        <f>MEXtabs!Q99</f>
        <v>0.18268575344478749</v>
      </c>
      <c r="R31" s="83">
        <f>MEXtabs!R99</f>
        <v>41.587000000000003</v>
      </c>
      <c r="S31" s="83">
        <f>MEXtabs!S99</f>
        <v>1.5509425824921932</v>
      </c>
      <c r="T31" s="84">
        <f>MEXtabs!T99</f>
        <v>44.778484986701471</v>
      </c>
      <c r="U31" s="83">
        <f>MEXtabs!U99</f>
        <v>1.404760785574442</v>
      </c>
    </row>
    <row r="32" spans="1:21">
      <c r="L32" s="82" t="str">
        <f>MEXtabs!L103</f>
        <v>NXC100</v>
      </c>
      <c r="M32" s="82">
        <f>MEXtabs!M103</f>
        <v>100</v>
      </c>
      <c r="N32" s="83">
        <f>MEXtabs!N103</f>
        <v>6</v>
      </c>
      <c r="O32" s="83"/>
      <c r="P32" s="84">
        <f>P103</f>
        <v>5.4850226957751094</v>
      </c>
      <c r="Q32" s="84">
        <f>MEXtabs!Q103</f>
        <v>0.221397651099389</v>
      </c>
      <c r="R32" s="83">
        <f>MEXtabs!R103</f>
        <v>44.582999999999998</v>
      </c>
      <c r="S32" s="83">
        <f>MEXtabs!S103</f>
        <v>1.2007260922271803</v>
      </c>
      <c r="T32" s="84">
        <f>MEXtabs!T103</f>
        <v>44.731165114354809</v>
      </c>
      <c r="U32" s="83">
        <f>MEXtabs!U103</f>
        <v>1.4428108098693582</v>
      </c>
    </row>
    <row r="33" spans="12:21">
      <c r="L33" s="82" t="str">
        <f>MEXtabs!L107</f>
        <v>NXD100</v>
      </c>
      <c r="M33" s="82">
        <f>MEXtabs!M107</f>
        <v>100</v>
      </c>
      <c r="N33" s="83">
        <f>MEXtabs!N107</f>
        <v>9</v>
      </c>
      <c r="O33" s="83"/>
      <c r="P33" s="84">
        <f>P107</f>
        <v>6.6136409012352111</v>
      </c>
      <c r="Q33" s="84">
        <f>MEXtabs!Q107</f>
        <v>0.29051611469154731</v>
      </c>
      <c r="R33" s="83">
        <f>MEXtabs!R107</f>
        <v>49.084000000000003</v>
      </c>
      <c r="S33" s="83">
        <f>MEXtabs!S107</f>
        <v>0.79542543444726566</v>
      </c>
      <c r="T33" s="84">
        <f>MEXtabs!T107</f>
        <v>44.632603356945602</v>
      </c>
      <c r="U33" s="83">
        <f>MEXtabs!U107</f>
        <v>1.440471903905608</v>
      </c>
    </row>
    <row r="34" spans="12:21">
      <c r="L34" s="79" t="str">
        <f>MEXtabs!L100</f>
        <v>NXB120</v>
      </c>
      <c r="M34" s="79">
        <f>MEXtabs!M100</f>
        <v>120</v>
      </c>
      <c r="N34" s="80">
        <f>MEXtabs!N100</f>
        <v>4.5</v>
      </c>
      <c r="O34" s="80"/>
      <c r="P34" s="81">
        <f>P100</f>
        <v>5.5559969759148071</v>
      </c>
      <c r="Q34" s="81">
        <f>MEXtabs!Q100</f>
        <v>0.22971681375447262</v>
      </c>
      <c r="R34" s="80">
        <f>MEXtabs!R100</f>
        <v>45.744</v>
      </c>
      <c r="S34" s="80">
        <f>MEXtabs!S100</f>
        <v>2.2310891902919789</v>
      </c>
      <c r="T34" s="81">
        <f>MEXtabs!T100</f>
        <v>44.639950752706113</v>
      </c>
      <c r="U34" s="80">
        <f>MEXtabs!U100</f>
        <v>1.4138701514200549</v>
      </c>
    </row>
    <row r="35" spans="12:21">
      <c r="L35" s="82" t="str">
        <f>MEXtabs!L104</f>
        <v>NXC120</v>
      </c>
      <c r="M35" s="82">
        <f>MEXtabs!M104</f>
        <v>120</v>
      </c>
      <c r="N35" s="83">
        <f>MEXtabs!N104</f>
        <v>6</v>
      </c>
      <c r="O35" s="83"/>
      <c r="P35" s="84">
        <f>P104</f>
        <v>6.3769778478391608</v>
      </c>
      <c r="Q35" s="84">
        <f>MEXtabs!Q104</f>
        <v>0.28062311390349393</v>
      </c>
      <c r="R35" s="83">
        <f>MEXtabs!R104</f>
        <v>48.945</v>
      </c>
      <c r="S35" s="83">
        <f>MEXtabs!S104</f>
        <v>1.784368405695494</v>
      </c>
      <c r="T35" s="84">
        <f>MEXtabs!T104</f>
        <v>44.596340368679414</v>
      </c>
      <c r="U35" s="83">
        <f>MEXtabs!U104</f>
        <v>1.4063595223273275</v>
      </c>
    </row>
    <row r="36" spans="12:21">
      <c r="L36" s="82" t="str">
        <f>MEXtabs!L108</f>
        <v>NXD120</v>
      </c>
      <c r="M36" s="82">
        <f>MEXtabs!M108</f>
        <v>120</v>
      </c>
      <c r="N36" s="83">
        <f>MEXtabs!N108</f>
        <v>9</v>
      </c>
      <c r="O36" s="83"/>
      <c r="P36" s="84">
        <f>P108</f>
        <v>7.588179482309295</v>
      </c>
      <c r="Q36" s="84">
        <f>MEXtabs!Q108</f>
        <v>0.36809931938124019</v>
      </c>
      <c r="R36" s="83">
        <f>MEXtabs!R108</f>
        <v>53.752000000000002</v>
      </c>
      <c r="S36" s="83">
        <f>MEXtabs!S108</f>
        <v>1.242768517947378</v>
      </c>
      <c r="T36" s="84">
        <f>MEXtabs!T108</f>
        <v>44.507133371596417</v>
      </c>
      <c r="U36" s="83">
        <f>MEXtabs!U108</f>
        <v>1.4108031833771075</v>
      </c>
    </row>
    <row r="37" spans="12:21">
      <c r="L37" s="85" t="str">
        <f>MEXtabs!L112</f>
        <v>NXE120</v>
      </c>
      <c r="M37" s="85">
        <f>MEXtabs!M112</f>
        <v>120</v>
      </c>
      <c r="N37" s="86">
        <f>MEXtabs!N112</f>
        <v>4</v>
      </c>
      <c r="O37" s="86">
        <f>MEXtabs!O112</f>
        <v>0.5</v>
      </c>
      <c r="P37" s="87">
        <f>P112</f>
        <v>10.310491894063471</v>
      </c>
      <c r="Q37" s="87">
        <f>MEXtabs!Q112</f>
        <v>0.6348381723836316</v>
      </c>
      <c r="R37" s="86">
        <f>MEXtabs!R112</f>
        <v>65</v>
      </c>
      <c r="S37" s="86">
        <f>MEXtabs!S112</f>
        <v>0.74278765238565925</v>
      </c>
      <c r="T37" s="87">
        <f>MEXtabs!T112</f>
        <v>44.240487322441858</v>
      </c>
      <c r="U37" s="86">
        <f>MEXtabs!U112</f>
        <v>1.4415392478297151</v>
      </c>
    </row>
    <row r="38" spans="12:21">
      <c r="L38" s="82" t="str">
        <f>MEXtabs!L101</f>
        <v>NXB140</v>
      </c>
      <c r="M38" s="82">
        <f>MEXtabs!M101</f>
        <v>140</v>
      </c>
      <c r="N38" s="83">
        <f>MEXtabs!N101</f>
        <v>4.5</v>
      </c>
      <c r="O38" s="83"/>
      <c r="P38" s="84">
        <f>P101</f>
        <v>6.3330445132980557</v>
      </c>
      <c r="Q38" s="84">
        <f>MEXtabs!Q101</f>
        <v>0.28214314856452327</v>
      </c>
      <c r="R38" s="83">
        <f>MEXtabs!R101</f>
        <v>49.868000000000002</v>
      </c>
      <c r="S38" s="83">
        <f>MEXtabs!S101</f>
        <v>2.9915534007871925</v>
      </c>
      <c r="T38" s="84">
        <f>MEXtabs!T101</f>
        <v>44.472387610906146</v>
      </c>
      <c r="U38" s="83">
        <f>MEXtabs!U101</f>
        <v>1.4510491860374204</v>
      </c>
    </row>
    <row r="39" spans="12:21">
      <c r="L39" s="82" t="str">
        <f>MEXtabs!L105</f>
        <v>NXC140</v>
      </c>
      <c r="M39" s="82">
        <f>MEXtabs!M105</f>
        <v>140</v>
      </c>
      <c r="N39" s="83">
        <f>MEXtabs!N105</f>
        <v>6</v>
      </c>
      <c r="O39" s="83"/>
      <c r="P39" s="84">
        <f>P105</f>
        <v>7.1952322413084104</v>
      </c>
      <c r="Q39" s="84">
        <f>MEXtabs!Q105</f>
        <v>0.34467534185441145</v>
      </c>
      <c r="R39" s="83">
        <f>MEXtabs!R105</f>
        <v>53.139000000000003</v>
      </c>
      <c r="S39" s="83">
        <f>MEXtabs!S105</f>
        <v>2.4516651230650832</v>
      </c>
      <c r="T39" s="84">
        <f>MEXtabs!T105</f>
        <v>44.43867098352041</v>
      </c>
      <c r="U39" s="83">
        <f>MEXtabs!U105</f>
        <v>1.4085337398028015</v>
      </c>
    </row>
    <row r="40" spans="12:21">
      <c r="L40" s="82" t="str">
        <f>MEXtabs!L109</f>
        <v>NXD140</v>
      </c>
      <c r="M40" s="82">
        <f>MEXtabs!M109</f>
        <v>140</v>
      </c>
      <c r="N40" s="83">
        <f>MEXtabs!N109</f>
        <v>9</v>
      </c>
      <c r="O40" s="83"/>
      <c r="P40" s="84">
        <f>P109</f>
        <v>8.4359614589862257</v>
      </c>
      <c r="Q40" s="84">
        <f>MEXtabs!Q109</f>
        <v>0.45081671702125536</v>
      </c>
      <c r="R40" s="83">
        <f>MEXtabs!R109</f>
        <v>58.063000000000002</v>
      </c>
      <c r="S40" s="83">
        <f>MEXtabs!S109</f>
        <v>1.7690624666352799</v>
      </c>
      <c r="T40" s="84">
        <f>MEXtabs!T109</f>
        <v>44.384979291011668</v>
      </c>
      <c r="U40" s="83">
        <f>MEXtabs!U109</f>
        <v>1.4143993050722117</v>
      </c>
    </row>
    <row r="41" spans="12:21">
      <c r="L41" s="82" t="str">
        <f>MEXtabs!L113</f>
        <v>NXE140</v>
      </c>
      <c r="M41" s="82">
        <f>MEXtabs!M113</f>
        <v>140</v>
      </c>
      <c r="N41" s="83">
        <f>MEXtabs!N113</f>
        <v>4</v>
      </c>
      <c r="O41" s="83">
        <f>MEXtabs!O113</f>
        <v>0.5</v>
      </c>
      <c r="P41" s="84"/>
      <c r="Q41" s="84">
        <f>MEXtabs!Q113</f>
        <v>0.76915213495507195</v>
      </c>
      <c r="R41" s="83">
        <f>MEXtabs!R113</f>
        <v>69.849999999999994</v>
      </c>
      <c r="S41" s="83">
        <f>MEXtabs!S113</f>
        <v>1.1633580611670098</v>
      </c>
      <c r="T41" s="84">
        <f>MEXtabs!T113</f>
        <v>44.18764444505527</v>
      </c>
      <c r="U41" s="83">
        <f>MEXtabs!U113</f>
        <v>1.4486375449833988</v>
      </c>
    </row>
    <row r="42" spans="12:21">
      <c r="L42" s="82" t="str">
        <f>MEXtabs!L117</f>
        <v>NXF140</v>
      </c>
      <c r="M42" s="82">
        <f>MEXtabs!M117</f>
        <v>140</v>
      </c>
      <c r="N42" s="83">
        <f>MEXtabs!N117</f>
        <v>4</v>
      </c>
      <c r="O42" s="83">
        <f>MEXtabs!O117</f>
        <v>1</v>
      </c>
      <c r="P42" s="84"/>
      <c r="Q42" s="84">
        <f>MEXtabs!Q117</f>
        <v>1.0269176732121137</v>
      </c>
      <c r="R42" s="83">
        <f>MEXtabs!R117</f>
        <v>78.519000000000005</v>
      </c>
      <c r="S42" s="83">
        <f>MEXtabs!S117</f>
        <v>0.60325691482499955</v>
      </c>
      <c r="T42" s="84">
        <f>MEXtabs!T117</f>
        <v>43.911575134422748</v>
      </c>
      <c r="U42" s="83">
        <f>MEXtabs!U117</f>
        <v>1.4214091071941664</v>
      </c>
    </row>
    <row r="43" spans="12:21">
      <c r="L43" s="79" t="str">
        <f>MEXtabs!L106</f>
        <v>NXC150</v>
      </c>
      <c r="M43" s="79">
        <f>MEXtabs!M106</f>
        <v>150</v>
      </c>
      <c r="N43" s="80">
        <f>MEXtabs!N106</f>
        <v>6</v>
      </c>
      <c r="O43" s="80"/>
      <c r="P43" s="81">
        <f>P106</f>
        <v>7.58221629670666</v>
      </c>
      <c r="Q43" s="81">
        <f>MEXtabs!Q106</f>
        <v>0.37860748947727846</v>
      </c>
      <c r="R43" s="80">
        <f>MEXtabs!R106</f>
        <v>55.186999999999998</v>
      </c>
      <c r="S43" s="80">
        <f>MEXtabs!S106</f>
        <v>2.8173420032097671</v>
      </c>
      <c r="T43" s="81">
        <f>MEXtabs!T106</f>
        <v>44.399662164670268</v>
      </c>
      <c r="U43" s="80">
        <f>MEXtabs!U106</f>
        <v>1.4042512100373497</v>
      </c>
    </row>
    <row r="44" spans="12:21">
      <c r="L44" s="82" t="str">
        <f>MEXtabs!L110</f>
        <v>NXD150</v>
      </c>
      <c r="M44" s="82">
        <f>MEXtabs!M110</f>
        <v>150</v>
      </c>
      <c r="N44" s="83">
        <f>MEXtabs!N110</f>
        <v>9</v>
      </c>
      <c r="O44" s="83"/>
      <c r="P44" s="84">
        <f>P110</f>
        <v>8.831676949720114</v>
      </c>
      <c r="Q44" s="84">
        <f>MEXtabs!Q110</f>
        <v>0.49291798086961647</v>
      </c>
      <c r="R44" s="83">
        <f>MEXtabs!R110</f>
        <v>60.128</v>
      </c>
      <c r="S44" s="83">
        <f>MEXtabs!S110</f>
        <v>2.063165282998574</v>
      </c>
      <c r="T44" s="84">
        <f>MEXtabs!T110</f>
        <v>44.335713004340583</v>
      </c>
      <c r="U44" s="83">
        <f>MEXtabs!U110</f>
        <v>1.4184206249141764</v>
      </c>
    </row>
    <row r="45" spans="12:21">
      <c r="L45" s="82" t="str">
        <f>MEXtabs!L114</f>
        <v>NXE150</v>
      </c>
      <c r="M45" s="82">
        <f>MEXtabs!M114</f>
        <v>150</v>
      </c>
      <c r="N45" s="83">
        <f>MEXtabs!N114</f>
        <v>4</v>
      </c>
      <c r="O45" s="83">
        <f>MEXtabs!O114</f>
        <v>0.5</v>
      </c>
      <c r="P45" s="84"/>
      <c r="Q45" s="84">
        <f>MEXtabs!Q114</f>
        <v>0.83812332024006297</v>
      </c>
      <c r="R45" s="83">
        <f>MEXtabs!R114</f>
        <v>72.150000000000006</v>
      </c>
      <c r="S45" s="83">
        <f>MEXtabs!S114</f>
        <v>1.4090771030362672</v>
      </c>
      <c r="T45" s="84">
        <f>MEXtabs!T114</f>
        <v>44.039866906401102</v>
      </c>
      <c r="U45" s="83">
        <f>MEXtabs!U114</f>
        <v>1.4254696449329258</v>
      </c>
    </row>
    <row r="46" spans="12:21">
      <c r="L46" s="82" t="str">
        <f>MEXtabs!L118</f>
        <v>NXF150</v>
      </c>
      <c r="M46" s="82">
        <f>MEXtabs!M118</f>
        <v>150</v>
      </c>
      <c r="N46" s="83">
        <f>MEXtabs!N118</f>
        <v>4</v>
      </c>
      <c r="O46" s="83">
        <f>MEXtabs!O118</f>
        <v>1</v>
      </c>
      <c r="P46" s="84"/>
      <c r="Q46" s="84">
        <f>MEXtabs!Q118</f>
        <v>1.1251186734176981</v>
      </c>
      <c r="R46" s="83">
        <f>MEXtabs!R118</f>
        <v>81.358000000000004</v>
      </c>
      <c r="S46" s="83">
        <f>MEXtabs!S118</f>
        <v>0.89686145284094199</v>
      </c>
      <c r="T46" s="84">
        <f>MEXtabs!T118</f>
        <v>43.934594021953615</v>
      </c>
      <c r="U46" s="83">
        <f>MEXtabs!U118</f>
        <v>1.5489138190520089</v>
      </c>
    </row>
    <row r="47" spans="12:21">
      <c r="L47" s="85" t="str">
        <f>MEXtabs!L122</f>
        <v>NXG150</v>
      </c>
      <c r="M47" s="85">
        <f>MEXtabs!M122</f>
        <v>150</v>
      </c>
      <c r="N47" s="86">
        <f>MEXtabs!N122</f>
        <v>4</v>
      </c>
      <c r="O47" s="86">
        <f>MEXtabs!O122</f>
        <v>1.6</v>
      </c>
      <c r="P47" s="87"/>
      <c r="Q47" s="87">
        <f>MEXtabs!Q122</f>
        <v>1.3834337181000833</v>
      </c>
      <c r="R47" s="86">
        <f>MEXtabs!R122</f>
        <v>89.066000000000003</v>
      </c>
      <c r="S47" s="86">
        <f>MEXtabs!S122</f>
        <v>0.44814236665108781</v>
      </c>
      <c r="T47" s="87">
        <f>MEXtabs!T122</f>
        <v>43.691969444983592</v>
      </c>
      <c r="U47" s="86">
        <f>MEXtabs!U122</f>
        <v>1.4059584620549621</v>
      </c>
    </row>
    <row r="48" spans="12:21">
      <c r="L48" s="82" t="str">
        <f>MEXtabs!L111</f>
        <v>NXD200</v>
      </c>
      <c r="M48" s="82">
        <f>MEXtabs!M111</f>
        <v>200</v>
      </c>
      <c r="N48" s="83">
        <f>MEXtabs!N111</f>
        <v>9</v>
      </c>
      <c r="O48" s="83"/>
      <c r="P48" s="84">
        <f>P111</f>
        <v>10.533127916478346</v>
      </c>
      <c r="Q48" s="84">
        <f>MEXtabs!Q111</f>
        <v>0.73230337407773993</v>
      </c>
      <c r="R48" s="83">
        <f>MEXtabs!R111</f>
        <v>69.760999999999996</v>
      </c>
      <c r="S48" s="83">
        <f>MEXtabs!S111</f>
        <v>2.8572849185807008</v>
      </c>
      <c r="T48" s="84">
        <f>MEXtabs!T111</f>
        <v>44.064629911769998</v>
      </c>
      <c r="U48" s="83">
        <f>MEXtabs!U111</f>
        <v>1.4223080532473165</v>
      </c>
    </row>
    <row r="49" spans="1:21">
      <c r="L49" s="82" t="str">
        <f>MEXtabs!L115</f>
        <v>NXE200</v>
      </c>
      <c r="M49" s="82">
        <f>MEXtabs!M115</f>
        <v>200</v>
      </c>
      <c r="N49" s="83">
        <f>MEXtabs!N115</f>
        <v>4</v>
      </c>
      <c r="O49" s="83">
        <f>MEXtabs!O115</f>
        <v>0.5</v>
      </c>
      <c r="P49" s="84"/>
      <c r="Q49" s="84">
        <f>MEXtabs!Q115</f>
        <v>1.2072306039939562</v>
      </c>
      <c r="R49" s="83">
        <f>MEXtabs!R115</f>
        <v>82.81</v>
      </c>
      <c r="S49" s="83">
        <f>MEXtabs!S115</f>
        <v>2.2118537872145509</v>
      </c>
      <c r="T49" s="84">
        <f>MEXtabs!T115</f>
        <v>43.783577929116746</v>
      </c>
      <c r="U49" s="83">
        <f>MEXtabs!U115</f>
        <v>1.4033661216368654</v>
      </c>
    </row>
    <row r="50" spans="1:21">
      <c r="L50" s="82" t="str">
        <f>MEXtabs!L119</f>
        <v>NXF200</v>
      </c>
      <c r="M50" s="82">
        <f>MEXtabs!M119</f>
        <v>200</v>
      </c>
      <c r="N50" s="83">
        <f>MEXtabs!N119</f>
        <v>4</v>
      </c>
      <c r="O50" s="83">
        <f>MEXtabs!O119</f>
        <v>1</v>
      </c>
      <c r="P50" s="84"/>
      <c r="Q50" s="84">
        <f>MEXtabs!Q119</f>
        <v>1.6296937192778045</v>
      </c>
      <c r="R50" s="83">
        <f>MEXtabs!R119</f>
        <v>94.739000000000004</v>
      </c>
      <c r="S50" s="83">
        <f>MEXtabs!S119</f>
        <v>1.5697420354036626</v>
      </c>
      <c r="T50" s="84">
        <f>MEXtabs!T119</f>
        <v>43.690424941977597</v>
      </c>
      <c r="U50" s="83">
        <f>MEXtabs!U119</f>
        <v>1.4020436126959597</v>
      </c>
    </row>
    <row r="51" spans="1:21">
      <c r="L51" s="82" t="str">
        <f>MEXtabs!L123</f>
        <v>NXG200</v>
      </c>
      <c r="M51" s="82">
        <f>MEXtabs!M123</f>
        <v>200</v>
      </c>
      <c r="N51" s="83">
        <f>MEXtabs!N123</f>
        <v>4</v>
      </c>
      <c r="O51" s="83">
        <f>MEXtabs!O123</f>
        <v>1.6</v>
      </c>
      <c r="P51" s="84"/>
      <c r="Q51" s="84">
        <f>MEXtabs!Q123</f>
        <v>2.0015314501377075</v>
      </c>
      <c r="R51" s="83">
        <f>MEXtabs!R123</f>
        <v>105.252</v>
      </c>
      <c r="S51" s="83">
        <f>MEXtabs!S123</f>
        <v>1.1653632876100355</v>
      </c>
      <c r="T51" s="84">
        <f>MEXtabs!T123</f>
        <v>43.576098970172843</v>
      </c>
      <c r="U51" s="83">
        <f>MEXtabs!U123</f>
        <v>1.4091955478448173</v>
      </c>
    </row>
    <row r="52" spans="1:21">
      <c r="L52" s="82" t="str">
        <f>MEXtabs!L127</f>
        <v>NXH200</v>
      </c>
      <c r="M52" s="82">
        <f>MEXtabs!M127</f>
        <v>200</v>
      </c>
      <c r="N52" s="83">
        <f>MEXtabs!N127</f>
        <v>4</v>
      </c>
      <c r="O52" s="83">
        <f>MEXtabs!O127</f>
        <v>3</v>
      </c>
      <c r="P52" s="84"/>
      <c r="Q52" s="84">
        <f>MEXtabs!Q127</f>
        <v>2.5415199349414408</v>
      </c>
      <c r="R52" s="83">
        <f>MEXtabs!R127</f>
        <v>120.14700000000001</v>
      </c>
      <c r="S52" s="83">
        <f>MEXtabs!S127</f>
        <v>0.64786042750908168</v>
      </c>
      <c r="T52" s="84">
        <f>MEXtabs!T127</f>
        <v>43.485617129878449</v>
      </c>
      <c r="U52" s="83">
        <f>MEXtabs!U127</f>
        <v>1.6194874966200683</v>
      </c>
    </row>
    <row r="53" spans="1:21">
      <c r="L53" s="79" t="str">
        <f>MEXtabs!L116</f>
        <v>NXE250</v>
      </c>
      <c r="M53" s="79">
        <f>MEXtabs!M116</f>
        <v>250</v>
      </c>
      <c r="N53" s="80">
        <f>MEXtabs!N116</f>
        <v>4</v>
      </c>
      <c r="O53" s="80">
        <f>MEXtabs!O116</f>
        <v>0.5</v>
      </c>
      <c r="P53" s="81"/>
      <c r="Q53" s="81">
        <f>MEXtabs!Q116</f>
        <v>1.6128041668984248</v>
      </c>
      <c r="R53" s="80">
        <f>MEXtabs!R116</f>
        <v>92.84</v>
      </c>
      <c r="S53" s="80">
        <f>MEXtabs!S116</f>
        <v>3.001836445045782</v>
      </c>
      <c r="T53" s="81">
        <f>MEXtabs!T116</f>
        <v>43.729792205959406</v>
      </c>
      <c r="U53" s="80">
        <f>MEXtabs!U116</f>
        <v>1.422341580792478</v>
      </c>
    </row>
    <row r="54" spans="1:21">
      <c r="L54" s="82" t="str">
        <f>L120</f>
        <v>NXF250</v>
      </c>
      <c r="M54" s="82">
        <f t="shared" ref="M54:U54" si="5">M120</f>
        <v>250</v>
      </c>
      <c r="N54" s="82">
        <f t="shared" si="5"/>
        <v>4</v>
      </c>
      <c r="O54" s="83">
        <f t="shared" si="5"/>
        <v>1</v>
      </c>
      <c r="P54" s="82"/>
      <c r="Q54" s="84">
        <f t="shared" si="5"/>
        <v>2.1356721844076167</v>
      </c>
      <c r="R54" s="82">
        <f t="shared" si="5"/>
        <v>107.324</v>
      </c>
      <c r="S54" s="83">
        <f t="shared" si="5"/>
        <v>2.2683956986257323</v>
      </c>
      <c r="T54" s="84">
        <f t="shared" si="5"/>
        <v>43.548136413860959</v>
      </c>
      <c r="U54" s="83">
        <f t="shared" si="5"/>
        <v>1.5787773430127712</v>
      </c>
    </row>
    <row r="55" spans="1:21">
      <c r="L55" s="82" t="str">
        <f>MEXtabs!L124</f>
        <v>NXG250</v>
      </c>
      <c r="M55" s="82">
        <f>MEXtabs!M124</f>
        <v>250</v>
      </c>
      <c r="N55" s="83">
        <f>MEXtabs!N124</f>
        <v>4</v>
      </c>
      <c r="O55" s="83">
        <f>MEXtabs!O124</f>
        <v>1.6</v>
      </c>
      <c r="P55" s="84"/>
      <c r="Q55" s="84">
        <f>MEXtabs!Q124</f>
        <v>2.5711570771389516</v>
      </c>
      <c r="R55" s="83">
        <f>MEXtabs!R124</f>
        <v>120.09699999999999</v>
      </c>
      <c r="S55" s="83">
        <f>MEXtabs!S124</f>
        <v>1.7745433399352215</v>
      </c>
      <c r="T55" s="84">
        <f>MEXtabs!T124</f>
        <v>43.515276381229619</v>
      </c>
      <c r="U55" s="83">
        <f>MEXtabs!U124</f>
        <v>1.4187902976852591</v>
      </c>
    </row>
    <row r="56" spans="1:21">
      <c r="L56" s="82" t="str">
        <f>MEXtabs!L128</f>
        <v>NXH250</v>
      </c>
      <c r="M56" s="82">
        <f>MEXtabs!M128</f>
        <v>250</v>
      </c>
      <c r="N56" s="83">
        <f>MEXtabs!N128</f>
        <v>4</v>
      </c>
      <c r="O56" s="83">
        <f>MEXtabs!O128</f>
        <v>3</v>
      </c>
      <c r="P56" s="84"/>
      <c r="Q56" s="84">
        <f>MEXtabs!Q128</f>
        <v>3.1622519161675675</v>
      </c>
      <c r="R56" s="83">
        <f>MEXtabs!R128</f>
        <v>137.45500000000001</v>
      </c>
      <c r="S56" s="83">
        <f>MEXtabs!S128</f>
        <v>1.1656638161633628</v>
      </c>
      <c r="T56" s="84">
        <f>MEXtabs!T128</f>
        <v>43.394068454781625</v>
      </c>
      <c r="U56" s="83">
        <f>MEXtabs!U128</f>
        <v>1.4262120976966306</v>
      </c>
    </row>
    <row r="57" spans="1:21">
      <c r="L57" s="85" t="str">
        <f>MEXtabs!L132</f>
        <v>NXI250</v>
      </c>
      <c r="M57" s="85">
        <f>MEXtabs!M132</f>
        <v>250</v>
      </c>
      <c r="N57" s="86">
        <f>MEXtabs!N132</f>
        <v>4</v>
      </c>
      <c r="O57" s="86">
        <f>MEXtabs!O132</f>
        <v>5</v>
      </c>
      <c r="P57" s="87"/>
      <c r="Q57" s="87">
        <f>MEXtabs!Q132</f>
        <v>3.5951513428636979</v>
      </c>
      <c r="R57" s="86">
        <f>MEXtabs!R132</f>
        <v>149.50700000000001</v>
      </c>
      <c r="S57" s="86">
        <f>MEXtabs!S132</f>
        <v>0.73387277470469225</v>
      </c>
      <c r="T57" s="87">
        <f>MEXtabs!T132</f>
        <v>43.262222819513056</v>
      </c>
      <c r="U57" s="86">
        <f>MEXtabs!U132</f>
        <v>1.4984186704190821</v>
      </c>
    </row>
    <row r="58" spans="1:21">
      <c r="L58" s="82" t="str">
        <f>MEXtabs!L121</f>
        <v>NXF280</v>
      </c>
      <c r="M58" s="82">
        <f>MEXtabs!M121</f>
        <v>280</v>
      </c>
      <c r="N58" s="83">
        <f>MEXtabs!N121</f>
        <v>4</v>
      </c>
      <c r="O58" s="83">
        <f>MEXtabs!O121</f>
        <v>1</v>
      </c>
      <c r="P58" s="84"/>
      <c r="Q58" s="84">
        <f>MEXtabs!Q121</f>
        <v>2.4331518775712206</v>
      </c>
      <c r="R58" s="83">
        <f>MEXtabs!R121</f>
        <v>114.61199999999999</v>
      </c>
      <c r="S58" s="83">
        <f>MEXtabs!S121</f>
        <v>2.5127625014554815</v>
      </c>
      <c r="T58" s="84">
        <f>MEXtabs!T121</f>
        <v>43.547872255342405</v>
      </c>
      <c r="U58" s="83">
        <f>MEXtabs!U121</f>
        <v>1.4412610516839326</v>
      </c>
    </row>
    <row r="59" spans="1:21">
      <c r="L59" s="82" t="str">
        <f>MEXtabs!L125</f>
        <v>NXG280</v>
      </c>
      <c r="M59" s="82">
        <f>MEXtabs!M125</f>
        <v>280</v>
      </c>
      <c r="N59" s="83">
        <f>MEXtabs!N125</f>
        <v>4</v>
      </c>
      <c r="O59" s="83">
        <f>MEXtabs!O125</f>
        <v>1.6</v>
      </c>
      <c r="P59" s="84"/>
      <c r="Q59" s="84">
        <f>MEXtabs!Q125</f>
        <v>2.8808623211292477</v>
      </c>
      <c r="R59" s="83">
        <f>MEXtabs!R125</f>
        <v>128.495</v>
      </c>
      <c r="S59" s="83">
        <f>MEXtabs!S125</f>
        <v>2.0131516705967654</v>
      </c>
      <c r="T59" s="84">
        <f>MEXtabs!T125</f>
        <v>43.417032551541674</v>
      </c>
      <c r="U59" s="83">
        <f>MEXtabs!U125</f>
        <v>1.4112160246869581</v>
      </c>
    </row>
    <row r="60" spans="1:21">
      <c r="L60" s="82" t="str">
        <f>MEXtabs!L129</f>
        <v>NXH280</v>
      </c>
      <c r="M60" s="82">
        <f>MEXtabs!M129</f>
        <v>280</v>
      </c>
      <c r="N60" s="83">
        <f>MEXtabs!N129</f>
        <v>4</v>
      </c>
      <c r="O60" s="83">
        <f>MEXtabs!O129</f>
        <v>3</v>
      </c>
      <c r="P60" s="84"/>
      <c r="Q60" s="84">
        <f>MEXtabs!Q129</f>
        <v>3.5006101210159413</v>
      </c>
      <c r="R60" s="83">
        <f>MEXtabs!R129</f>
        <v>147.05000000000001</v>
      </c>
      <c r="S60" s="83">
        <f>MEXtabs!S129</f>
        <v>1.3743566100374649</v>
      </c>
      <c r="T60" s="84">
        <f>MEXtabs!T129</f>
        <v>43.332123291107912</v>
      </c>
      <c r="U60" s="83">
        <f>MEXtabs!U129</f>
        <v>1.439378720129868</v>
      </c>
    </row>
    <row r="61" spans="1:21">
      <c r="L61" s="82" t="str">
        <f>MEXtabs!L133</f>
        <v>NXI280</v>
      </c>
      <c r="M61" s="82">
        <f>MEXtabs!M133</f>
        <v>280</v>
      </c>
      <c r="N61" s="83">
        <f>MEXtabs!N133</f>
        <v>4</v>
      </c>
      <c r="O61" s="83">
        <f>MEXtabs!O133</f>
        <v>5</v>
      </c>
      <c r="P61" s="84"/>
      <c r="Q61" s="84">
        <f>MEXtabs!Q133</f>
        <v>3.9334817438945446</v>
      </c>
      <c r="R61" s="83">
        <f>MEXtabs!R133</f>
        <v>159.91800000000001</v>
      </c>
      <c r="S61" s="83">
        <f>MEXtabs!S133</f>
        <v>0.89520582359213419</v>
      </c>
      <c r="T61" s="84">
        <f>MEXtabs!T133</f>
        <v>43.249584769166603</v>
      </c>
      <c r="U61" s="83">
        <f>MEXtabs!U133</f>
        <v>1.414562707424998</v>
      </c>
    </row>
    <row r="62" spans="1:21">
      <c r="A62" s="1"/>
      <c r="B62" s="1"/>
      <c r="C62" s="75"/>
      <c r="D62" s="75"/>
      <c r="E62" s="3"/>
      <c r="F62" s="3"/>
      <c r="G62" s="3"/>
      <c r="H62" s="75"/>
      <c r="I62" s="3"/>
      <c r="J62" s="75"/>
      <c r="L62" s="79" t="str">
        <f>MEXtabs!L126</f>
        <v>NXG300</v>
      </c>
      <c r="M62" s="79">
        <f>MEXtabs!M126</f>
        <v>300</v>
      </c>
      <c r="N62" s="80">
        <f>MEXtabs!N126</f>
        <v>4</v>
      </c>
      <c r="O62" s="80">
        <f>MEXtabs!O126</f>
        <v>1.6</v>
      </c>
      <c r="P62" s="81"/>
      <c r="Q62" s="81">
        <f>MEXtabs!Q126</f>
        <v>3.0951576375640011</v>
      </c>
      <c r="R62" s="80">
        <f>MEXtabs!R126</f>
        <v>133.916</v>
      </c>
      <c r="S62" s="80">
        <f>MEXtabs!S126</f>
        <v>2.4105553532451731</v>
      </c>
      <c r="T62" s="81">
        <f>MEXtabs!T126</f>
        <v>43.359289173851359</v>
      </c>
      <c r="U62" s="80">
        <f>MEXtabs!U126</f>
        <v>1.4164756001609529</v>
      </c>
    </row>
    <row r="63" spans="1:21">
      <c r="A63" s="1"/>
      <c r="B63" s="1"/>
      <c r="C63" s="75"/>
      <c r="D63" s="75"/>
      <c r="E63" s="3"/>
      <c r="F63" s="3"/>
      <c r="G63" s="3"/>
      <c r="H63" s="75"/>
      <c r="I63" s="3"/>
      <c r="J63" s="75"/>
      <c r="L63" s="82" t="str">
        <f>MEXtabs!L130</f>
        <v>NXH300</v>
      </c>
      <c r="M63" s="82">
        <f>MEXtabs!M130</f>
        <v>300</v>
      </c>
      <c r="N63" s="83">
        <f>MEXtabs!N130</f>
        <v>4</v>
      </c>
      <c r="O63" s="83">
        <f>MEXtabs!O130</f>
        <v>3</v>
      </c>
      <c r="P63" s="84"/>
      <c r="Q63" s="84">
        <f>MEXtabs!Q130</f>
        <v>3.7047905897248823</v>
      </c>
      <c r="R63" s="83">
        <f>MEXtabs!R130</f>
        <v>153.21</v>
      </c>
      <c r="S63" s="83">
        <f>MEXtabs!S130</f>
        <v>1.6807536584989653</v>
      </c>
      <c r="T63" s="84">
        <f>MEXtabs!T130</f>
        <v>43.270125968459105</v>
      </c>
      <c r="U63" s="83">
        <f>MEXtabs!U130</f>
        <v>1.5497596476199065</v>
      </c>
    </row>
    <row r="64" spans="1:21">
      <c r="A64" s="1"/>
      <c r="B64" s="1"/>
      <c r="C64" s="75"/>
      <c r="D64" s="75"/>
      <c r="E64" s="3"/>
      <c r="F64" s="3"/>
      <c r="G64" s="3"/>
      <c r="H64" s="75"/>
      <c r="I64" s="3"/>
      <c r="J64" s="75"/>
      <c r="L64" s="85" t="str">
        <f>MEXtabs!L134</f>
        <v>NXI300</v>
      </c>
      <c r="M64" s="85">
        <f>MEXtabs!M134</f>
        <v>300</v>
      </c>
      <c r="N64" s="86">
        <f>MEXtabs!N134</f>
        <v>4</v>
      </c>
      <c r="O64" s="86">
        <f>MEXtabs!O134</f>
        <v>5</v>
      </c>
      <c r="P64" s="87"/>
      <c r="Q64" s="87">
        <f>MEXtabs!Q134</f>
        <v>4.1453765509423093</v>
      </c>
      <c r="R64" s="86">
        <f>MEXtabs!R134</f>
        <v>166.58099999999999</v>
      </c>
      <c r="S64" s="86">
        <f>MEXtabs!S134</f>
        <v>1.1187875433583474</v>
      </c>
      <c r="T64" s="87">
        <f>MEXtabs!T134</f>
        <v>43.133978014768623</v>
      </c>
      <c r="U64" s="86">
        <f>MEXtabs!U134</f>
        <v>1.4203760731428454</v>
      </c>
    </row>
    <row r="65" spans="1:24">
      <c r="A65" s="1"/>
      <c r="B65" s="1"/>
      <c r="C65" s="75"/>
      <c r="D65" s="75"/>
      <c r="E65" s="3"/>
      <c r="F65" s="3"/>
      <c r="G65" s="3"/>
      <c r="H65" s="75"/>
      <c r="I65" s="3"/>
      <c r="J65" s="75"/>
      <c r="L65" s="82" t="str">
        <f>MEXtabs!L131</f>
        <v>NXH320</v>
      </c>
      <c r="M65" s="82">
        <f>MEXtabs!M131</f>
        <v>320</v>
      </c>
      <c r="N65" s="83">
        <f>MEXtabs!N131</f>
        <v>4</v>
      </c>
      <c r="O65" s="83">
        <f>MEXtabs!O131</f>
        <v>3</v>
      </c>
      <c r="P65" s="84"/>
      <c r="Q65" s="84">
        <f>MEXtabs!Q131</f>
        <v>3.8972650748324895</v>
      </c>
      <c r="R65" s="83">
        <f>MEXtabs!R131</f>
        <v>159.21700000000001</v>
      </c>
      <c r="S65" s="83">
        <f>MEXtabs!S131</f>
        <v>1.6231408287232745</v>
      </c>
      <c r="T65" s="84">
        <f>MEXtabs!T131</f>
        <v>43.131780217598909</v>
      </c>
      <c r="U65" s="83">
        <f>MEXtabs!U131</f>
        <v>1.4546401341956048</v>
      </c>
    </row>
    <row r="66" spans="1:24">
      <c r="A66" s="1"/>
      <c r="B66" s="1"/>
      <c r="C66" s="75"/>
      <c r="D66" s="75"/>
      <c r="E66" s="3"/>
      <c r="F66" s="3"/>
      <c r="G66" s="3"/>
      <c r="H66" s="75"/>
      <c r="I66" s="3"/>
      <c r="J66" s="75"/>
      <c r="L66" s="85" t="str">
        <f>MEXtabs!L135</f>
        <v>NXI320</v>
      </c>
      <c r="M66" s="85">
        <f>MEXtabs!M135</f>
        <v>320</v>
      </c>
      <c r="N66" s="86">
        <f>MEXtabs!N135</f>
        <v>4</v>
      </c>
      <c r="O66" s="86">
        <f>MEXtabs!O135</f>
        <v>5</v>
      </c>
      <c r="P66" s="87"/>
      <c r="Q66" s="87">
        <f>MEXtabs!Q135</f>
        <v>4.335531420085327</v>
      </c>
      <c r="R66" s="86">
        <f>MEXtabs!R135</f>
        <v>173.059</v>
      </c>
      <c r="S66" s="86">
        <f>MEXtabs!S135</f>
        <v>1.1003205119450847</v>
      </c>
      <c r="T66" s="87">
        <f>MEXtabs!T135</f>
        <v>43.048524810446899</v>
      </c>
      <c r="U66" s="86">
        <f>MEXtabs!U135</f>
        <v>1.4263964632310318</v>
      </c>
    </row>
    <row r="67" spans="1:24">
      <c r="L67" s="79" t="str">
        <f>MEXtabs!L136</f>
        <v>NXG250*</v>
      </c>
      <c r="M67" s="79">
        <f>MEXtabs!M136</f>
        <v>250</v>
      </c>
      <c r="N67" s="80">
        <f>MEXtabs!N136</f>
        <v>4</v>
      </c>
      <c r="O67" s="80">
        <f>MEXtabs!O136</f>
        <v>1.6</v>
      </c>
      <c r="P67" s="81"/>
      <c r="Q67" s="81">
        <f>MEXtabs!Q136</f>
        <v>2.5711570771389516</v>
      </c>
      <c r="R67" s="79">
        <f>MEXtabs!R136</f>
        <v>120.09699999999999</v>
      </c>
      <c r="S67" s="80">
        <f>MEXtabs!S136</f>
        <v>1.7745433399352215</v>
      </c>
      <c r="T67" s="81">
        <f>MEXtabs!T136</f>
        <v>43.344264021661864</v>
      </c>
      <c r="U67" s="80">
        <f>MEXtabs!U136</f>
        <v>1.4054646670510211</v>
      </c>
    </row>
    <row r="68" spans="1:24">
      <c r="L68" s="82" t="str">
        <f>MEXtabs!L137</f>
        <v>NXH280*</v>
      </c>
      <c r="M68" s="82">
        <f>MEXtabs!M137</f>
        <v>280</v>
      </c>
      <c r="N68" s="83">
        <f>MEXtabs!N137</f>
        <v>4</v>
      </c>
      <c r="O68" s="83">
        <f>MEXtabs!O137</f>
        <v>3</v>
      </c>
      <c r="P68" s="84"/>
      <c r="Q68" s="84">
        <f>MEXtabs!Q137</f>
        <v>3.5006101210159413</v>
      </c>
      <c r="R68" s="82">
        <f>MEXtabs!R137</f>
        <v>147.05000000000001</v>
      </c>
      <c r="S68" s="83">
        <f>MEXtabs!S137</f>
        <v>1.3743566100374649</v>
      </c>
      <c r="T68" s="84">
        <f>MEXtabs!T137</f>
        <v>43.332753138987364</v>
      </c>
      <c r="U68" s="83">
        <f>MEXtabs!U137</f>
        <v>1.4126341278709802</v>
      </c>
    </row>
    <row r="69" spans="1:24">
      <c r="L69" s="85" t="str">
        <f>MEXtabs!L138</f>
        <v>NXH300*</v>
      </c>
      <c r="M69" s="85">
        <f>MEXtabs!M138</f>
        <v>300</v>
      </c>
      <c r="N69" s="86">
        <f>MEXtabs!N138</f>
        <v>4</v>
      </c>
      <c r="O69" s="86">
        <f>MEXtabs!O138</f>
        <v>3</v>
      </c>
      <c r="P69" s="87"/>
      <c r="Q69" s="87">
        <f>MEXtabs!Q138</f>
        <v>3.7047905897248823</v>
      </c>
      <c r="R69" s="85">
        <f>MEXtabs!R138</f>
        <v>153.21</v>
      </c>
      <c r="S69" s="86">
        <f>MEXtabs!S138</f>
        <v>1.6807536584989653</v>
      </c>
      <c r="T69" s="87">
        <f>MEXtabs!T138</f>
        <v>43.273786206386291</v>
      </c>
      <c r="U69" s="86">
        <f>MEXtabs!U138</f>
        <v>1.4132794594747651</v>
      </c>
    </row>
    <row r="74" spans="1:24">
      <c r="L74" s="5" t="s">
        <v>296</v>
      </c>
    </row>
    <row r="76" spans="1:24" ht="51">
      <c r="L76" s="77" t="s">
        <v>278</v>
      </c>
      <c r="M76" s="77" t="s">
        <v>279</v>
      </c>
      <c r="N76" s="77" t="s">
        <v>280</v>
      </c>
      <c r="O76" s="77" t="s">
        <v>281</v>
      </c>
      <c r="P76" s="77" t="s">
        <v>287</v>
      </c>
      <c r="Q76" s="77" t="s">
        <v>288</v>
      </c>
      <c r="R76" s="77" t="s">
        <v>282</v>
      </c>
      <c r="S76" s="77" t="s">
        <v>283</v>
      </c>
      <c r="T76" s="77" t="s">
        <v>289</v>
      </c>
      <c r="U76" s="77" t="s">
        <v>284</v>
      </c>
      <c r="V76" s="76"/>
      <c r="W76" s="78" t="s">
        <v>285</v>
      </c>
      <c r="X76" s="78" t="s">
        <v>286</v>
      </c>
    </row>
    <row r="77" spans="1:24">
      <c r="L77" s="1" t="s">
        <v>216</v>
      </c>
      <c r="M77" s="1">
        <v>40</v>
      </c>
      <c r="N77" s="75">
        <v>0.5</v>
      </c>
      <c r="O77" s="75"/>
      <c r="P77" s="3">
        <f>MEX!C12</f>
        <v>0.57492783060838692</v>
      </c>
      <c r="Q77" s="3"/>
      <c r="R77" s="75">
        <v>17.956</v>
      </c>
      <c r="S77" s="75">
        <f>MEX!W12</f>
        <v>1.8019770692792743</v>
      </c>
      <c r="T77" s="3">
        <f>MEX!M12</f>
        <v>47.693535864374525</v>
      </c>
      <c r="U77" s="75">
        <f>'MEX-u'!N12</f>
        <v>1.6982013766127411</v>
      </c>
      <c r="W77" s="75">
        <f>MEX!N12</f>
        <v>0.31039717099619979</v>
      </c>
      <c r="X77" s="75">
        <v>0.7</v>
      </c>
    </row>
    <row r="78" spans="1:24">
      <c r="L78" s="1" t="s">
        <v>218</v>
      </c>
      <c r="M78" s="1">
        <v>50</v>
      </c>
      <c r="N78" s="75">
        <v>0.5</v>
      </c>
      <c r="O78" s="75"/>
      <c r="P78" s="3">
        <f>MEX!C13</f>
        <v>0.68410318438743511</v>
      </c>
      <c r="Q78" s="3"/>
      <c r="R78" s="75">
        <v>19.5</v>
      </c>
      <c r="S78" s="75">
        <f>MEX!W13</f>
        <v>2.737821518171756</v>
      </c>
      <c r="T78" s="3">
        <f>MEX!M13</f>
        <v>47.316194322138813</v>
      </c>
      <c r="U78" s="75">
        <f>'MEX-u'!N13</f>
        <v>1.530998724042586</v>
      </c>
      <c r="W78" s="75">
        <f>MEX!N13</f>
        <v>8.0713672413285018E-2</v>
      </c>
      <c r="X78" s="75">
        <v>0.7</v>
      </c>
    </row>
    <row r="79" spans="1:24">
      <c r="L79" s="1" t="s">
        <v>221</v>
      </c>
      <c r="M79" s="1">
        <v>60</v>
      </c>
      <c r="N79" s="75">
        <v>0.5</v>
      </c>
      <c r="O79" s="75"/>
      <c r="P79" s="3">
        <f>MEX!C14</f>
        <v>0.78881379165109278</v>
      </c>
      <c r="Q79" s="3"/>
      <c r="R79" s="75">
        <v>20.856999999999999</v>
      </c>
      <c r="S79" s="75">
        <f>MEX!W14</f>
        <v>3.4684158768750319</v>
      </c>
      <c r="T79" s="3">
        <f>MEX!M14</f>
        <v>46.813271686133454</v>
      </c>
      <c r="U79" s="75">
        <f>'MEX-u'!N14</f>
        <v>1.6244123449245849</v>
      </c>
      <c r="W79" s="75">
        <f>MEX!N14</f>
        <v>0.32520141868132418</v>
      </c>
      <c r="X79" s="75">
        <v>0.7</v>
      </c>
    </row>
    <row r="80" spans="1:24">
      <c r="L80" s="1" t="s">
        <v>223</v>
      </c>
      <c r="M80" s="1">
        <v>70</v>
      </c>
      <c r="N80" s="75">
        <v>0.5</v>
      </c>
      <c r="O80" s="75"/>
      <c r="P80" s="3">
        <f>MEX!C15</f>
        <v>0.89521104032277998</v>
      </c>
      <c r="Q80" s="3"/>
      <c r="R80" s="75">
        <v>22.146999999999998</v>
      </c>
      <c r="S80" s="75">
        <f>MEX!W15</f>
        <v>4.1450178898030403</v>
      </c>
      <c r="T80" s="3">
        <f>MEX!M15</f>
        <v>46.58433497953672</v>
      </c>
      <c r="U80" s="75">
        <f>'MEX-u'!N15</f>
        <v>1.4850535776462437</v>
      </c>
      <c r="W80" s="75">
        <f>MEX!N15</f>
        <v>0.11817842860713516</v>
      </c>
      <c r="X80" s="75">
        <v>0.7</v>
      </c>
    </row>
    <row r="81" spans="12:24">
      <c r="L81" s="1" t="s">
        <v>227</v>
      </c>
      <c r="M81" s="1">
        <v>80</v>
      </c>
      <c r="N81" s="75">
        <v>0.5</v>
      </c>
      <c r="O81" s="75"/>
      <c r="P81" s="3">
        <f>MEX!C16</f>
        <v>1.0168942180395382</v>
      </c>
      <c r="Q81" s="3"/>
      <c r="R81" s="75">
        <v>23.48</v>
      </c>
      <c r="S81" s="75">
        <f>MEX!W16</f>
        <v>4.8068940348088303</v>
      </c>
      <c r="T81" s="3">
        <f>MEX!M16</f>
        <v>46.356066401222279</v>
      </c>
      <c r="U81" s="75">
        <f>'MEX-u'!N16</f>
        <v>1.4984696517596319</v>
      </c>
      <c r="W81" s="75">
        <f>MEX!N16</f>
        <v>0.18904965324503065</v>
      </c>
      <c r="X81" s="75">
        <v>0.7</v>
      </c>
    </row>
    <row r="82" spans="12:24">
      <c r="L82" s="1" t="s">
        <v>229</v>
      </c>
      <c r="M82" s="1">
        <v>90</v>
      </c>
      <c r="N82" s="75">
        <v>0.5</v>
      </c>
      <c r="O82" s="75"/>
      <c r="P82" s="3">
        <f>MEX!C17</f>
        <v>1.1524525686905205</v>
      </c>
      <c r="Q82" s="3"/>
      <c r="R82" s="75">
        <v>24.878</v>
      </c>
      <c r="S82" s="75">
        <f>MEX!W17</f>
        <v>5.4523121200535467</v>
      </c>
      <c r="T82" s="3">
        <f>MEX!M17</f>
        <v>46.158010183854593</v>
      </c>
      <c r="U82" s="75">
        <f>'MEX-u'!N17</f>
        <v>1.4694746491855002</v>
      </c>
      <c r="W82" s="75">
        <f>MEX!N17</f>
        <v>0.15095749014195234</v>
      </c>
      <c r="X82" s="75">
        <v>0.7</v>
      </c>
    </row>
    <row r="83" spans="12:24">
      <c r="L83" s="1" t="s">
        <v>231</v>
      </c>
      <c r="M83" s="1">
        <v>100</v>
      </c>
      <c r="N83" s="75">
        <v>0.5</v>
      </c>
      <c r="O83" s="75"/>
      <c r="P83" s="3">
        <f>MEX!C18</f>
        <v>1.3031305701207649</v>
      </c>
      <c r="Q83" s="3"/>
      <c r="R83" s="75">
        <v>26.34</v>
      </c>
      <c r="S83" s="75">
        <f>MEX!W18</f>
        <v>6.083126630200046</v>
      </c>
      <c r="T83" s="3">
        <f>MEX!M18</f>
        <v>45.974847556635403</v>
      </c>
      <c r="U83" s="75">
        <f>'MEX-u'!N18</f>
        <v>1.4418748489186048</v>
      </c>
      <c r="W83" s="75">
        <f>MEX!N18</f>
        <v>9.4554063168838617E-2</v>
      </c>
      <c r="X83" s="75">
        <v>0.7</v>
      </c>
    </row>
    <row r="84" spans="12:24">
      <c r="L84" s="1" t="s">
        <v>977</v>
      </c>
      <c r="M84" s="1">
        <v>40</v>
      </c>
      <c r="N84" s="75">
        <v>1</v>
      </c>
      <c r="O84" s="75"/>
      <c r="P84" s="3">
        <f>MEX!C19</f>
        <v>0.9258920135550176</v>
      </c>
      <c r="Q84" s="3"/>
      <c r="R84" s="75">
        <v>20.93</v>
      </c>
      <c r="S84" s="75">
        <f>MEX!W19</f>
        <v>1.0507108322148071</v>
      </c>
      <c r="T84" s="3">
        <f>MEX!M19</f>
        <v>46.203313821965558</v>
      </c>
      <c r="U84" s="75">
        <f>'MEX-u'!N19</f>
        <v>1.4949049878600507</v>
      </c>
      <c r="W84" s="75">
        <f>MEX!N19</f>
        <v>0.17192531274437639</v>
      </c>
      <c r="X84" s="75">
        <v>0.7</v>
      </c>
    </row>
    <row r="85" spans="12:24">
      <c r="L85" s="1" t="s">
        <v>978</v>
      </c>
      <c r="M85" s="1">
        <v>50</v>
      </c>
      <c r="N85" s="75">
        <v>1</v>
      </c>
      <c r="O85" s="75"/>
      <c r="P85" s="3">
        <f>MEX!C20</f>
        <v>1.1174180366661788</v>
      </c>
      <c r="Q85" s="3"/>
      <c r="R85" s="75">
        <v>22.646000000000001</v>
      </c>
      <c r="S85" s="75">
        <f>MEX!W20</f>
        <v>1.5824054702653265</v>
      </c>
      <c r="T85" s="3">
        <f>MEX!M20</f>
        <v>45.914809793111083</v>
      </c>
      <c r="U85" s="75">
        <f>'MEX-u'!N20</f>
        <v>1.5247315580035847</v>
      </c>
      <c r="W85" s="75">
        <f>MEX!N20</f>
        <v>0.25456194594017334</v>
      </c>
      <c r="X85" s="75">
        <v>0.7</v>
      </c>
    </row>
    <row r="86" spans="12:24">
      <c r="L86" s="1" t="s">
        <v>979</v>
      </c>
      <c r="M86" s="1">
        <v>60</v>
      </c>
      <c r="N86" s="75">
        <v>1</v>
      </c>
      <c r="O86" s="75"/>
      <c r="P86" s="3">
        <f>MEX!C21</f>
        <v>1.2886011015031504</v>
      </c>
      <c r="Q86" s="3"/>
      <c r="R86" s="75">
        <v>24.094999999999999</v>
      </c>
      <c r="S86" s="75">
        <f>MEX!W21</f>
        <v>2.114331045347686</v>
      </c>
      <c r="T86" s="3">
        <f>MEX!M21</f>
        <v>45.792090469114378</v>
      </c>
      <c r="U86" s="75">
        <f>'MEX-u'!N21</f>
        <v>1.5168225421997155</v>
      </c>
      <c r="W86" s="75">
        <f>MEX!N21</f>
        <v>0.25637435864401875</v>
      </c>
      <c r="X86" s="75">
        <v>0.7</v>
      </c>
    </row>
    <row r="87" spans="12:24">
      <c r="L87" s="1" t="s">
        <v>980</v>
      </c>
      <c r="M87" s="1">
        <v>70</v>
      </c>
      <c r="N87" s="75">
        <v>1</v>
      </c>
      <c r="O87" s="75"/>
      <c r="P87" s="3">
        <f>MEX!C22</f>
        <v>1.4584444510077763</v>
      </c>
      <c r="Q87" s="3"/>
      <c r="R87" s="75">
        <v>25.442</v>
      </c>
      <c r="S87" s="75">
        <f>MEX!W22</f>
        <v>2.6337193158119625</v>
      </c>
      <c r="T87" s="3">
        <f>MEX!M22</f>
        <v>45.625916563366793</v>
      </c>
      <c r="U87" s="75">
        <f>'MEX-u'!N22</f>
        <v>1.4340013881845419</v>
      </c>
      <c r="W87" s="75">
        <f>MEX!N22</f>
        <v>9.581560313192769E-2</v>
      </c>
      <c r="X87" s="75">
        <v>0.7</v>
      </c>
    </row>
    <row r="88" spans="12:24">
      <c r="L88" s="1" t="s">
        <v>981</v>
      </c>
      <c r="M88" s="1">
        <v>80</v>
      </c>
      <c r="N88" s="75">
        <v>1</v>
      </c>
      <c r="O88" s="75"/>
      <c r="P88" s="3">
        <f>MEX!C23</f>
        <v>1.6431678445072386</v>
      </c>
      <c r="Q88" s="3"/>
      <c r="R88" s="75">
        <v>26.841999999999999</v>
      </c>
      <c r="S88" s="75">
        <f>MEX!W23</f>
        <v>3.1672754372213583</v>
      </c>
      <c r="T88" s="3">
        <f>MEX!M23</f>
        <v>45.516912000756918</v>
      </c>
      <c r="U88" s="75">
        <f>'MEX-u'!N23</f>
        <v>1.4453192007367925</v>
      </c>
      <c r="W88" s="75">
        <f>MEX!N23</f>
        <v>0.14392931445657767</v>
      </c>
      <c r="X88" s="75">
        <v>0.7</v>
      </c>
    </row>
    <row r="89" spans="12:24">
      <c r="L89" s="1" t="s">
        <v>982</v>
      </c>
      <c r="M89" s="1">
        <v>90</v>
      </c>
      <c r="N89" s="75">
        <v>1</v>
      </c>
      <c r="O89" s="75"/>
      <c r="P89" s="3">
        <f>MEX!C24</f>
        <v>1.8393319677543469</v>
      </c>
      <c r="Q89" s="3"/>
      <c r="R89" s="75">
        <v>28.32</v>
      </c>
      <c r="S89" s="75">
        <f>MEX!W24</f>
        <v>3.7092619856216902</v>
      </c>
      <c r="T89" s="3">
        <f>MEX!M24</f>
        <v>45.379279329759093</v>
      </c>
      <c r="U89" s="75">
        <f>'MEX-u'!N24</f>
        <v>1.4333938022152437</v>
      </c>
      <c r="W89" s="75">
        <f>MEX!N24</f>
        <v>0.12128734643142701</v>
      </c>
      <c r="X89" s="75">
        <v>0.7</v>
      </c>
    </row>
    <row r="90" spans="12:24">
      <c r="L90" s="1" t="s">
        <v>983</v>
      </c>
      <c r="M90" s="1">
        <v>100</v>
      </c>
      <c r="N90" s="75">
        <v>1</v>
      </c>
      <c r="O90" s="75"/>
      <c r="P90" s="3">
        <f>MEX!C25</f>
        <v>2.0480553989194346</v>
      </c>
      <c r="Q90" s="3"/>
      <c r="R90" s="75">
        <v>29.867000000000001</v>
      </c>
      <c r="S90" s="75">
        <f>MEX!W25</f>
        <v>4.2580945084621344</v>
      </c>
      <c r="T90" s="3">
        <f>MEX!M25</f>
        <v>45.340349958431013</v>
      </c>
      <c r="U90" s="75">
        <f>'MEX-u'!N25</f>
        <v>1.4291647405101793</v>
      </c>
      <c r="W90" s="75">
        <f>MEX!N25</f>
        <v>0.11675547797420903</v>
      </c>
      <c r="X90" s="75">
        <v>0.7</v>
      </c>
    </row>
    <row r="91" spans="12:24">
      <c r="L91" s="1" t="s">
        <v>217</v>
      </c>
      <c r="M91" s="1">
        <v>40</v>
      </c>
      <c r="N91" s="75">
        <v>4</v>
      </c>
      <c r="O91" s="75"/>
      <c r="P91" s="3">
        <f>MEX!C26</f>
        <v>1.8978864505991633</v>
      </c>
      <c r="Q91" s="3">
        <f>MEX!D26</f>
        <v>6.272293453927999E-2</v>
      </c>
      <c r="R91" s="75">
        <v>27.068000000000001</v>
      </c>
      <c r="S91" s="75">
        <f>MEX!W26</f>
        <v>0.16880655413586165</v>
      </c>
      <c r="T91" s="3">
        <f>MEX!M26</f>
        <v>44.99892515741616</v>
      </c>
      <c r="U91" s="75">
        <f>'MEX-u'!N26</f>
        <v>1.4417139643547501</v>
      </c>
      <c r="W91" s="75">
        <f>MEX!N26</f>
        <v>0.1547534238573319</v>
      </c>
      <c r="X91" s="75">
        <v>0.7</v>
      </c>
    </row>
    <row r="92" spans="12:24">
      <c r="L92" s="1" t="s">
        <v>219</v>
      </c>
      <c r="M92" s="1">
        <v>50</v>
      </c>
      <c r="N92" s="75">
        <v>4</v>
      </c>
      <c r="O92" s="75"/>
      <c r="P92" s="3">
        <f>MEX!C27</f>
        <v>2.3884184190002435</v>
      </c>
      <c r="Q92" s="3">
        <f>MEX!D27</f>
        <v>7.9990307372596242E-2</v>
      </c>
      <c r="R92" s="75">
        <v>29.934000000000001</v>
      </c>
      <c r="S92" s="75">
        <f>MEX!W27</f>
        <v>0.36494547749932849</v>
      </c>
      <c r="T92" s="3">
        <f>MEX!M27</f>
        <v>45.021741124033042</v>
      </c>
      <c r="U92" s="75">
        <f>'MEX-u'!N27</f>
        <v>1.4264646955572411</v>
      </c>
      <c r="W92" s="75">
        <f>MEX!N27</f>
        <v>0.12454515930280188</v>
      </c>
      <c r="X92" s="75">
        <v>0.7</v>
      </c>
    </row>
    <row r="93" spans="12:24">
      <c r="L93" s="1" t="s">
        <v>222</v>
      </c>
      <c r="M93" s="1">
        <v>60</v>
      </c>
      <c r="N93" s="75">
        <v>4</v>
      </c>
      <c r="O93" s="75"/>
      <c r="P93" s="3">
        <f>MEX!C28</f>
        <v>2.8058625894538358</v>
      </c>
      <c r="Q93" s="3">
        <f>MEX!D28</f>
        <v>9.5799660048102947E-2</v>
      </c>
      <c r="R93" s="75">
        <v>32.250999999999998</v>
      </c>
      <c r="S93" s="75">
        <f>MEX!W28</f>
        <v>0.57718311185013538</v>
      </c>
      <c r="T93" s="3">
        <f>MEX!M28</f>
        <v>45.047957186376919</v>
      </c>
      <c r="U93" s="75">
        <f>'MEX-u'!N28</f>
        <v>1.4146540518536439</v>
      </c>
      <c r="W93" s="75">
        <f>MEX!N28</f>
        <v>9.03216896681618E-2</v>
      </c>
      <c r="X93" s="75">
        <v>0.7</v>
      </c>
    </row>
    <row r="94" spans="12:24">
      <c r="L94" s="1" t="s">
        <v>224</v>
      </c>
      <c r="M94" s="1">
        <v>70</v>
      </c>
      <c r="N94" s="75">
        <v>4</v>
      </c>
      <c r="O94" s="75"/>
      <c r="P94" s="3">
        <f>MEX!C29</f>
        <v>3.1929733252964523</v>
      </c>
      <c r="Q94" s="3">
        <f>MEX!D29</f>
        <v>0.11135967269909675</v>
      </c>
      <c r="R94" s="75">
        <v>34.274999999999999</v>
      </c>
      <c r="S94" s="75">
        <f>MEX!W29</f>
        <v>0.81063727072613534</v>
      </c>
      <c r="T94" s="3">
        <f>MEX!M29</f>
        <v>44.974926824133554</v>
      </c>
      <c r="U94" s="75">
        <f>'MEX-u'!N29</f>
        <v>1.4232694638915471</v>
      </c>
      <c r="W94" s="75">
        <f>MEX!N29</f>
        <v>0.12189221138703006</v>
      </c>
      <c r="X94" s="75">
        <v>0.7</v>
      </c>
    </row>
    <row r="95" spans="12:24">
      <c r="L95" s="1" t="s">
        <v>228</v>
      </c>
      <c r="M95" s="1">
        <v>80</v>
      </c>
      <c r="N95" s="75">
        <v>4</v>
      </c>
      <c r="O95" s="75"/>
      <c r="P95" s="3">
        <f>MEX!C30</f>
        <v>3.6197123995759788</v>
      </c>
      <c r="Q95" s="3">
        <f>MEX!D30</f>
        <v>0.12923885884326811</v>
      </c>
      <c r="R95" s="75">
        <v>36.328000000000003</v>
      </c>
      <c r="S95" s="75">
        <f>MEX!W30</f>
        <v>1.0802880729181519</v>
      </c>
      <c r="T95" s="3">
        <f>MEX!M30</f>
        <v>44.884206076157788</v>
      </c>
      <c r="U95" s="75">
        <f>'MEX-u'!N30</f>
        <v>1.406671099710582</v>
      </c>
      <c r="W95" s="75">
        <f>MEX!N30</f>
        <v>5.9393569552448539E-2</v>
      </c>
      <c r="X95" s="75">
        <v>0.7</v>
      </c>
    </row>
    <row r="96" spans="12:24">
      <c r="L96" s="1" t="s">
        <v>230</v>
      </c>
      <c r="M96" s="1">
        <v>90</v>
      </c>
      <c r="N96" s="75">
        <v>4</v>
      </c>
      <c r="O96" s="75"/>
      <c r="P96" s="3">
        <f>MEX!C31</f>
        <v>4.0393687541302778</v>
      </c>
      <c r="Q96" s="3">
        <f>MEX!D31</f>
        <v>0.14848211806760514</v>
      </c>
      <c r="R96" s="75">
        <v>38.384999999999998</v>
      </c>
      <c r="S96" s="75">
        <f>MEX!W31</f>
        <v>1.3821064635114191</v>
      </c>
      <c r="T96" s="3">
        <f>MEX!M31</f>
        <v>44.84083069639663</v>
      </c>
      <c r="U96" s="75">
        <f>'MEX-u'!N31</f>
        <v>1.413034349894986</v>
      </c>
      <c r="W96" s="75">
        <f>MEX!N31</f>
        <v>9.1151777579023568E-2</v>
      </c>
      <c r="X96" s="75">
        <v>0.7</v>
      </c>
    </row>
    <row r="97" spans="12:24">
      <c r="L97" s="1" t="s">
        <v>220</v>
      </c>
      <c r="M97" s="1">
        <v>50</v>
      </c>
      <c r="N97" s="75">
        <v>4.5</v>
      </c>
      <c r="O97" s="75"/>
      <c r="P97" s="3">
        <f>MEX!C32</f>
        <v>2.5292585864499295</v>
      </c>
      <c r="Q97" s="3">
        <f>MEX!D32</f>
        <v>8.4996170866672577E-2</v>
      </c>
      <c r="R97" s="75">
        <v>30.623000000000001</v>
      </c>
      <c r="S97" s="75">
        <f>MEX!W32</f>
        <v>0.31069524293476081</v>
      </c>
      <c r="T97" s="3">
        <f>MEX!M32</f>
        <v>44.909193923534019</v>
      </c>
      <c r="U97" s="75">
        <f>'MEX-u'!N32</f>
        <v>1.5165485274712465</v>
      </c>
      <c r="W97" s="75">
        <f>MEX!N32</f>
        <v>0.28696017582077399</v>
      </c>
      <c r="X97" s="75">
        <v>0.7</v>
      </c>
    </row>
    <row r="98" spans="12:24">
      <c r="L98" s="1" t="s">
        <v>225</v>
      </c>
      <c r="M98" s="1">
        <v>70</v>
      </c>
      <c r="N98" s="75">
        <v>4.5</v>
      </c>
      <c r="O98" s="75"/>
      <c r="P98" s="3">
        <f>MEX!C33</f>
        <v>3.3915742452383575</v>
      </c>
      <c r="Q98" s="3">
        <f>MEX!D33</f>
        <v>0.11942976937282476</v>
      </c>
      <c r="R98" s="75">
        <v>35.19</v>
      </c>
      <c r="S98" s="75">
        <f>MEX!W33</f>
        <v>0.71410395997552412</v>
      </c>
      <c r="T98" s="3">
        <f>MEX!M33</f>
        <v>44.93060349187283</v>
      </c>
      <c r="U98" s="75">
        <f>'MEX-u'!N33</f>
        <v>1.4151641603155192</v>
      </c>
      <c r="W98" s="75">
        <f>MEX!N33</f>
        <v>9.7054140847596698E-2</v>
      </c>
      <c r="X98" s="75">
        <v>0.7</v>
      </c>
    </row>
    <row r="99" spans="12:24">
      <c r="L99" s="1" t="s">
        <v>232</v>
      </c>
      <c r="M99" s="1">
        <v>100</v>
      </c>
      <c r="N99" s="75">
        <v>4.5</v>
      </c>
      <c r="O99" s="75"/>
      <c r="P99" s="3">
        <f>MEX!C34</f>
        <v>4.7352150332082985</v>
      </c>
      <c r="Q99" s="3">
        <f>MEX!D34</f>
        <v>0.18268575344478749</v>
      </c>
      <c r="R99" s="75">
        <v>41.587000000000003</v>
      </c>
      <c r="S99" s="75">
        <f>MEX!W34</f>
        <v>1.5509425824921932</v>
      </c>
      <c r="T99" s="3">
        <f>MEX!M34</f>
        <v>44.778484986701471</v>
      </c>
      <c r="U99" s="75">
        <f>'MEX-u'!N34</f>
        <v>1.404760785574442</v>
      </c>
      <c r="W99" s="75">
        <f>MEX!N34</f>
        <v>5.3248071393559616E-2</v>
      </c>
      <c r="X99" s="75">
        <v>0.7</v>
      </c>
    </row>
    <row r="100" spans="12:24">
      <c r="L100" s="1" t="s">
        <v>235</v>
      </c>
      <c r="M100" s="1">
        <v>120</v>
      </c>
      <c r="N100" s="75">
        <v>4.5</v>
      </c>
      <c r="O100" s="75"/>
      <c r="P100" s="3">
        <f>MEX!C35</f>
        <v>5.5559969759148071</v>
      </c>
      <c r="Q100" s="3">
        <f>MEX!D35</f>
        <v>0.22971681375447262</v>
      </c>
      <c r="R100" s="75">
        <v>45.744</v>
      </c>
      <c r="S100" s="75">
        <f>MEX!W35</f>
        <v>2.2310891902919789</v>
      </c>
      <c r="T100" s="3">
        <f>MEX!M35</f>
        <v>44.639950752706113</v>
      </c>
      <c r="U100" s="75">
        <f>'MEX-u'!N35</f>
        <v>1.4138701514200549</v>
      </c>
      <c r="W100" s="75">
        <f>MEX!N35</f>
        <v>9.7101355600959879E-2</v>
      </c>
      <c r="X100" s="75">
        <v>0.7</v>
      </c>
    </row>
    <row r="101" spans="12:24">
      <c r="L101" s="1" t="s">
        <v>239</v>
      </c>
      <c r="M101" s="1">
        <v>140</v>
      </c>
      <c r="N101" s="75">
        <v>4.5</v>
      </c>
      <c r="O101" s="75"/>
      <c r="P101" s="3">
        <f>MEX!C36</f>
        <v>6.3330445132980557</v>
      </c>
      <c r="Q101" s="3">
        <f>MEX!D36</f>
        <v>0.28214314856452327</v>
      </c>
      <c r="R101" s="75">
        <v>49.868000000000002</v>
      </c>
      <c r="S101" s="75">
        <f>MEX!W36</f>
        <v>2.9915534007871925</v>
      </c>
      <c r="T101" s="3">
        <f>MEX!M36</f>
        <v>44.472387610906146</v>
      </c>
      <c r="U101" s="75">
        <f>'MEX-u'!N36</f>
        <v>1.4510491860374204</v>
      </c>
      <c r="W101" s="75">
        <f>MEX!N36</f>
        <v>0.18999471875948548</v>
      </c>
      <c r="X101" s="75">
        <v>0.7</v>
      </c>
    </row>
    <row r="102" spans="12:24">
      <c r="L102" s="1" t="s">
        <v>226</v>
      </c>
      <c r="M102" s="1">
        <v>70</v>
      </c>
      <c r="N102" s="75">
        <v>6</v>
      </c>
      <c r="O102" s="75"/>
      <c r="P102" s="3">
        <f>MEX!C37</f>
        <v>3.9520687461764625</v>
      </c>
      <c r="Q102" s="3">
        <f>MEX!D37</f>
        <v>0.14140515813491988</v>
      </c>
      <c r="R102" s="75">
        <v>37.509</v>
      </c>
      <c r="S102" s="75">
        <f>MEX!W37</f>
        <v>0.51116160491747753</v>
      </c>
      <c r="T102" s="3">
        <f>MEX!M37</f>
        <v>44.834642207686024</v>
      </c>
      <c r="U102" s="75">
        <f>'MEX-u'!N37</f>
        <v>1.5185628092241839</v>
      </c>
      <c r="W102" s="75">
        <f>MEX!N37</f>
        <v>0.29291712120084284</v>
      </c>
      <c r="X102" s="75">
        <v>0.7</v>
      </c>
    </row>
    <row r="103" spans="12:24">
      <c r="L103" s="1" t="s">
        <v>233</v>
      </c>
      <c r="M103" s="1">
        <v>100</v>
      </c>
      <c r="N103" s="75">
        <v>6</v>
      </c>
      <c r="O103" s="75"/>
      <c r="P103" s="3">
        <f>MEX!C38</f>
        <v>5.4850226957751094</v>
      </c>
      <c r="Q103" s="3">
        <f>MEX!D38</f>
        <v>0.221397651099389</v>
      </c>
      <c r="R103" s="75">
        <v>44.582999999999998</v>
      </c>
      <c r="S103" s="75">
        <f>MEX!W38</f>
        <v>1.2007260922271803</v>
      </c>
      <c r="T103" s="3">
        <f>MEX!M38</f>
        <v>44.731165114354809</v>
      </c>
      <c r="U103" s="75">
        <f>'MEX-u'!N38</f>
        <v>1.4428108098693582</v>
      </c>
      <c r="W103" s="75">
        <f>MEX!N38</f>
        <v>0.17369892987273311</v>
      </c>
      <c r="X103" s="75">
        <v>0.7</v>
      </c>
    </row>
    <row r="104" spans="12:24">
      <c r="L104" s="1" t="s">
        <v>236</v>
      </c>
      <c r="M104" s="1">
        <v>120</v>
      </c>
      <c r="N104" s="75">
        <v>6</v>
      </c>
      <c r="O104" s="75"/>
      <c r="P104" s="3">
        <f>MEX!C39</f>
        <v>6.3769778478391608</v>
      </c>
      <c r="Q104" s="3">
        <f>MEX!D39</f>
        <v>0.28062311390349393</v>
      </c>
      <c r="R104" s="75">
        <v>48.945</v>
      </c>
      <c r="S104" s="75">
        <f>MEX!W39</f>
        <v>1.784368405695494</v>
      </c>
      <c r="T104" s="3">
        <f>MEX!M39</f>
        <v>44.596340368679414</v>
      </c>
      <c r="U104" s="75">
        <f>'MEX-u'!N39</f>
        <v>1.4063595223273275</v>
      </c>
      <c r="W104" s="75">
        <f>MEX!N39</f>
        <v>6.5497364433583949E-2</v>
      </c>
      <c r="X104" s="75">
        <v>0.7</v>
      </c>
    </row>
    <row r="105" spans="12:24">
      <c r="L105" s="1" t="s">
        <v>240</v>
      </c>
      <c r="M105" s="1">
        <v>140</v>
      </c>
      <c r="N105" s="75">
        <v>6</v>
      </c>
      <c r="O105" s="75"/>
      <c r="P105" s="3">
        <f>MEX!C40</f>
        <v>7.1952322413084104</v>
      </c>
      <c r="Q105" s="3">
        <f>MEX!D40</f>
        <v>0.34467534185441145</v>
      </c>
      <c r="R105" s="75">
        <v>53.139000000000003</v>
      </c>
      <c r="S105" s="75">
        <f>MEX!W40</f>
        <v>2.4516651230650832</v>
      </c>
      <c r="T105" s="3">
        <f>MEX!M40</f>
        <v>44.43867098352041</v>
      </c>
      <c r="U105" s="75">
        <f>'MEX-u'!N40</f>
        <v>1.4085337398028015</v>
      </c>
      <c r="W105" s="75">
        <f>MEX!N40</f>
        <v>7.6251545818394037E-2</v>
      </c>
      <c r="X105" s="75">
        <v>0.7</v>
      </c>
    </row>
    <row r="106" spans="12:24">
      <c r="L106" s="1" t="s">
        <v>244</v>
      </c>
      <c r="M106" s="1">
        <v>150</v>
      </c>
      <c r="N106" s="75">
        <v>6</v>
      </c>
      <c r="O106" s="75"/>
      <c r="P106" s="3">
        <f>MEX!C41</f>
        <v>7.58221629670666</v>
      </c>
      <c r="Q106" s="3">
        <f>MEX!D41</f>
        <v>0.37860748947727846</v>
      </c>
      <c r="R106" s="75">
        <v>55.186999999999998</v>
      </c>
      <c r="S106" s="75">
        <f>MEX!W41</f>
        <v>2.8173420032097671</v>
      </c>
      <c r="T106" s="3">
        <f>MEX!M41</f>
        <v>44.399662164670268</v>
      </c>
      <c r="U106" s="75">
        <f>'MEX-u'!N41</f>
        <v>1.4042512100373497</v>
      </c>
      <c r="W106" s="75">
        <f>MEX!N41</f>
        <v>5.2721405839042786E-2</v>
      </c>
      <c r="X106" s="75">
        <v>0.7</v>
      </c>
    </row>
    <row r="107" spans="12:24">
      <c r="L107" s="1" t="s">
        <v>234</v>
      </c>
      <c r="M107" s="1">
        <v>100</v>
      </c>
      <c r="N107" s="75">
        <v>9</v>
      </c>
      <c r="O107" s="75"/>
      <c r="P107" s="3">
        <f>MEX!C42</f>
        <v>6.6136409012352111</v>
      </c>
      <c r="Q107" s="3">
        <f>MEX!D42</f>
        <v>0.29051611469154731</v>
      </c>
      <c r="R107" s="75">
        <v>49.084000000000003</v>
      </c>
      <c r="S107" s="75">
        <f>MEX!W42</f>
        <v>0.79542543444726566</v>
      </c>
      <c r="T107" s="3">
        <f>MEX!M42</f>
        <v>44.632603356945602</v>
      </c>
      <c r="U107" s="75">
        <f>'MEX-u'!N42</f>
        <v>1.440471903905608</v>
      </c>
      <c r="W107" s="75">
        <f>MEX!N42</f>
        <v>0.16927965500608885</v>
      </c>
      <c r="X107" s="75">
        <v>0.7</v>
      </c>
    </row>
    <row r="108" spans="12:24">
      <c r="L108" s="1" t="s">
        <v>237</v>
      </c>
      <c r="M108" s="1">
        <v>120</v>
      </c>
      <c r="N108" s="75">
        <v>9</v>
      </c>
      <c r="O108" s="75"/>
      <c r="P108" s="3">
        <f>MEX!C43</f>
        <v>7.588179482309295</v>
      </c>
      <c r="Q108" s="3">
        <f>MEX!D43</f>
        <v>0.36809931938124019</v>
      </c>
      <c r="R108" s="75">
        <v>53.752000000000002</v>
      </c>
      <c r="S108" s="75">
        <f>MEX!W43</f>
        <v>1.242768517947378</v>
      </c>
      <c r="T108" s="3">
        <f>MEX!M43</f>
        <v>44.507133371596417</v>
      </c>
      <c r="U108" s="75">
        <f>'MEX-u'!N43</f>
        <v>1.4108031833771075</v>
      </c>
      <c r="W108" s="75">
        <f>MEX!N43</f>
        <v>8.6763690056855386E-2</v>
      </c>
      <c r="X108" s="75">
        <v>0.7</v>
      </c>
    </row>
    <row r="109" spans="12:24">
      <c r="L109" s="1" t="s">
        <v>241</v>
      </c>
      <c r="M109" s="1">
        <v>140</v>
      </c>
      <c r="N109" s="75">
        <v>9</v>
      </c>
      <c r="O109" s="75"/>
      <c r="P109" s="3">
        <f>MEX!C44</f>
        <v>8.4359614589862257</v>
      </c>
      <c r="Q109" s="3">
        <f>MEX!D44</f>
        <v>0.45081671702125536</v>
      </c>
      <c r="R109" s="75">
        <v>58.063000000000002</v>
      </c>
      <c r="S109" s="75">
        <f>MEX!W44</f>
        <v>1.7690624666352799</v>
      </c>
      <c r="T109" s="3">
        <f>MEX!M44</f>
        <v>44.384979291011668</v>
      </c>
      <c r="U109" s="75">
        <f>'MEX-u'!N44</f>
        <v>1.4143993050722117</v>
      </c>
      <c r="W109" s="75">
        <f>MEX!N44</f>
        <v>0.10016882260385546</v>
      </c>
      <c r="X109" s="75">
        <v>0.7</v>
      </c>
    </row>
    <row r="110" spans="12:24">
      <c r="L110" s="1" t="s">
        <v>245</v>
      </c>
      <c r="M110" s="1">
        <v>150</v>
      </c>
      <c r="N110" s="75">
        <v>9</v>
      </c>
      <c r="O110" s="75"/>
      <c r="P110" s="3">
        <f>MEX!C45</f>
        <v>8.831676949720114</v>
      </c>
      <c r="Q110" s="3">
        <f>MEX!D45</f>
        <v>0.49291798086961647</v>
      </c>
      <c r="R110" s="75">
        <v>60.128</v>
      </c>
      <c r="S110" s="75">
        <f>MEX!W45</f>
        <v>2.063165282998574</v>
      </c>
      <c r="T110" s="3">
        <f>MEX!M45</f>
        <v>44.335713004340583</v>
      </c>
      <c r="U110" s="75">
        <f>'MEX-u'!N45</f>
        <v>1.4184206249141764</v>
      </c>
      <c r="W110" s="75">
        <f>MEX!N45</f>
        <v>0.11334549582866051</v>
      </c>
      <c r="X110" s="75">
        <v>0.7</v>
      </c>
    </row>
    <row r="111" spans="12:24">
      <c r="L111" s="1" t="s">
        <v>249</v>
      </c>
      <c r="M111" s="1">
        <v>200</v>
      </c>
      <c r="N111" s="75">
        <v>9</v>
      </c>
      <c r="O111" s="75"/>
      <c r="P111" s="3">
        <f>MEX!C46</f>
        <v>10.533127916478346</v>
      </c>
      <c r="Q111" s="3">
        <f>MEX!D46</f>
        <v>0.73230337407773993</v>
      </c>
      <c r="R111" s="75">
        <v>69.760999999999996</v>
      </c>
      <c r="S111" s="75">
        <f>MEX!W46</f>
        <v>2.8572849185807008</v>
      </c>
      <c r="T111" s="3">
        <f>MEX!M46</f>
        <v>44.064629911769998</v>
      </c>
      <c r="U111" s="75">
        <f>'MEX-u'!N46</f>
        <v>1.4223080532473165</v>
      </c>
      <c r="W111" s="75">
        <f>MEX!N46</f>
        <v>0.12400751442130487</v>
      </c>
      <c r="X111" s="75">
        <v>0.7</v>
      </c>
    </row>
    <row r="112" spans="12:24">
      <c r="L112" s="1" t="s">
        <v>238</v>
      </c>
      <c r="M112" s="1">
        <v>120</v>
      </c>
      <c r="N112" s="75">
        <v>4</v>
      </c>
      <c r="O112" s="75">
        <v>0.5</v>
      </c>
      <c r="P112" s="3">
        <f>MEX!C47</f>
        <v>10.310491894063471</v>
      </c>
      <c r="Q112" s="3">
        <f>MEX!D47</f>
        <v>0.6348381723836316</v>
      </c>
      <c r="R112" s="75">
        <v>65</v>
      </c>
      <c r="S112" s="75">
        <f>MEX!W47</f>
        <v>0.74278765238565925</v>
      </c>
      <c r="T112" s="3">
        <f>MEX!M47</f>
        <v>44.240487322441858</v>
      </c>
      <c r="U112" s="75">
        <f>'MEX-u'!N47</f>
        <v>1.4415392478297151</v>
      </c>
      <c r="W112" s="75">
        <f>MEX!N47</f>
        <v>0.17176295052642271</v>
      </c>
      <c r="X112" s="75">
        <v>0.7</v>
      </c>
    </row>
    <row r="113" spans="12:24">
      <c r="L113" s="1" t="s">
        <v>242</v>
      </c>
      <c r="M113" s="1">
        <v>140</v>
      </c>
      <c r="N113" s="75">
        <v>4</v>
      </c>
      <c r="O113" s="75">
        <v>0.5</v>
      </c>
      <c r="P113" s="3"/>
      <c r="Q113" s="3">
        <f>MEX!D48</f>
        <v>0.76915213495507195</v>
      </c>
      <c r="R113" s="75">
        <v>69.849999999999994</v>
      </c>
      <c r="S113" s="75">
        <f>MEX!W48</f>
        <v>1.1633580611670098</v>
      </c>
      <c r="T113" s="3">
        <f>MEX!M48</f>
        <v>44.18764444505527</v>
      </c>
      <c r="U113" s="75">
        <f>'MEX-u'!N48</f>
        <v>1.4486375449833988</v>
      </c>
      <c r="W113" s="75">
        <f>MEX!N48</f>
        <v>0.18595375418180343</v>
      </c>
      <c r="X113" s="75">
        <v>0.7</v>
      </c>
    </row>
    <row r="114" spans="12:24">
      <c r="L114" s="1" t="s">
        <v>246</v>
      </c>
      <c r="M114" s="1">
        <v>150</v>
      </c>
      <c r="N114" s="75">
        <v>4</v>
      </c>
      <c r="O114" s="75">
        <v>0.5</v>
      </c>
      <c r="P114" s="3"/>
      <c r="Q114" s="3">
        <f>MEX!D49</f>
        <v>0.83812332024006297</v>
      </c>
      <c r="R114" s="75">
        <v>72.150000000000006</v>
      </c>
      <c r="S114" s="75">
        <f>MEX!W49</f>
        <v>1.4090771030362672</v>
      </c>
      <c r="T114" s="3">
        <f>MEX!M49</f>
        <v>44.039866906401102</v>
      </c>
      <c r="U114" s="75">
        <f>'MEX-u'!N49</f>
        <v>1.4254696449329258</v>
      </c>
      <c r="W114" s="75">
        <f>MEX!N49</f>
        <v>0.13369418486898602</v>
      </c>
      <c r="X114" s="75">
        <v>0.7</v>
      </c>
    </row>
    <row r="115" spans="12:24">
      <c r="L115" s="1" t="s">
        <v>250</v>
      </c>
      <c r="M115" s="1">
        <v>200</v>
      </c>
      <c r="N115" s="75">
        <v>4</v>
      </c>
      <c r="O115" s="75">
        <v>0.5</v>
      </c>
      <c r="P115" s="3"/>
      <c r="Q115" s="3">
        <f>MEX!D50</f>
        <v>1.2072306039939562</v>
      </c>
      <c r="R115" s="75">
        <v>82.81</v>
      </c>
      <c r="S115" s="75">
        <f>MEX!W50</f>
        <v>2.2118537872145509</v>
      </c>
      <c r="T115" s="3">
        <f>MEX!M50</f>
        <v>43.783577929116746</v>
      </c>
      <c r="U115" s="75">
        <f>'MEX-u'!N50</f>
        <v>1.4033661216368654</v>
      </c>
      <c r="W115" s="75">
        <f>MEX!N50</f>
        <v>4.3035314309669198E-2</v>
      </c>
      <c r="X115" s="75">
        <v>0.7</v>
      </c>
    </row>
    <row r="116" spans="12:24">
      <c r="L116" s="1" t="s">
        <v>254</v>
      </c>
      <c r="M116" s="1">
        <v>250</v>
      </c>
      <c r="N116" s="75">
        <v>4</v>
      </c>
      <c r="O116" s="75">
        <v>0.5</v>
      </c>
      <c r="P116" s="3"/>
      <c r="Q116" s="3">
        <f>MEX!D51</f>
        <v>1.6128041668984248</v>
      </c>
      <c r="R116" s="75">
        <v>92.84</v>
      </c>
      <c r="S116" s="75">
        <f>MEX!W51</f>
        <v>3.001836445045782</v>
      </c>
      <c r="T116" s="3">
        <f>MEX!M51</f>
        <v>43.729792205959406</v>
      </c>
      <c r="U116" s="75">
        <f>'MEX-u'!N51</f>
        <v>1.422341580792478</v>
      </c>
      <c r="W116" s="75">
        <f>MEX!N51</f>
        <v>0.12452638514758195</v>
      </c>
      <c r="X116" s="75">
        <v>0.7</v>
      </c>
    </row>
    <row r="117" spans="12:24">
      <c r="L117" s="1" t="s">
        <v>243</v>
      </c>
      <c r="M117" s="1">
        <v>140</v>
      </c>
      <c r="N117" s="75">
        <v>4</v>
      </c>
      <c r="O117" s="75">
        <v>1</v>
      </c>
      <c r="P117" s="3"/>
      <c r="Q117" s="3">
        <f>MEX!D52</f>
        <v>1.0269176732121137</v>
      </c>
      <c r="R117" s="75">
        <v>78.519000000000005</v>
      </c>
      <c r="S117" s="75">
        <f>MEX!W52</f>
        <v>0.60325691482499955</v>
      </c>
      <c r="T117" s="3">
        <f>MEX!M52</f>
        <v>43.911575134422748</v>
      </c>
      <c r="U117" s="75">
        <f>'MEX-u'!N52</f>
        <v>1.4214091071941664</v>
      </c>
      <c r="W117" s="75">
        <f>MEX!N52</f>
        <v>0.12251478316713191</v>
      </c>
      <c r="X117" s="75">
        <v>0.7</v>
      </c>
    </row>
    <row r="118" spans="12:24">
      <c r="L118" s="1" t="s">
        <v>247</v>
      </c>
      <c r="M118" s="1">
        <v>150</v>
      </c>
      <c r="N118" s="75">
        <v>4</v>
      </c>
      <c r="O118" s="75">
        <v>1</v>
      </c>
      <c r="P118" s="3"/>
      <c r="Q118" s="3">
        <f>MEX!D53</f>
        <v>1.1251186734176981</v>
      </c>
      <c r="R118" s="75">
        <v>81.358000000000004</v>
      </c>
      <c r="S118" s="75">
        <f>MEX!W53</f>
        <v>0.89686145284094199</v>
      </c>
      <c r="T118" s="3">
        <f>MEX!M53</f>
        <v>43.934594021953615</v>
      </c>
      <c r="U118" s="75">
        <f>'MEX-u'!N53</f>
        <v>1.5489138190520089</v>
      </c>
      <c r="W118" s="75">
        <f>MEX!N53</f>
        <v>0.33104442166783032</v>
      </c>
      <c r="X118" s="75">
        <v>0.7</v>
      </c>
    </row>
    <row r="119" spans="12:24">
      <c r="L119" s="1" t="s">
        <v>251</v>
      </c>
      <c r="M119" s="1">
        <v>200</v>
      </c>
      <c r="N119" s="75">
        <v>4</v>
      </c>
      <c r="O119" s="75">
        <v>1</v>
      </c>
      <c r="P119" s="3"/>
      <c r="Q119" s="3">
        <f>MEX!D54</f>
        <v>1.6296937192778045</v>
      </c>
      <c r="R119" s="75">
        <v>94.739000000000004</v>
      </c>
      <c r="S119" s="75">
        <f>MEX!W54</f>
        <v>1.5697420354036626</v>
      </c>
      <c r="T119" s="3">
        <f>MEX!M54</f>
        <v>43.690424941977597</v>
      </c>
      <c r="U119" s="75">
        <f>'MEX-u'!N54</f>
        <v>1.4020436126959597</v>
      </c>
      <c r="W119" s="75">
        <f>MEX!N54</f>
        <v>2.5012539126946752E-2</v>
      </c>
      <c r="X119" s="75">
        <v>0.7</v>
      </c>
    </row>
    <row r="120" spans="12:24">
      <c r="L120" s="1" t="s">
        <v>255</v>
      </c>
      <c r="M120" s="1">
        <v>250</v>
      </c>
      <c r="N120" s="75">
        <v>4</v>
      </c>
      <c r="O120" s="75">
        <v>1</v>
      </c>
      <c r="P120" s="3"/>
      <c r="Q120" s="3">
        <f>MEX!D55</f>
        <v>2.1356721844076167</v>
      </c>
      <c r="R120" s="75">
        <v>107.324</v>
      </c>
      <c r="S120" s="75">
        <f>MEX!W55</f>
        <v>2.2683956986257323</v>
      </c>
      <c r="T120" s="3">
        <f>MEX!M55</f>
        <v>43.548136413860959</v>
      </c>
      <c r="U120" s="75">
        <f>'MEX-u'!N55</f>
        <v>1.5787773430127712</v>
      </c>
      <c r="W120" s="75">
        <f>MEX!N55</f>
        <v>0.36439145459337696</v>
      </c>
      <c r="X120" s="75">
        <v>0.7</v>
      </c>
    </row>
    <row r="121" spans="12:24">
      <c r="L121" s="1" t="s">
        <v>259</v>
      </c>
      <c r="M121" s="1">
        <v>280</v>
      </c>
      <c r="N121" s="75">
        <v>4</v>
      </c>
      <c r="O121" s="75">
        <v>1</v>
      </c>
      <c r="P121" s="3"/>
      <c r="Q121" s="3">
        <f>MEX!D56</f>
        <v>2.4331518775712206</v>
      </c>
      <c r="R121" s="75">
        <v>114.61199999999999</v>
      </c>
      <c r="S121" s="75">
        <f>MEX!W56</f>
        <v>2.5127625014554815</v>
      </c>
      <c r="T121" s="3">
        <f>MEX!M56</f>
        <v>43.547872255342405</v>
      </c>
      <c r="U121" s="75">
        <f>'MEX-u'!N56</f>
        <v>1.4412610516839326</v>
      </c>
      <c r="W121" s="75">
        <f>MEX!N56</f>
        <v>0.17113977814246797</v>
      </c>
      <c r="X121" s="75">
        <v>0.7</v>
      </c>
    </row>
    <row r="122" spans="12:24">
      <c r="L122" s="1" t="s">
        <v>248</v>
      </c>
      <c r="M122" s="1">
        <v>150</v>
      </c>
      <c r="N122" s="75">
        <v>4</v>
      </c>
      <c r="O122" s="75">
        <v>1.6</v>
      </c>
      <c r="P122" s="3"/>
      <c r="Q122" s="3">
        <f>MEX!D57</f>
        <v>1.3834337181000833</v>
      </c>
      <c r="R122" s="75">
        <v>89.066000000000003</v>
      </c>
      <c r="S122" s="75">
        <f>MEX!W57</f>
        <v>0.44814236665108781</v>
      </c>
      <c r="T122" s="3">
        <f>MEX!M57</f>
        <v>43.691969444983592</v>
      </c>
      <c r="U122" s="75">
        <f>'MEX-u'!N57</f>
        <v>1.4059584620549621</v>
      </c>
      <c r="W122" s="75">
        <f>MEX!N57</f>
        <v>6.2064089910257907E-2</v>
      </c>
      <c r="X122" s="75">
        <v>0.7</v>
      </c>
    </row>
    <row r="123" spans="12:24">
      <c r="L123" s="1" t="s">
        <v>252</v>
      </c>
      <c r="M123" s="1">
        <v>200</v>
      </c>
      <c r="N123" s="75">
        <v>4</v>
      </c>
      <c r="O123" s="75">
        <v>1.6</v>
      </c>
      <c r="P123" s="3"/>
      <c r="Q123" s="3">
        <f>MEX!D58</f>
        <v>2.0015314501377075</v>
      </c>
      <c r="R123" s="75">
        <v>105.252</v>
      </c>
      <c r="S123" s="75">
        <f>MEX!W58</f>
        <v>1.1653632876100355</v>
      </c>
      <c r="T123" s="3">
        <f>MEX!M58</f>
        <v>43.576098970172843</v>
      </c>
      <c r="U123" s="75">
        <f>'MEX-u'!N58</f>
        <v>1.4091955478448173</v>
      </c>
      <c r="W123" s="75">
        <f>MEX!N58</f>
        <v>7.2669107176395728E-2</v>
      </c>
      <c r="X123" s="75">
        <v>0.7</v>
      </c>
    </row>
    <row r="124" spans="12:24">
      <c r="L124" s="1" t="s">
        <v>256</v>
      </c>
      <c r="M124" s="1">
        <v>250</v>
      </c>
      <c r="N124" s="75">
        <v>4</v>
      </c>
      <c r="O124" s="75">
        <v>1.6</v>
      </c>
      <c r="P124" s="3"/>
      <c r="Q124" s="3">
        <f>MEX!D59</f>
        <v>2.5711570771389516</v>
      </c>
      <c r="R124" s="75">
        <v>120.09699999999999</v>
      </c>
      <c r="S124" s="75">
        <f>MEX!W59</f>
        <v>1.7745433399352215</v>
      </c>
      <c r="T124" s="3">
        <f>MEX!M59</f>
        <v>43.515276381229619</v>
      </c>
      <c r="U124" s="75">
        <f>'MEX-u'!N59</f>
        <v>1.4187902976852591</v>
      </c>
      <c r="W124" s="75">
        <f>MEX!N59</f>
        <v>0.11311464709562943</v>
      </c>
      <c r="X124" s="75">
        <v>0.7</v>
      </c>
    </row>
    <row r="125" spans="12:24">
      <c r="L125" s="1" t="s">
        <v>260</v>
      </c>
      <c r="M125" s="1">
        <v>280</v>
      </c>
      <c r="N125" s="75">
        <v>4</v>
      </c>
      <c r="O125" s="75">
        <v>1.6</v>
      </c>
      <c r="P125" s="3"/>
      <c r="Q125" s="3">
        <f>MEX!D60</f>
        <v>2.8808623211292477</v>
      </c>
      <c r="R125" s="75">
        <v>128.495</v>
      </c>
      <c r="S125" s="75">
        <f>MEX!W60</f>
        <v>2.0131516705967654</v>
      </c>
      <c r="T125" s="3">
        <f>MEX!M60</f>
        <v>43.417032551541674</v>
      </c>
      <c r="U125" s="75">
        <f>'MEX-u'!N60</f>
        <v>1.4112160246869581</v>
      </c>
      <c r="W125" s="75">
        <f>MEX!N60</f>
        <v>8.8539895136358696E-2</v>
      </c>
      <c r="X125" s="75">
        <v>0.7</v>
      </c>
    </row>
    <row r="126" spans="12:24">
      <c r="L126" s="1" t="s">
        <v>263</v>
      </c>
      <c r="M126" s="1">
        <v>300</v>
      </c>
      <c r="N126" s="75">
        <v>4</v>
      </c>
      <c r="O126" s="75">
        <v>1.6</v>
      </c>
      <c r="P126" s="3"/>
      <c r="Q126" s="3">
        <f>MEX!D61</f>
        <v>3.0951576375640011</v>
      </c>
      <c r="R126" s="75">
        <v>133.916</v>
      </c>
      <c r="S126" s="75">
        <f>MEX!W61</f>
        <v>2.4105553532451731</v>
      </c>
      <c r="T126" s="3">
        <f>MEX!M61</f>
        <v>43.359289173851359</v>
      </c>
      <c r="U126" s="75">
        <f>'MEX-u'!N61</f>
        <v>1.4164756001609529</v>
      </c>
      <c r="W126" s="75">
        <f>MEX!N61</f>
        <v>0.10132526843137067</v>
      </c>
      <c r="X126" s="75">
        <v>0.7</v>
      </c>
    </row>
    <row r="127" spans="12:24">
      <c r="L127" s="1" t="s">
        <v>253</v>
      </c>
      <c r="M127" s="1">
        <v>200</v>
      </c>
      <c r="N127" s="75">
        <v>4</v>
      </c>
      <c r="O127" s="75">
        <v>3</v>
      </c>
      <c r="P127" s="3"/>
      <c r="Q127" s="3">
        <f>MEX!D62</f>
        <v>2.5415199349414408</v>
      </c>
      <c r="R127" s="75">
        <v>120.14700000000001</v>
      </c>
      <c r="S127" s="75">
        <f>MEX!W62</f>
        <v>0.64786042750908168</v>
      </c>
      <c r="T127" s="3">
        <f>MEX!M62</f>
        <v>43.485617129878449</v>
      </c>
      <c r="U127" s="75">
        <f>'MEX-u'!N62</f>
        <v>1.6194874966200683</v>
      </c>
      <c r="W127" s="75">
        <f>MEX!N62</f>
        <v>0.40472678284159969</v>
      </c>
      <c r="X127" s="75">
        <v>0.7</v>
      </c>
    </row>
    <row r="128" spans="12:24">
      <c r="L128" s="1" t="s">
        <v>257</v>
      </c>
      <c r="M128" s="1">
        <v>250</v>
      </c>
      <c r="N128" s="75">
        <v>4</v>
      </c>
      <c r="O128" s="75">
        <v>3</v>
      </c>
      <c r="P128" s="3"/>
      <c r="Q128" s="3">
        <f>MEX!D63</f>
        <v>3.1622519161675675</v>
      </c>
      <c r="R128" s="75">
        <v>137.45500000000001</v>
      </c>
      <c r="S128" s="75">
        <f>MEX!W63</f>
        <v>1.1656638161633628</v>
      </c>
      <c r="T128" s="3">
        <f>MEX!M63</f>
        <v>43.394068454781625</v>
      </c>
      <c r="U128" s="75">
        <f>'MEX-u'!N63</f>
        <v>1.4262120976966306</v>
      </c>
      <c r="W128" s="75">
        <f>MEX!N63</f>
        <v>0.13414301823574637</v>
      </c>
      <c r="X128" s="75">
        <v>0.7</v>
      </c>
    </row>
    <row r="129" spans="12:24">
      <c r="L129" s="1" t="s">
        <v>261</v>
      </c>
      <c r="M129" s="1">
        <v>280</v>
      </c>
      <c r="N129" s="75">
        <v>4</v>
      </c>
      <c r="O129" s="75">
        <v>3</v>
      </c>
      <c r="P129" s="3"/>
      <c r="Q129" s="3">
        <f>MEX!D64</f>
        <v>3.5006101210159413</v>
      </c>
      <c r="R129" s="75">
        <v>147.05000000000001</v>
      </c>
      <c r="S129" s="75">
        <f>MEX!W64</f>
        <v>1.3743566100374649</v>
      </c>
      <c r="T129" s="3">
        <f>MEX!M64</f>
        <v>43.332123291107912</v>
      </c>
      <c r="U129" s="75">
        <f>'MEX-u'!N64</f>
        <v>1.439378720129868</v>
      </c>
      <c r="W129" s="75">
        <f>MEX!N64</f>
        <v>0.1667341630388513</v>
      </c>
      <c r="X129" s="75">
        <v>0.7</v>
      </c>
    </row>
    <row r="130" spans="12:24">
      <c r="L130" s="1" t="s">
        <v>264</v>
      </c>
      <c r="M130" s="1">
        <v>300</v>
      </c>
      <c r="N130" s="75">
        <v>4</v>
      </c>
      <c r="O130" s="75">
        <v>3</v>
      </c>
      <c r="P130" s="3"/>
      <c r="Q130" s="3">
        <f>MEX!D65</f>
        <v>3.7047905897248823</v>
      </c>
      <c r="R130" s="75">
        <v>153.21</v>
      </c>
      <c r="S130" s="75">
        <f>MEX!W65</f>
        <v>1.6807536584989653</v>
      </c>
      <c r="T130" s="3">
        <f>MEX!M65</f>
        <v>43.270125968459105</v>
      </c>
      <c r="U130" s="75">
        <f>'MEX-u'!N65</f>
        <v>1.5497596476199065</v>
      </c>
      <c r="W130" s="75">
        <f>MEX!N65</f>
        <v>0.32870620147581092</v>
      </c>
      <c r="X130" s="75">
        <v>0.7</v>
      </c>
    </row>
    <row r="131" spans="12:24">
      <c r="L131" s="1" t="s">
        <v>266</v>
      </c>
      <c r="M131" s="1">
        <v>320</v>
      </c>
      <c r="N131" s="75">
        <v>4</v>
      </c>
      <c r="O131" s="75">
        <v>3</v>
      </c>
      <c r="P131" s="3"/>
      <c r="Q131" s="3">
        <f>MEX!D66</f>
        <v>3.8972650748324895</v>
      </c>
      <c r="R131" s="75">
        <v>159.21700000000001</v>
      </c>
      <c r="S131" s="75">
        <f>MEX!W66</f>
        <v>1.6231408287232745</v>
      </c>
      <c r="T131" s="3">
        <f>MEX!M66</f>
        <v>43.131780217598909</v>
      </c>
      <c r="U131" s="75">
        <f>'MEX-u'!N66</f>
        <v>1.4546401341956048</v>
      </c>
      <c r="W131" s="75">
        <f>MEX!N66</f>
        <v>0.17284890319987489</v>
      </c>
      <c r="X131" s="75">
        <v>0.7</v>
      </c>
    </row>
    <row r="132" spans="12:24">
      <c r="L132" s="1" t="s">
        <v>258</v>
      </c>
      <c r="M132" s="1">
        <v>250</v>
      </c>
      <c r="N132" s="75">
        <v>4</v>
      </c>
      <c r="O132" s="75">
        <v>5</v>
      </c>
      <c r="P132" s="3"/>
      <c r="Q132" s="3">
        <f>MEX!D67</f>
        <v>3.5951513428636979</v>
      </c>
      <c r="R132" s="75">
        <v>149.50700000000001</v>
      </c>
      <c r="S132" s="75">
        <f>MEX!W67</f>
        <v>0.73387277470469225</v>
      </c>
      <c r="T132" s="3">
        <f>MEX!M67</f>
        <v>43.262222819513056</v>
      </c>
      <c r="U132" s="75">
        <f>'MEX-u'!N67</f>
        <v>1.4984186704190821</v>
      </c>
      <c r="W132" s="75">
        <f>MEX!N67</f>
        <v>0.26619164009598967</v>
      </c>
      <c r="X132" s="75">
        <v>0.7</v>
      </c>
    </row>
    <row r="133" spans="12:24">
      <c r="L133" s="1" t="s">
        <v>262</v>
      </c>
      <c r="M133" s="1">
        <v>280</v>
      </c>
      <c r="N133" s="75">
        <v>4</v>
      </c>
      <c r="O133" s="75">
        <v>5</v>
      </c>
      <c r="P133" s="3"/>
      <c r="Q133" s="3">
        <f>MEX!D68</f>
        <v>3.9334817438945446</v>
      </c>
      <c r="R133" s="75">
        <v>159.91800000000001</v>
      </c>
      <c r="S133" s="75">
        <f>MEX!W68</f>
        <v>0.89520582359213419</v>
      </c>
      <c r="T133" s="3">
        <f>MEX!M68</f>
        <v>43.249584769166603</v>
      </c>
      <c r="U133" s="75">
        <f>'MEX-u'!N68</f>
        <v>1.414562707424998</v>
      </c>
      <c r="W133" s="75">
        <f>MEX!N68</f>
        <v>9.8947566664914804E-2</v>
      </c>
      <c r="X133" s="75">
        <v>0.7</v>
      </c>
    </row>
    <row r="134" spans="12:24">
      <c r="L134" s="1" t="s">
        <v>265</v>
      </c>
      <c r="M134" s="1">
        <v>300</v>
      </c>
      <c r="N134" s="75">
        <v>4</v>
      </c>
      <c r="O134" s="75">
        <v>5</v>
      </c>
      <c r="P134" s="3"/>
      <c r="Q134" s="3">
        <f>MEX!D69</f>
        <v>4.1453765509423093</v>
      </c>
      <c r="R134" s="75">
        <v>166.58099999999999</v>
      </c>
      <c r="S134" s="75">
        <f>MEX!W69</f>
        <v>1.1187875433583474</v>
      </c>
      <c r="T134" s="3">
        <f>MEX!M69</f>
        <v>43.133978014768623</v>
      </c>
      <c r="U134" s="75">
        <f>'MEX-u'!N69</f>
        <v>1.4203760731428454</v>
      </c>
      <c r="W134" s="75">
        <f>MEX!N69</f>
        <v>0.1011680572447128</v>
      </c>
      <c r="X134" s="75">
        <v>0.7</v>
      </c>
    </row>
    <row r="135" spans="12:24">
      <c r="L135" s="1" t="s">
        <v>267</v>
      </c>
      <c r="M135" s="1">
        <v>320</v>
      </c>
      <c r="N135" s="75">
        <v>4</v>
      </c>
      <c r="O135" s="75">
        <v>5</v>
      </c>
      <c r="P135" s="3"/>
      <c r="Q135" s="3">
        <f>MEX!D70</f>
        <v>4.335531420085327</v>
      </c>
      <c r="R135" s="75">
        <v>173.059</v>
      </c>
      <c r="S135" s="75">
        <f>MEX!W70</f>
        <v>1.1003205119450847</v>
      </c>
      <c r="T135" s="3">
        <f>MEX!M70</f>
        <v>43.048524810446899</v>
      </c>
      <c r="U135" s="75">
        <f>'MEX-u'!N70</f>
        <v>1.4263964632310318</v>
      </c>
      <c r="W135" s="75">
        <f>MEX!N70</f>
        <v>6.8818695490915391E-2</v>
      </c>
      <c r="X135" s="75">
        <v>0.7</v>
      </c>
    </row>
    <row r="136" spans="12:24">
      <c r="L136" s="30" t="s">
        <v>294</v>
      </c>
      <c r="M136" s="1">
        <v>250</v>
      </c>
      <c r="N136" s="75">
        <v>4</v>
      </c>
      <c r="O136" s="75">
        <v>1.6</v>
      </c>
      <c r="P136" s="3"/>
      <c r="Q136" s="3">
        <f>MEX!D71</f>
        <v>2.5711570771389516</v>
      </c>
      <c r="R136" s="75">
        <v>120.09699999999999</v>
      </c>
      <c r="S136" s="75">
        <f>MEX!W71</f>
        <v>1.7745433399352215</v>
      </c>
      <c r="T136" s="3">
        <f>MEX!M71</f>
        <v>43.344264021661864</v>
      </c>
      <c r="U136" s="75">
        <f>'MEX-u'!N71</f>
        <v>1.4054646670510211</v>
      </c>
      <c r="W136" s="75">
        <f>MEX!N71</f>
        <v>5.8190882175145953E-2</v>
      </c>
      <c r="X136" s="75">
        <v>0.7</v>
      </c>
    </row>
    <row r="137" spans="12:24">
      <c r="L137" s="30" t="s">
        <v>293</v>
      </c>
      <c r="M137" s="1">
        <v>280</v>
      </c>
      <c r="N137" s="75">
        <v>4</v>
      </c>
      <c r="O137" s="75">
        <v>3</v>
      </c>
      <c r="P137" s="3"/>
      <c r="Q137" s="3">
        <f>MEX!D72</f>
        <v>3.5006101210159413</v>
      </c>
      <c r="R137" s="75">
        <v>147.05000000000001</v>
      </c>
      <c r="S137" s="75">
        <f>MEX!W72</f>
        <v>1.3743566100374649</v>
      </c>
      <c r="T137" s="3">
        <f>MEX!M72</f>
        <v>43.332753138987364</v>
      </c>
      <c r="U137" s="75">
        <f>'MEX-u'!N72</f>
        <v>1.4126341278709802</v>
      </c>
      <c r="W137" s="75">
        <f>MEX!N72</f>
        <v>9.3441430532945222E-2</v>
      </c>
      <c r="X137" s="75">
        <v>0.7</v>
      </c>
    </row>
    <row r="138" spans="12:24">
      <c r="L138" s="30" t="s">
        <v>292</v>
      </c>
      <c r="M138" s="1">
        <v>300</v>
      </c>
      <c r="N138" s="75">
        <v>4</v>
      </c>
      <c r="O138" s="75">
        <v>3</v>
      </c>
      <c r="P138" s="3"/>
      <c r="Q138" s="3">
        <f>MEX!D73</f>
        <v>3.7047905897248823</v>
      </c>
      <c r="R138" s="75">
        <v>153.21</v>
      </c>
      <c r="S138" s="75">
        <f>MEX!W73</f>
        <v>1.6807536584989653</v>
      </c>
      <c r="T138" s="3">
        <f>MEX!M73</f>
        <v>43.273786206386291</v>
      </c>
      <c r="U138" s="75">
        <f>'MEX-u'!N73</f>
        <v>1.4132794594747651</v>
      </c>
      <c r="W138" s="75">
        <f>MEX!N73</f>
        <v>8.3359061800341791E-2</v>
      </c>
      <c r="X138" s="75">
        <v>0.7</v>
      </c>
    </row>
  </sheetData>
  <sheetProtection sheet="1" objects="1" scenarios="1"/>
  <pageMargins left="0.70866141732283472" right="0.70866141732283472" top="0.74803149606299213" bottom="0.74803149606299213" header="0.31496062992125984" footer="0.31496062992125984"/>
  <pageSetup paperSize="9" scale="45"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T413"/>
  <sheetViews>
    <sheetView tabSelected="1" zoomScaleNormal="100" workbookViewId="0">
      <selection activeCell="AD11" sqref="AD11"/>
    </sheetView>
  </sheetViews>
  <sheetFormatPr defaultRowHeight="12.75"/>
  <cols>
    <col min="1" max="1" width="4.42578125" customWidth="1"/>
    <col min="2" max="2" width="4.28515625" customWidth="1"/>
    <col min="3" max="3" width="4.42578125" customWidth="1"/>
    <col min="4" max="4" width="4.28515625" customWidth="1"/>
    <col min="5" max="5" width="4.42578125" customWidth="1"/>
    <col min="6" max="6" width="4.28515625" customWidth="1"/>
    <col min="7" max="7" width="4.42578125" customWidth="1"/>
    <col min="8" max="8" width="4.28515625" customWidth="1"/>
    <col min="9" max="9" width="4.42578125" customWidth="1"/>
    <col min="10" max="10" width="4.28515625" customWidth="1"/>
    <col min="11" max="11" width="4.42578125" customWidth="1"/>
    <col min="12" max="12" width="4.28515625" customWidth="1"/>
    <col min="13" max="13" width="4.42578125" customWidth="1"/>
    <col min="14" max="14" width="5.140625" customWidth="1"/>
    <col min="15" max="20" width="4.42578125" customWidth="1"/>
    <col min="21" max="24" width="5" customWidth="1"/>
  </cols>
  <sheetData>
    <row r="1" spans="1:20" ht="12" customHeight="1"/>
    <row r="6" spans="1:20" ht="8.25" customHeight="1"/>
    <row r="7" spans="1:20" ht="12.75" customHeight="1">
      <c r="A7" s="1109" t="s">
        <v>1173</v>
      </c>
      <c r="B7" s="1109"/>
      <c r="C7" s="1109"/>
      <c r="D7" s="1109"/>
      <c r="E7" s="1109"/>
      <c r="F7" s="1109"/>
      <c r="G7" s="1109"/>
      <c r="H7" s="1109"/>
      <c r="I7" s="1109"/>
      <c r="J7" s="1109"/>
      <c r="K7" s="1109"/>
      <c r="L7" s="1109"/>
      <c r="M7" s="1109"/>
      <c r="N7" s="1109"/>
      <c r="O7" s="1109"/>
      <c r="P7" s="1109"/>
      <c r="Q7" s="1109"/>
      <c r="R7" s="1109"/>
      <c r="S7" s="1109"/>
      <c r="T7" s="1109"/>
    </row>
    <row r="8" spans="1:20">
      <c r="A8" s="1110" t="s">
        <v>340</v>
      </c>
      <c r="B8" s="1110"/>
      <c r="C8" s="1110"/>
      <c r="D8" s="1110"/>
      <c r="E8" s="1110"/>
      <c r="F8" s="1110"/>
      <c r="G8" s="1110"/>
      <c r="H8" s="1110"/>
      <c r="I8" s="1110"/>
      <c r="J8" s="1110"/>
      <c r="K8" s="1110"/>
      <c r="L8" s="1110"/>
      <c r="M8" s="1110"/>
      <c r="N8" s="1110"/>
      <c r="O8" s="1110"/>
      <c r="P8" s="1110"/>
      <c r="Q8" s="1110"/>
      <c r="R8" s="1110"/>
      <c r="S8" s="1110"/>
      <c r="T8" s="1110"/>
    </row>
    <row r="9" spans="1:20">
      <c r="A9" s="1111" t="s">
        <v>341</v>
      </c>
      <c r="B9" s="1111"/>
      <c r="C9" s="1111"/>
      <c r="D9" s="1111"/>
      <c r="E9" s="1111"/>
      <c r="F9" s="1111"/>
      <c r="G9" s="1111"/>
      <c r="H9" s="1111"/>
      <c r="I9" s="1111"/>
      <c r="J9" s="1111"/>
      <c r="K9" s="1111"/>
      <c r="L9" s="1111"/>
      <c r="M9" s="1111"/>
      <c r="N9" s="1111"/>
      <c r="O9" s="1111"/>
      <c r="P9" s="1111"/>
      <c r="Q9" s="1111"/>
      <c r="R9" s="1111"/>
      <c r="S9" s="1111"/>
      <c r="T9" s="1111"/>
    </row>
    <row r="10" spans="1:20" ht="21.75" customHeight="1">
      <c r="A10" s="1112" t="s">
        <v>1175</v>
      </c>
      <c r="B10" s="1113"/>
      <c r="C10" s="1113"/>
      <c r="D10" s="1113"/>
      <c r="E10" s="1113"/>
      <c r="F10" s="1113"/>
      <c r="G10" s="1113"/>
      <c r="H10" s="1113"/>
      <c r="I10" s="1113"/>
      <c r="J10" s="1113"/>
      <c r="K10" s="1113"/>
      <c r="L10" s="1113"/>
      <c r="M10" s="1113"/>
      <c r="N10" s="1113"/>
      <c r="O10" s="1113"/>
      <c r="P10" s="1113"/>
      <c r="Q10" s="1113"/>
      <c r="R10" s="1113"/>
      <c r="S10" s="1113"/>
      <c r="T10" s="1113"/>
    </row>
    <row r="11" spans="1:20" ht="22.5" customHeight="1">
      <c r="A11" s="91"/>
      <c r="B11" s="91"/>
      <c r="C11" s="91"/>
      <c r="D11" s="91"/>
      <c r="E11" s="91"/>
      <c r="F11" s="91"/>
      <c r="G11" s="91"/>
      <c r="H11" s="91"/>
      <c r="I11" s="91"/>
      <c r="J11" s="92"/>
      <c r="K11" s="93"/>
      <c r="L11" s="91"/>
      <c r="M11" s="91"/>
      <c r="N11" s="94"/>
      <c r="O11" s="91"/>
      <c r="P11" s="91"/>
      <c r="S11" s="220"/>
      <c r="T11" s="220" t="s">
        <v>648</v>
      </c>
    </row>
    <row r="12" spans="1:20" ht="15.75">
      <c r="A12" s="91"/>
      <c r="B12" s="91"/>
      <c r="C12" s="91"/>
      <c r="D12" s="91"/>
      <c r="E12" s="91"/>
      <c r="F12" s="91"/>
      <c r="G12" s="91"/>
      <c r="H12" s="91"/>
      <c r="I12" s="91"/>
      <c r="J12" s="91"/>
      <c r="K12" s="91"/>
      <c r="L12" s="91"/>
      <c r="M12" s="91"/>
      <c r="N12" s="94"/>
      <c r="O12" s="91"/>
      <c r="P12" s="91"/>
      <c r="T12" s="220" t="str">
        <f>Client!B4</f>
        <v>None</v>
      </c>
    </row>
    <row r="13" spans="1:20" ht="15.75">
      <c r="A13" s="91"/>
      <c r="B13" s="91"/>
      <c r="C13" s="91"/>
      <c r="D13" s="91"/>
      <c r="E13" s="91"/>
      <c r="F13" s="91"/>
      <c r="G13" s="91"/>
      <c r="H13" s="91"/>
      <c r="I13" s="91"/>
      <c r="J13" s="91"/>
      <c r="K13" s="91"/>
      <c r="L13" s="91"/>
      <c r="M13" s="91"/>
      <c r="N13" s="91"/>
      <c r="O13" s="91"/>
      <c r="P13" s="91"/>
      <c r="Q13" s="91"/>
      <c r="R13" s="96"/>
      <c r="S13" s="96"/>
      <c r="T13" s="95" t="str">
        <f>Client!B5&amp;"/"&amp;TEXT(Client!B47,"00")</f>
        <v>CAL11957/03</v>
      </c>
    </row>
    <row r="14" spans="1:20" ht="15">
      <c r="A14" s="91"/>
      <c r="B14" s="91"/>
      <c r="C14" s="91"/>
      <c r="D14" s="91"/>
      <c r="E14" s="91"/>
      <c r="F14" s="91"/>
      <c r="G14" s="91"/>
      <c r="H14" s="91"/>
      <c r="I14" s="91"/>
      <c r="J14" s="91"/>
      <c r="K14" s="91"/>
      <c r="L14" s="91"/>
      <c r="M14" s="91"/>
      <c r="N14" s="91"/>
      <c r="O14" s="91"/>
      <c r="P14" s="91"/>
      <c r="Q14" s="91"/>
      <c r="R14" s="96"/>
      <c r="S14" s="96"/>
    </row>
    <row r="15" spans="1:20" ht="18.75">
      <c r="A15" s="1114" t="s">
        <v>342</v>
      </c>
      <c r="B15" s="1114"/>
      <c r="C15" s="1114"/>
      <c r="D15" s="1114"/>
      <c r="E15" s="1114"/>
      <c r="F15" s="1114"/>
      <c r="G15" s="1114"/>
      <c r="H15" s="1114"/>
      <c r="I15" s="1114"/>
      <c r="J15" s="1114"/>
      <c r="K15" s="1114"/>
      <c r="L15" s="1114"/>
      <c r="M15" s="1114"/>
      <c r="N15" s="1114"/>
      <c r="O15" s="1114"/>
      <c r="P15" s="1114"/>
      <c r="Q15" s="1114"/>
      <c r="R15" s="1114"/>
      <c r="S15" s="1114"/>
      <c r="T15" s="1114"/>
    </row>
    <row r="16" spans="1:20" ht="15" customHeight="1">
      <c r="A16" s="1142" t="s">
        <v>1310</v>
      </c>
      <c r="B16" s="1142"/>
      <c r="C16" s="1142"/>
      <c r="D16" s="1142"/>
      <c r="E16" s="1142"/>
      <c r="F16" s="1142"/>
      <c r="G16" s="1142"/>
      <c r="H16" s="1142"/>
      <c r="I16" s="1142"/>
      <c r="J16" s="1142"/>
      <c r="K16" s="1142"/>
      <c r="L16" s="1142"/>
      <c r="M16" s="1142"/>
      <c r="N16" s="1142"/>
      <c r="O16" s="1142"/>
      <c r="P16" s="1142"/>
      <c r="Q16" s="1142"/>
      <c r="R16" s="1142"/>
      <c r="S16" s="1142"/>
      <c r="T16" s="1142"/>
    </row>
    <row r="17" spans="1:20" ht="15" customHeight="1">
      <c r="A17" s="1142" t="s">
        <v>498</v>
      </c>
      <c r="B17" s="1142"/>
      <c r="C17" s="1142"/>
      <c r="D17" s="1142"/>
      <c r="E17" s="1142"/>
      <c r="F17" s="1142"/>
      <c r="G17" s="1142"/>
      <c r="H17" s="1142"/>
      <c r="I17" s="1142"/>
      <c r="J17" s="1142"/>
      <c r="K17" s="1142"/>
      <c r="L17" s="1142"/>
      <c r="M17" s="1142"/>
      <c r="N17" s="1142"/>
      <c r="O17" s="1142"/>
      <c r="P17" s="1142"/>
      <c r="Q17" s="1142"/>
      <c r="R17" s="1142"/>
      <c r="S17" s="1142"/>
      <c r="T17" s="1142"/>
    </row>
    <row r="18" spans="1:20" ht="15" customHeight="1"/>
    <row r="19" spans="1:20" ht="15">
      <c r="A19" s="91"/>
      <c r="B19" s="91"/>
      <c r="C19" s="91"/>
      <c r="D19" s="91"/>
      <c r="E19" s="91"/>
      <c r="F19" s="91"/>
      <c r="G19" s="91"/>
      <c r="H19" s="91"/>
      <c r="I19" s="91"/>
      <c r="J19" s="91"/>
      <c r="K19" s="91"/>
      <c r="L19" s="91"/>
      <c r="M19" s="91"/>
      <c r="N19" s="91"/>
      <c r="O19" s="91"/>
      <c r="P19" s="91"/>
      <c r="Q19" s="91"/>
      <c r="R19" s="96"/>
      <c r="S19" s="96"/>
    </row>
    <row r="20" spans="1:20" ht="15.75">
      <c r="A20" s="98" t="s">
        <v>2</v>
      </c>
      <c r="B20" s="99"/>
      <c r="C20" s="99"/>
      <c r="D20" s="99"/>
      <c r="E20" s="99"/>
      <c r="F20" s="99"/>
      <c r="G20" s="100" t="str">
        <f>Client!B6</f>
        <v>De-identified for distribution</v>
      </c>
      <c r="H20" s="99"/>
      <c r="I20" s="99"/>
      <c r="J20" s="99"/>
      <c r="K20" s="99"/>
      <c r="L20" s="99"/>
      <c r="M20" s="99"/>
      <c r="N20" s="99"/>
      <c r="O20" s="99"/>
      <c r="P20" s="99"/>
      <c r="Q20" s="91"/>
      <c r="R20" s="96"/>
      <c r="S20" s="96"/>
    </row>
    <row r="21" spans="1:20" ht="15.75">
      <c r="A21" s="98"/>
      <c r="B21" s="99"/>
      <c r="C21" s="99"/>
      <c r="D21" s="99"/>
      <c r="E21" s="99"/>
      <c r="F21" s="99"/>
      <c r="G21" s="100" t="str">
        <f>Client!B7</f>
        <v>100 Street Name</v>
      </c>
      <c r="H21" s="99"/>
      <c r="I21" s="99"/>
      <c r="J21" s="99"/>
      <c r="K21" s="99"/>
      <c r="L21" s="99"/>
      <c r="M21" s="99"/>
      <c r="N21" s="99"/>
      <c r="O21" s="99"/>
      <c r="P21" s="99"/>
      <c r="Q21" s="91"/>
      <c r="R21" s="96"/>
      <c r="S21" s="96"/>
    </row>
    <row r="22" spans="1:20" ht="15.75">
      <c r="A22" s="98"/>
      <c r="B22" s="99"/>
      <c r="C22" s="99"/>
      <c r="D22" s="99"/>
      <c r="E22" s="99"/>
      <c r="F22" s="99"/>
      <c r="G22" s="100" t="str">
        <f>Client!B8</f>
        <v>Suburb 2000 NSW</v>
      </c>
      <c r="H22" s="99"/>
      <c r="I22" s="99"/>
      <c r="J22" s="99"/>
      <c r="K22" s="99"/>
      <c r="L22" s="99"/>
      <c r="M22" s="99"/>
      <c r="N22" s="99"/>
      <c r="O22" s="99"/>
      <c r="P22" s="99"/>
      <c r="Q22" s="91"/>
      <c r="R22" s="96"/>
      <c r="S22" s="96"/>
    </row>
    <row r="23" spans="1:20" ht="15.75">
      <c r="A23" s="98"/>
      <c r="B23" s="99"/>
      <c r="C23" s="99"/>
      <c r="D23" s="99"/>
      <c r="E23" s="99"/>
      <c r="F23" s="99"/>
      <c r="G23" s="99" t="str">
        <f xml:space="preserve"> IF(Client!B9="","",Client!B9)</f>
        <v/>
      </c>
      <c r="H23" s="99"/>
      <c r="I23" s="99"/>
      <c r="J23" s="99"/>
      <c r="K23" s="99"/>
      <c r="L23" s="99"/>
      <c r="M23" s="99"/>
      <c r="N23" s="99"/>
      <c r="O23" s="99"/>
      <c r="P23" s="99"/>
      <c r="Q23" s="91"/>
      <c r="R23" s="96"/>
      <c r="S23" s="96"/>
    </row>
    <row r="24" spans="1:20" ht="15.75">
      <c r="A24" s="98"/>
      <c r="B24" s="99"/>
      <c r="C24" s="99"/>
      <c r="D24" s="99"/>
      <c r="E24" s="99"/>
      <c r="F24" s="99"/>
      <c r="G24" s="99"/>
      <c r="H24" s="99"/>
      <c r="I24" s="99"/>
      <c r="J24" s="99"/>
      <c r="K24" s="99"/>
      <c r="L24" s="99"/>
      <c r="M24" s="99"/>
      <c r="N24" s="99"/>
      <c r="O24" s="99"/>
      <c r="P24" s="99"/>
      <c r="Q24" s="91"/>
      <c r="R24" s="96"/>
      <c r="S24" s="96"/>
    </row>
    <row r="25" spans="1:20" ht="15.75">
      <c r="A25" s="98" t="s">
        <v>1311</v>
      </c>
      <c r="B25" s="99"/>
      <c r="C25" s="99"/>
      <c r="D25" s="99"/>
      <c r="E25" s="99"/>
      <c r="F25" s="99"/>
      <c r="G25" s="99" t="str">
        <f>Client!B29&amp;", serial number " &amp;Client!B30</f>
        <v>IBA FC65-G, serial number 457</v>
      </c>
      <c r="H25" s="99"/>
      <c r="I25" s="99"/>
      <c r="J25" s="99"/>
      <c r="K25" s="99"/>
      <c r="L25" s="99"/>
      <c r="M25" s="99"/>
      <c r="N25" s="99"/>
      <c r="O25" s="99"/>
      <c r="P25" s="99"/>
      <c r="Q25" s="91"/>
      <c r="R25" s="96"/>
      <c r="S25" s="96"/>
    </row>
    <row r="26" spans="1:20" ht="15.75">
      <c r="A26" s="98"/>
      <c r="B26" s="99"/>
      <c r="C26" s="99"/>
      <c r="D26" s="99"/>
      <c r="E26" s="99"/>
      <c r="F26" s="99"/>
      <c r="G26" s="99"/>
      <c r="H26" s="99"/>
      <c r="I26" s="99"/>
      <c r="J26" s="99"/>
      <c r="K26" s="99"/>
      <c r="L26" s="99"/>
      <c r="M26" s="99"/>
      <c r="N26" s="99"/>
      <c r="O26" s="99"/>
      <c r="P26" s="99"/>
      <c r="Q26" s="91"/>
      <c r="R26" s="96"/>
      <c r="S26" s="96"/>
    </row>
    <row r="27" spans="1:20" ht="15.75">
      <c r="A27" s="98" t="s">
        <v>334</v>
      </c>
      <c r="B27" s="99"/>
      <c r="C27" s="99"/>
      <c r="D27" s="99"/>
      <c r="E27" s="99"/>
      <c r="F27" s="99"/>
      <c r="G27" s="99" t="str" cm="1">
        <f t="array" ref="G27">make_Date_range(Client!B49,Client!C49)</f>
        <v>2-6 July 2021</v>
      </c>
      <c r="H27" s="99"/>
      <c r="I27" s="99"/>
      <c r="J27" s="99"/>
      <c r="K27" s="99"/>
      <c r="L27" s="99"/>
      <c r="M27" s="99"/>
      <c r="N27" s="99"/>
      <c r="O27" s="99"/>
      <c r="P27" s="99"/>
      <c r="Q27" s="91"/>
      <c r="R27" s="96"/>
      <c r="S27" s="96"/>
    </row>
    <row r="28" spans="1:20" ht="15.75">
      <c r="A28" s="98"/>
      <c r="B28" s="99"/>
      <c r="C28" s="99"/>
      <c r="D28" s="99"/>
      <c r="E28" s="99"/>
      <c r="F28" s="99"/>
      <c r="G28" s="99"/>
      <c r="H28" s="99"/>
      <c r="I28" s="99"/>
      <c r="J28" s="99"/>
      <c r="K28" s="99"/>
      <c r="L28" s="99"/>
      <c r="M28" s="99"/>
      <c r="N28" s="99"/>
      <c r="O28" s="99"/>
      <c r="P28" s="99"/>
      <c r="Q28" s="91"/>
      <c r="R28" s="96"/>
      <c r="S28" s="96"/>
    </row>
    <row r="29" spans="1:20" ht="15.75" customHeight="1">
      <c r="A29" s="98" t="s">
        <v>71</v>
      </c>
      <c r="B29" s="99"/>
      <c r="C29" s="99"/>
      <c r="D29" s="99"/>
      <c r="E29" s="99"/>
      <c r="F29" s="99"/>
      <c r="G29" s="100" t="str">
        <f>Client!B50</f>
        <v>Not previously calibrated at ARPANSA</v>
      </c>
      <c r="H29" s="99"/>
      <c r="I29" s="99"/>
      <c r="J29" s="97"/>
      <c r="K29" s="99"/>
      <c r="L29" s="99"/>
      <c r="M29" s="99"/>
      <c r="N29" s="99"/>
      <c r="O29" s="99"/>
      <c r="P29" s="99"/>
      <c r="R29" s="96"/>
      <c r="S29" s="96"/>
      <c r="T29" s="1147" t="str">
        <f>Intro!D4&amp;" "&amp;Intro!D5</f>
        <v>IRC-FORM-2100J (ARPANSA-FORM-1856) 23-Production</v>
      </c>
    </row>
    <row r="30" spans="1:20" ht="15.75">
      <c r="A30" s="98"/>
      <c r="B30" s="99"/>
      <c r="C30" s="99"/>
      <c r="D30" s="99"/>
      <c r="E30" s="99"/>
      <c r="F30" s="99"/>
      <c r="G30" s="99"/>
      <c r="H30" s="99"/>
      <c r="I30" s="99"/>
      <c r="J30" s="99"/>
      <c r="K30" s="99"/>
      <c r="L30" s="99"/>
      <c r="M30" s="99"/>
      <c r="N30" s="99"/>
      <c r="O30" s="99"/>
      <c r="P30" s="99"/>
      <c r="R30" s="96"/>
      <c r="S30" s="96"/>
      <c r="T30" s="1147"/>
    </row>
    <row r="31" spans="1:20" ht="15.75">
      <c r="A31" s="98" t="str">
        <f>IF(Client!L52,"Test and report by","Test by")</f>
        <v>Test and report by</v>
      </c>
      <c r="B31" s="99"/>
      <c r="C31" s="99"/>
      <c r="D31" s="99"/>
      <c r="E31" s="99"/>
      <c r="F31" s="99"/>
      <c r="G31" s="100" t="str">
        <f xml:space="preserve"> Client!B51</f>
        <v>Duncan Butler</v>
      </c>
      <c r="H31" s="99"/>
      <c r="I31" s="99"/>
      <c r="J31" s="99"/>
      <c r="K31" s="99"/>
      <c r="L31" s="99"/>
      <c r="M31" s="99"/>
      <c r="N31" s="99"/>
      <c r="O31" s="99"/>
      <c r="P31" s="99"/>
      <c r="R31" s="96"/>
      <c r="S31" s="96"/>
      <c r="T31" s="1147"/>
    </row>
    <row r="32" spans="1:20" ht="15.75" customHeight="1">
      <c r="A32" s="98" t="str">
        <f>IF(Client!L52,"","Report by")</f>
        <v/>
      </c>
      <c r="B32" s="99"/>
      <c r="C32" s="99"/>
      <c r="D32" s="99"/>
      <c r="E32" s="99"/>
      <c r="F32" s="99"/>
      <c r="G32" s="99" t="str">
        <f>IF(Client!L52,"",Client!B52)</f>
        <v/>
      </c>
      <c r="H32" s="99"/>
      <c r="I32" s="99"/>
      <c r="J32" s="99"/>
      <c r="K32" s="99"/>
      <c r="L32" s="99"/>
      <c r="M32" s="99"/>
      <c r="N32" s="99"/>
      <c r="O32" s="99"/>
      <c r="P32" s="99"/>
      <c r="R32" s="96"/>
      <c r="S32" s="96"/>
      <c r="T32" s="1147"/>
    </row>
    <row r="33" spans="1:20" ht="15.75">
      <c r="A33" s="98" t="s">
        <v>333</v>
      </c>
      <c r="B33" s="99"/>
      <c r="C33" s="99"/>
      <c r="D33" s="99"/>
      <c r="E33" s="99"/>
      <c r="F33" s="99"/>
      <c r="G33" s="99" t="str" cm="1">
        <f t="array" ref="G33">date_to_text(Client!B48)</f>
        <v>7 July 2021</v>
      </c>
      <c r="H33" s="99"/>
      <c r="I33" s="99"/>
      <c r="J33" s="99"/>
      <c r="K33" s="99"/>
      <c r="L33" s="99"/>
      <c r="M33" s="99"/>
      <c r="N33" s="99"/>
      <c r="O33" s="99"/>
      <c r="P33" s="99"/>
      <c r="R33" s="96"/>
      <c r="S33" s="96"/>
      <c r="T33" s="1147"/>
    </row>
    <row r="34" spans="1:20" ht="15.75">
      <c r="A34" s="98"/>
      <c r="B34" s="99"/>
      <c r="C34" s="99"/>
      <c r="D34" s="99"/>
      <c r="E34" s="99"/>
      <c r="F34" s="99"/>
      <c r="G34" s="99"/>
      <c r="H34" s="99"/>
      <c r="I34" s="99"/>
      <c r="J34" s="99"/>
      <c r="K34" s="99"/>
      <c r="L34" s="99"/>
      <c r="M34" s="99"/>
      <c r="N34" s="99"/>
      <c r="O34" s="99"/>
      <c r="P34" s="99"/>
      <c r="R34" s="96"/>
      <c r="S34" s="96"/>
      <c r="T34" s="1147"/>
    </row>
    <row r="35" spans="1:20" ht="15.75">
      <c r="A35" s="99" t="s">
        <v>343</v>
      </c>
      <c r="B35" s="99"/>
      <c r="C35" s="99"/>
      <c r="D35" s="99"/>
      <c r="E35" s="99"/>
      <c r="F35" s="99"/>
      <c r="G35" s="99" t="s">
        <v>344</v>
      </c>
      <c r="H35" s="99"/>
      <c r="I35" s="99"/>
      <c r="J35" s="99"/>
      <c r="K35" s="99"/>
      <c r="L35" s="99"/>
      <c r="M35" s="99"/>
      <c r="N35" s="99"/>
      <c r="O35" s="99"/>
      <c r="P35" s="99"/>
      <c r="R35" s="96"/>
      <c r="S35" s="96"/>
      <c r="T35" s="1147"/>
    </row>
    <row r="36" spans="1:20" ht="15.75">
      <c r="A36" s="98" t="s">
        <v>345</v>
      </c>
      <c r="B36" s="99"/>
      <c r="C36" s="99"/>
      <c r="D36" s="99"/>
      <c r="E36" s="99"/>
      <c r="F36" s="99"/>
      <c r="G36" s="221" t="s">
        <v>1210</v>
      </c>
      <c r="H36" s="99"/>
      <c r="I36" s="99"/>
      <c r="J36" s="99"/>
      <c r="K36" s="99"/>
      <c r="L36" s="99"/>
      <c r="M36" s="99"/>
      <c r="N36" s="99"/>
      <c r="O36" s="99"/>
      <c r="P36" s="99"/>
      <c r="R36" s="96"/>
      <c r="S36" s="96"/>
      <c r="T36" s="1147"/>
    </row>
    <row r="37" spans="1:20" ht="15.75" customHeight="1">
      <c r="A37" s="99"/>
      <c r="B37" s="99"/>
      <c r="C37" s="99"/>
      <c r="D37" s="99"/>
      <c r="E37" s="99"/>
      <c r="F37" s="99"/>
      <c r="G37" s="99"/>
      <c r="H37" s="99"/>
      <c r="I37" s="99"/>
      <c r="J37" s="99"/>
      <c r="K37" s="99"/>
      <c r="L37" s="99"/>
      <c r="M37" s="99"/>
      <c r="N37" s="99"/>
      <c r="O37" s="99"/>
      <c r="P37" s="99"/>
      <c r="R37" s="96"/>
      <c r="S37" s="96"/>
      <c r="T37" s="1147"/>
    </row>
    <row r="38" spans="1:20" ht="27.75" customHeight="1">
      <c r="A38" s="99"/>
      <c r="B38" s="99"/>
      <c r="C38" s="99"/>
      <c r="D38" s="99"/>
      <c r="E38" s="99"/>
      <c r="F38" s="99"/>
      <c r="G38" s="99"/>
      <c r="H38" s="99"/>
      <c r="I38" s="99"/>
      <c r="J38" s="99"/>
      <c r="K38" s="99"/>
      <c r="L38" s="99"/>
      <c r="M38" s="99"/>
      <c r="N38" s="99"/>
      <c r="O38" s="99"/>
      <c r="P38" s="99"/>
      <c r="Q38" s="91"/>
      <c r="R38" s="96"/>
      <c r="S38" s="96"/>
      <c r="T38" s="1147"/>
    </row>
    <row r="39" spans="1:20" ht="15.75">
      <c r="A39" s="99" t="s">
        <v>346</v>
      </c>
      <c r="B39" s="99"/>
      <c r="C39" s="101"/>
      <c r="D39" s="101"/>
      <c r="E39" s="101"/>
      <c r="F39" s="101"/>
      <c r="G39" s="101"/>
      <c r="H39" s="102" t="s">
        <v>347</v>
      </c>
      <c r="I39" s="99"/>
      <c r="J39" s="99"/>
      <c r="K39" s="99"/>
      <c r="L39" s="99"/>
      <c r="N39" s="95" t="s">
        <v>348</v>
      </c>
      <c r="O39" s="1326"/>
      <c r="P39" s="1326"/>
      <c r="Q39" s="1326"/>
      <c r="R39" s="1326"/>
      <c r="S39" s="91"/>
      <c r="T39" s="1147"/>
    </row>
    <row r="40" spans="1:20" ht="15.75">
      <c r="A40" s="99"/>
      <c r="B40" s="99"/>
      <c r="C40" s="99"/>
      <c r="D40" s="99"/>
      <c r="E40" s="99"/>
      <c r="F40" s="99"/>
      <c r="G40" s="99"/>
      <c r="H40" s="99"/>
      <c r="I40" s="99"/>
      <c r="J40" s="99"/>
      <c r="K40" s="99"/>
      <c r="L40" s="99"/>
      <c r="M40" s="99"/>
      <c r="N40" s="99"/>
      <c r="O40" s="99"/>
      <c r="P40" s="99"/>
      <c r="Q40" s="91"/>
      <c r="R40" s="96"/>
      <c r="S40" s="96"/>
      <c r="T40" s="1147"/>
    </row>
    <row r="41" spans="1:20" ht="15.75">
      <c r="A41" s="100" t="str">
        <f>Client!B53</f>
        <v>Duncan Butler, Director, Primary Standards Dosimetry Laboratory</v>
      </c>
      <c r="B41" s="99"/>
      <c r="C41" s="99"/>
      <c r="D41" s="99"/>
      <c r="E41" s="99"/>
      <c r="F41" s="99"/>
      <c r="G41" s="99"/>
      <c r="H41" s="99"/>
      <c r="I41" s="99"/>
      <c r="J41" s="99"/>
      <c r="K41" s="99"/>
      <c r="L41" s="99"/>
      <c r="M41" s="99"/>
      <c r="N41" s="99"/>
      <c r="O41" s="99"/>
      <c r="P41" s="99"/>
      <c r="Q41" s="91"/>
      <c r="R41" s="96"/>
      <c r="S41" s="96"/>
      <c r="T41" s="1147"/>
    </row>
    <row r="42" spans="1:20" ht="15.75">
      <c r="A42" s="99" t="s">
        <v>349</v>
      </c>
      <c r="B42" s="99"/>
      <c r="C42" s="99"/>
      <c r="D42" s="99"/>
      <c r="E42" s="99"/>
      <c r="F42" s="99"/>
      <c r="G42" s="99"/>
      <c r="H42" s="99"/>
      <c r="I42" s="99"/>
      <c r="J42" s="99"/>
      <c r="K42" s="99"/>
      <c r="L42" s="99"/>
      <c r="M42" s="99"/>
      <c r="N42" s="99"/>
      <c r="O42" s="99"/>
      <c r="P42" s="99"/>
      <c r="Q42" s="91"/>
      <c r="R42" s="96"/>
      <c r="S42" s="96"/>
    </row>
    <row r="43" spans="1:20" ht="15">
      <c r="A43" s="96"/>
      <c r="B43" s="96"/>
      <c r="C43" s="96"/>
      <c r="D43" s="96"/>
      <c r="E43" s="96"/>
      <c r="F43" s="96"/>
      <c r="G43" s="96"/>
      <c r="H43" s="96"/>
      <c r="I43" s="96"/>
      <c r="J43" s="96"/>
      <c r="K43" s="96"/>
      <c r="L43" s="96"/>
      <c r="M43" s="96"/>
      <c r="N43" s="96"/>
      <c r="O43" s="96"/>
      <c r="P43" s="96"/>
      <c r="Q43" s="96"/>
      <c r="R43" s="96"/>
      <c r="S43" s="96"/>
    </row>
    <row r="46" spans="1:20" ht="15">
      <c r="M46" s="103"/>
    </row>
    <row r="47" spans="1:20" ht="9.9499999999999993" customHeight="1"/>
    <row r="48" spans="1:20" ht="8.1" customHeight="1">
      <c r="N48" s="104" t="s">
        <v>350</v>
      </c>
    </row>
    <row r="49" spans="1:20" ht="8.1" customHeight="1">
      <c r="N49" s="104" t="s">
        <v>351</v>
      </c>
    </row>
    <row r="50" spans="1:20" ht="8.1" customHeight="1">
      <c r="E50" s="105" t="s">
        <v>1058</v>
      </c>
      <c r="N50" s="104" t="s">
        <v>352</v>
      </c>
    </row>
    <row r="51" spans="1:20" ht="8.1" customHeight="1">
      <c r="E51" s="105" t="s">
        <v>353</v>
      </c>
      <c r="N51" s="104" t="s">
        <v>354</v>
      </c>
    </row>
    <row r="52" spans="1:20" ht="8.1" customHeight="1">
      <c r="C52" s="105"/>
      <c r="E52" s="105" t="s">
        <v>355</v>
      </c>
      <c r="N52" s="104" t="s">
        <v>356</v>
      </c>
    </row>
    <row r="53" spans="1:20" ht="8.1" customHeight="1">
      <c r="E53" s="105" t="s">
        <v>357</v>
      </c>
      <c r="N53" s="104" t="s">
        <v>358</v>
      </c>
    </row>
    <row r="54" spans="1:20" ht="13.5" customHeight="1">
      <c r="E54" s="106" t="s">
        <v>1238</v>
      </c>
      <c r="N54" s="107" t="s">
        <v>359</v>
      </c>
    </row>
    <row r="55" spans="1:20" ht="22.5" customHeight="1">
      <c r="A55" s="956"/>
      <c r="B55" s="956"/>
      <c r="C55" s="956"/>
      <c r="D55" s="956"/>
      <c r="E55" s="956"/>
      <c r="F55" s="956"/>
      <c r="G55" s="956"/>
      <c r="H55" s="956"/>
      <c r="I55" s="956"/>
      <c r="J55" s="956"/>
      <c r="K55" s="956"/>
      <c r="L55" s="956"/>
      <c r="M55" s="956"/>
      <c r="N55" s="956"/>
      <c r="O55" s="956"/>
      <c r="P55" s="956"/>
      <c r="Q55" s="956"/>
      <c r="R55" s="956"/>
      <c r="S55" s="956"/>
      <c r="T55" s="956"/>
    </row>
    <row r="56" spans="1:20">
      <c r="A56" s="122" t="str">
        <f>"Calibration No.: "&amp;$T$13</f>
        <v>Calibration No.: CAL11957/03</v>
      </c>
      <c r="B56" s="120"/>
      <c r="C56" s="120"/>
      <c r="D56" s="120"/>
      <c r="E56" s="120"/>
      <c r="F56" s="120"/>
      <c r="G56" s="120"/>
      <c r="H56" s="120"/>
      <c r="I56" s="121" t="str">
        <f>$G$33</f>
        <v>7 July 2021</v>
      </c>
      <c r="J56" s="120"/>
      <c r="K56" s="120"/>
      <c r="L56" s="120"/>
      <c r="M56" s="120"/>
      <c r="N56" s="122" t="s">
        <v>360</v>
      </c>
      <c r="O56" s="123"/>
      <c r="P56" s="955"/>
      <c r="Q56" s="123"/>
      <c r="R56" s="123"/>
      <c r="S56" s="123"/>
      <c r="T56" s="123" t="s">
        <v>587</v>
      </c>
    </row>
    <row r="57" spans="1:20">
      <c r="A57" s="119"/>
      <c r="B57" s="120"/>
      <c r="C57" s="120"/>
      <c r="D57" s="120"/>
      <c r="E57" s="120"/>
      <c r="F57" s="120"/>
      <c r="G57" s="120"/>
      <c r="H57" s="120"/>
      <c r="I57" s="121"/>
      <c r="J57" s="120"/>
      <c r="K57" s="120"/>
      <c r="L57" s="120"/>
      <c r="M57" s="120"/>
      <c r="N57" s="122"/>
      <c r="O57" s="123"/>
      <c r="P57" s="123"/>
      <c r="Q57" s="123"/>
      <c r="R57" s="123"/>
      <c r="S57" s="123"/>
      <c r="T57" s="123"/>
    </row>
    <row r="58" spans="1:20" ht="15.75">
      <c r="A58" s="108"/>
      <c r="B58" s="108"/>
      <c r="C58" s="108"/>
      <c r="D58" s="108"/>
      <c r="E58" s="108"/>
      <c r="F58" s="108"/>
      <c r="G58" s="108"/>
      <c r="H58" s="108"/>
      <c r="I58" s="108"/>
      <c r="J58" s="108"/>
      <c r="K58" s="108"/>
      <c r="L58" s="108"/>
      <c r="M58" s="108"/>
      <c r="N58" s="108"/>
      <c r="O58" s="108"/>
      <c r="P58" s="108"/>
      <c r="Q58" s="108"/>
    </row>
    <row r="59" spans="1:20" ht="15.75">
      <c r="A59" s="1144" t="s">
        <v>361</v>
      </c>
      <c r="B59" s="1144"/>
      <c r="C59" s="1144"/>
      <c r="D59" s="1144"/>
      <c r="E59" s="1144"/>
      <c r="F59" s="1144"/>
      <c r="G59" s="1144"/>
      <c r="H59" s="1144"/>
      <c r="I59" s="1144"/>
      <c r="J59" s="1144"/>
      <c r="K59" s="1144"/>
      <c r="L59" s="1144"/>
      <c r="M59" s="1144"/>
      <c r="N59" s="1144"/>
      <c r="O59" s="1144"/>
      <c r="P59" s="1144"/>
      <c r="Q59" s="1144"/>
      <c r="R59" s="1144"/>
      <c r="S59" s="1144"/>
      <c r="T59" s="1144"/>
    </row>
    <row r="60" spans="1:20" ht="15.75">
      <c r="A60" s="109"/>
      <c r="B60" s="109"/>
      <c r="C60" s="109"/>
      <c r="D60" s="109"/>
      <c r="E60" s="109"/>
      <c r="F60" s="109"/>
      <c r="G60" s="109"/>
      <c r="H60" s="109"/>
      <c r="I60" s="109"/>
      <c r="J60" s="109"/>
      <c r="K60" s="109"/>
      <c r="L60" s="109"/>
      <c r="M60" s="109"/>
      <c r="N60" s="109"/>
      <c r="O60" s="108"/>
      <c r="P60" s="108"/>
      <c r="Q60" s="108"/>
    </row>
    <row r="61" spans="1:20" ht="15.75">
      <c r="A61" s="110" t="str">
        <f ca="1">Client!Q2</f>
        <v>Chamber description – IBA FC65-G</v>
      </c>
      <c r="B61" s="109"/>
      <c r="C61" s="109"/>
      <c r="D61" s="109"/>
      <c r="E61" s="109"/>
      <c r="F61" s="109"/>
      <c r="G61" s="109"/>
      <c r="H61" s="109"/>
      <c r="I61" s="109"/>
      <c r="J61" s="109"/>
      <c r="K61" s="109"/>
      <c r="L61" s="109"/>
      <c r="M61" s="109"/>
      <c r="N61" s="109"/>
      <c r="O61" s="108"/>
      <c r="P61" s="108"/>
      <c r="Q61" s="108"/>
    </row>
    <row r="62" spans="1:20" ht="15.75">
      <c r="A62" s="111" t="s">
        <v>362</v>
      </c>
      <c r="B62" s="109" t="str">
        <f ca="1">Client!Q3&amp;Client!Z3</f>
        <v>Farmer-type with graphite walls of nominal thickness 0.073 g/cm².</v>
      </c>
      <c r="C62" s="109"/>
      <c r="D62" s="109"/>
      <c r="E62" s="109"/>
      <c r="F62" s="109"/>
      <c r="G62" s="109"/>
      <c r="H62" s="109"/>
      <c r="I62" s="109"/>
      <c r="J62" s="109"/>
      <c r="K62" s="109"/>
      <c r="L62" s="109"/>
      <c r="M62" s="109"/>
      <c r="N62" s="109"/>
      <c r="O62" s="108"/>
      <c r="P62" s="108"/>
      <c r="Q62" s="108"/>
    </row>
    <row r="63" spans="1:20" ht="15.75">
      <c r="A63" s="111" t="s">
        <v>362</v>
      </c>
      <c r="B63" s="109" t="str">
        <f ca="1">Client!Q4</f>
        <v>The nominal cavity volume is 0.65 cc (length 23.1 mm and radius 3.1 mm).</v>
      </c>
      <c r="C63" s="109"/>
      <c r="D63" s="109"/>
      <c r="E63" s="109"/>
      <c r="F63" s="109"/>
      <c r="G63" s="109"/>
      <c r="H63" s="109"/>
      <c r="I63" s="109"/>
      <c r="J63" s="109"/>
      <c r="K63" s="109"/>
      <c r="L63" s="109"/>
      <c r="M63" s="109"/>
      <c r="N63" s="109"/>
      <c r="O63" s="108"/>
      <c r="P63" s="108"/>
      <c r="Q63" s="108"/>
    </row>
    <row r="64" spans="1:20" ht="15.75">
      <c r="A64" s="111" t="s">
        <v>362</v>
      </c>
      <c r="B64" s="109" t="str">
        <f ca="1">Client!Q5</f>
        <v>The central electrode is aluminium.</v>
      </c>
      <c r="C64" s="109"/>
      <c r="D64" s="109"/>
      <c r="E64" s="109"/>
      <c r="F64" s="109"/>
      <c r="G64" s="109"/>
      <c r="H64" s="109"/>
      <c r="I64" s="109"/>
      <c r="J64" s="109"/>
      <c r="K64" s="109"/>
      <c r="L64" s="109"/>
      <c r="M64" s="109"/>
      <c r="N64" s="109"/>
      <c r="O64" s="108"/>
      <c r="P64" s="108"/>
      <c r="Q64" s="108"/>
    </row>
    <row r="65" spans="1:20" ht="15.75">
      <c r="A65" s="111" t="s">
        <v>362</v>
      </c>
      <c r="B65" s="109" t="str">
        <f ca="1">Client!Q6</f>
        <v>The buildup cap is Delrin.</v>
      </c>
      <c r="C65" s="109"/>
      <c r="D65" s="109"/>
      <c r="E65" s="109"/>
      <c r="F65" s="109"/>
      <c r="G65" s="109"/>
      <c r="H65" s="109"/>
      <c r="I65" s="109"/>
      <c r="J65" s="109"/>
      <c r="K65" s="109"/>
      <c r="L65" s="109"/>
      <c r="M65" s="109"/>
      <c r="N65" s="109"/>
      <c r="O65" s="108"/>
      <c r="P65" s="108"/>
      <c r="Q65" s="108"/>
    </row>
    <row r="66" spans="1:20" ht="15.75">
      <c r="A66" s="111" t="s">
        <v>362</v>
      </c>
      <c r="B66" s="109" t="str">
        <f ca="1">Client!Q7</f>
        <v>The chamber is waterproof.</v>
      </c>
      <c r="C66" s="109"/>
      <c r="D66" s="109"/>
      <c r="E66" s="109"/>
      <c r="F66" s="109"/>
      <c r="G66" s="109"/>
      <c r="H66" s="109"/>
      <c r="I66" s="109"/>
      <c r="J66" s="109"/>
      <c r="K66" s="109"/>
      <c r="L66" s="109"/>
      <c r="M66" s="109"/>
      <c r="N66" s="109"/>
      <c r="O66" s="108"/>
      <c r="P66" s="108"/>
      <c r="Q66" s="108"/>
    </row>
    <row r="67" spans="1:20" ht="15.75">
      <c r="A67" s="109"/>
      <c r="B67" s="109"/>
      <c r="C67" s="109"/>
      <c r="D67" s="109"/>
      <c r="E67" s="109"/>
      <c r="F67" s="109"/>
      <c r="G67" s="109"/>
      <c r="H67" s="109"/>
      <c r="I67" s="109"/>
      <c r="J67" s="109"/>
      <c r="K67" s="109"/>
      <c r="L67" s="109"/>
      <c r="M67" s="109"/>
      <c r="N67" s="109"/>
      <c r="O67" s="108"/>
      <c r="P67" s="108"/>
      <c r="Q67" s="108"/>
    </row>
    <row r="68" spans="1:20" ht="15.75">
      <c r="A68" s="110" t="s">
        <v>363</v>
      </c>
      <c r="B68" s="109"/>
      <c r="C68" s="109"/>
      <c r="D68" s="109"/>
      <c r="E68" s="109"/>
      <c r="F68" s="109"/>
      <c r="G68" s="109"/>
      <c r="H68" s="109"/>
      <c r="I68" s="109"/>
      <c r="J68" s="109"/>
      <c r="K68" s="109"/>
      <c r="L68" s="109"/>
      <c r="M68" s="109"/>
      <c r="N68" s="109"/>
      <c r="O68" s="108"/>
      <c r="P68" s="108"/>
      <c r="Q68" s="108"/>
    </row>
    <row r="69" spans="1:20" ht="15.75">
      <c r="A69" s="111" t="s">
        <v>362</v>
      </c>
      <c r="B69" s="100" t="str">
        <f>Client!B34</f>
        <v>Buildup cap</v>
      </c>
      <c r="C69" s="109"/>
      <c r="D69" s="109"/>
      <c r="E69" s="109"/>
      <c r="F69" s="109"/>
      <c r="G69" s="109"/>
      <c r="H69" s="109"/>
      <c r="I69" s="109"/>
      <c r="J69" s="109"/>
      <c r="K69" s="109"/>
      <c r="L69" s="109"/>
      <c r="M69" s="109"/>
      <c r="N69" s="109"/>
      <c r="O69" s="108"/>
      <c r="P69" s="108"/>
      <c r="Q69" s="108"/>
    </row>
    <row r="70" spans="1:20" ht="15.75">
      <c r="A70" s="109"/>
      <c r="B70" s="109"/>
      <c r="C70" s="109"/>
      <c r="D70" s="109"/>
      <c r="E70" s="109"/>
      <c r="F70" s="109"/>
      <c r="G70" s="109"/>
      <c r="H70" s="109"/>
      <c r="I70" s="109"/>
      <c r="J70" s="109"/>
      <c r="K70" s="109"/>
      <c r="L70" s="109"/>
      <c r="M70" s="109"/>
      <c r="N70" s="109"/>
      <c r="O70" s="108"/>
      <c r="P70" s="108"/>
      <c r="Q70" s="108"/>
    </row>
    <row r="71" spans="1:20" ht="15.75">
      <c r="A71" s="110" t="s">
        <v>364</v>
      </c>
      <c r="B71" s="109"/>
      <c r="C71" s="109"/>
      <c r="D71" s="109"/>
      <c r="E71" s="109"/>
      <c r="F71" s="109"/>
      <c r="G71" s="109"/>
      <c r="H71" s="109"/>
      <c r="I71" s="109"/>
      <c r="J71" s="109"/>
      <c r="K71" s="109"/>
      <c r="L71" s="109"/>
      <c r="M71" s="109"/>
      <c r="N71" s="109"/>
      <c r="O71" s="108"/>
      <c r="P71" s="108"/>
      <c r="Q71" s="108"/>
    </row>
    <row r="72" spans="1:20" ht="15.75">
      <c r="A72" s="111" t="s">
        <v>362</v>
      </c>
      <c r="B72" s="109" t="s">
        <v>1308</v>
      </c>
      <c r="C72" s="109"/>
      <c r="D72" s="109"/>
      <c r="E72" s="109"/>
      <c r="F72" s="109"/>
      <c r="G72" s="109"/>
      <c r="H72" s="109"/>
      <c r="I72" s="109"/>
      <c r="J72" s="109"/>
      <c r="K72" s="109"/>
      <c r="L72" s="109"/>
      <c r="M72" s="109"/>
      <c r="N72" s="109"/>
      <c r="O72" s="108"/>
      <c r="P72" s="108"/>
      <c r="Q72" s="108"/>
    </row>
    <row r="73" spans="1:20" ht="15.75">
      <c r="A73" s="108"/>
      <c r="B73" s="108"/>
      <c r="C73" s="108"/>
      <c r="D73" s="108"/>
      <c r="E73" s="108"/>
      <c r="F73" s="108"/>
      <c r="G73" s="108"/>
      <c r="H73" s="108"/>
      <c r="I73" s="108"/>
      <c r="J73" s="108"/>
      <c r="K73" s="108"/>
      <c r="L73" s="108"/>
      <c r="M73" s="108"/>
      <c r="N73" s="108"/>
      <c r="O73" s="108"/>
      <c r="P73" s="108"/>
      <c r="Q73" s="108"/>
    </row>
    <row r="74" spans="1:20" ht="15.75">
      <c r="A74" s="112" t="s">
        <v>365</v>
      </c>
      <c r="B74" s="108"/>
      <c r="C74" s="108"/>
      <c r="D74" s="108"/>
      <c r="E74" s="108"/>
      <c r="F74" s="108"/>
      <c r="G74" s="108"/>
      <c r="H74" s="108"/>
      <c r="I74" s="108"/>
      <c r="J74" s="108"/>
      <c r="K74" s="108"/>
      <c r="L74" s="108"/>
      <c r="M74" s="108"/>
      <c r="N74" s="108"/>
      <c r="O74" s="108"/>
      <c r="P74" s="108"/>
      <c r="Q74" s="108"/>
    </row>
    <row r="75" spans="1:20" ht="48.75" customHeight="1">
      <c r="A75" s="111" t="s">
        <v>362</v>
      </c>
      <c r="B75" s="1141" t="s">
        <v>1277</v>
      </c>
      <c r="C75" s="1141"/>
      <c r="D75" s="1141"/>
      <c r="E75" s="1141"/>
      <c r="F75" s="1141"/>
      <c r="G75" s="1141"/>
      <c r="H75" s="1141"/>
      <c r="I75" s="1141"/>
      <c r="J75" s="1141"/>
      <c r="K75" s="1141"/>
      <c r="L75" s="1141"/>
      <c r="M75" s="1141"/>
      <c r="N75" s="1141"/>
      <c r="O75" s="1141"/>
      <c r="P75" s="1141"/>
      <c r="Q75" s="1141"/>
      <c r="R75" s="1141"/>
      <c r="S75" s="1141"/>
      <c r="T75" s="1141"/>
    </row>
    <row r="76" spans="1:20" ht="15.75">
      <c r="A76" s="108"/>
      <c r="B76" s="108"/>
      <c r="C76" s="108"/>
      <c r="D76" s="108"/>
      <c r="E76" s="108"/>
      <c r="F76" s="108"/>
      <c r="G76" s="108"/>
      <c r="H76" s="108"/>
      <c r="I76" s="108"/>
      <c r="J76" s="108"/>
      <c r="K76" s="108"/>
      <c r="L76" s="108"/>
      <c r="M76" s="108"/>
      <c r="N76" s="108"/>
      <c r="O76" s="108"/>
      <c r="P76" s="108"/>
      <c r="Q76" s="108"/>
    </row>
    <row r="77" spans="1:20" ht="15.75">
      <c r="A77" s="149" t="s">
        <v>406</v>
      </c>
      <c r="B77" s="108"/>
      <c r="C77" s="108"/>
      <c r="D77" s="108"/>
      <c r="E77" s="108"/>
      <c r="F77" s="108"/>
      <c r="G77" s="108"/>
      <c r="H77" s="108"/>
      <c r="I77" s="108"/>
      <c r="J77" s="108"/>
      <c r="K77" s="108"/>
      <c r="L77" s="108"/>
      <c r="M77" s="108"/>
      <c r="N77" s="108"/>
      <c r="O77" s="108"/>
      <c r="P77" s="108"/>
      <c r="Q77" s="108"/>
    </row>
    <row r="78" spans="1:20" ht="65.25" customHeight="1">
      <c r="A78" s="111" t="s">
        <v>362</v>
      </c>
      <c r="B78" s="1136" t="s">
        <v>942</v>
      </c>
      <c r="C78" s="1136"/>
      <c r="D78" s="1136"/>
      <c r="E78" s="1136"/>
      <c r="F78" s="1136"/>
      <c r="G78" s="1136"/>
      <c r="H78" s="1136"/>
      <c r="I78" s="1136"/>
      <c r="J78" s="1136"/>
      <c r="K78" s="1136"/>
      <c r="L78" s="1136"/>
      <c r="M78" s="1136"/>
      <c r="N78" s="1136"/>
      <c r="O78" s="1136"/>
      <c r="P78" s="1136"/>
      <c r="Q78" s="1136"/>
      <c r="R78" s="1136"/>
      <c r="S78" s="1136"/>
      <c r="T78" s="1136"/>
    </row>
    <row r="79" spans="1:20" ht="33" customHeight="1">
      <c r="A79" s="111" t="s">
        <v>362</v>
      </c>
      <c r="B79" s="1136" t="s">
        <v>366</v>
      </c>
      <c r="C79" s="1136"/>
      <c r="D79" s="1136"/>
      <c r="E79" s="1136"/>
      <c r="F79" s="1136"/>
      <c r="G79" s="1136"/>
      <c r="H79" s="1136"/>
      <c r="I79" s="1136"/>
      <c r="J79" s="1136"/>
      <c r="K79" s="1136"/>
      <c r="L79" s="1136"/>
      <c r="M79" s="1136"/>
      <c r="N79" s="1136"/>
      <c r="O79" s="1136"/>
      <c r="P79" s="1136"/>
      <c r="Q79" s="1136"/>
      <c r="R79" s="1136"/>
      <c r="S79" s="1136"/>
      <c r="T79" s="1136"/>
    </row>
    <row r="81" spans="1:20" ht="15.75">
      <c r="A81" s="112" t="s">
        <v>367</v>
      </c>
    </row>
    <row r="82" spans="1:20" ht="15.75">
      <c r="A82" s="111" t="s">
        <v>362</v>
      </c>
      <c r="B82" s="1141" t="s">
        <v>801</v>
      </c>
      <c r="C82" s="1141"/>
      <c r="D82" s="1141"/>
      <c r="E82" s="1141"/>
      <c r="F82" s="1141"/>
      <c r="G82" s="1141"/>
      <c r="H82" s="1141"/>
      <c r="I82" s="1141"/>
      <c r="J82" s="1141"/>
      <c r="K82" s="1141"/>
      <c r="L82" s="1141"/>
      <c r="M82" s="1141"/>
      <c r="N82" s="1141"/>
      <c r="O82" s="1141"/>
      <c r="P82" s="1141"/>
      <c r="Q82" s="1141"/>
    </row>
    <row r="83" spans="1:20" ht="15.75">
      <c r="A83" s="112"/>
    </row>
    <row r="84" spans="1:20" ht="15.75">
      <c r="A84" s="112" t="s">
        <v>368</v>
      </c>
    </row>
    <row r="85" spans="1:20" ht="15.75">
      <c r="A85" s="111" t="s">
        <v>362</v>
      </c>
      <c r="B85" s="1141" t="s">
        <v>801</v>
      </c>
      <c r="C85" s="1141"/>
      <c r="D85" s="1141"/>
      <c r="E85" s="1141"/>
      <c r="F85" s="1141"/>
      <c r="G85" s="1141"/>
      <c r="H85" s="1141"/>
      <c r="I85" s="1141"/>
      <c r="J85" s="1141"/>
      <c r="K85" s="1141"/>
      <c r="L85" s="1141"/>
      <c r="M85" s="1141"/>
      <c r="N85" s="1141"/>
      <c r="O85" s="1141"/>
      <c r="P85" s="1141"/>
      <c r="Q85" s="1141"/>
    </row>
    <row r="86" spans="1:20" ht="15.75">
      <c r="A86" s="111"/>
      <c r="B86" s="217"/>
      <c r="C86" s="217"/>
      <c r="D86" s="217"/>
      <c r="E86" s="217"/>
      <c r="F86" s="217"/>
      <c r="G86" s="217"/>
      <c r="H86" s="217"/>
      <c r="I86" s="217"/>
      <c r="J86" s="217"/>
      <c r="K86" s="217"/>
      <c r="L86" s="217"/>
      <c r="M86" s="217"/>
      <c r="N86" s="217"/>
      <c r="O86" s="217"/>
      <c r="P86" s="217"/>
      <c r="Q86" s="217"/>
    </row>
    <row r="87" spans="1:20" ht="15.75">
      <c r="A87" s="112"/>
      <c r="B87" s="112"/>
      <c r="C87" s="112"/>
      <c r="D87" s="112"/>
      <c r="E87" s="112"/>
      <c r="F87" s="112"/>
      <c r="G87" s="112"/>
      <c r="H87" s="112"/>
      <c r="I87" s="112"/>
      <c r="J87" s="112"/>
      <c r="K87" s="112"/>
      <c r="L87" s="112"/>
      <c r="M87" s="112"/>
      <c r="N87" s="112"/>
      <c r="O87" s="112"/>
      <c r="P87" s="112"/>
      <c r="Q87" s="112"/>
    </row>
    <row r="88" spans="1:20" ht="15" customHeight="1">
      <c r="A88" s="472" t="s">
        <v>478</v>
      </c>
      <c r="B88" s="112"/>
      <c r="C88" s="112"/>
      <c r="D88" s="112"/>
      <c r="E88" s="112"/>
      <c r="F88" s="112"/>
      <c r="G88" s="112"/>
      <c r="H88" s="112"/>
      <c r="I88" s="112"/>
      <c r="J88" s="112"/>
      <c r="K88" s="112"/>
      <c r="L88" s="112"/>
      <c r="M88" s="112"/>
      <c r="N88" s="112"/>
      <c r="O88" s="112"/>
      <c r="P88" s="112"/>
      <c r="Q88" s="112"/>
    </row>
    <row r="89" spans="1:20" ht="43.5" customHeight="1">
      <c r="A89" s="111" t="s">
        <v>362</v>
      </c>
      <c r="B89" s="1140" t="s">
        <v>1309</v>
      </c>
      <c r="C89" s="1140"/>
      <c r="D89" s="1140"/>
      <c r="E89" s="1140"/>
      <c r="F89" s="1140"/>
      <c r="G89" s="1140"/>
      <c r="H89" s="1140"/>
      <c r="I89" s="1140"/>
      <c r="J89" s="1140"/>
      <c r="K89" s="1140"/>
      <c r="L89" s="1140"/>
      <c r="M89" s="1140"/>
      <c r="N89" s="1140"/>
      <c r="O89" s="1140"/>
      <c r="P89" s="1140"/>
      <c r="Q89" s="1140"/>
      <c r="R89" s="1140"/>
      <c r="S89" s="1140"/>
      <c r="T89" s="1140"/>
    </row>
    <row r="90" spans="1:20" ht="15" customHeight="1">
      <c r="A90" s="112"/>
      <c r="B90" s="112"/>
      <c r="C90" s="112"/>
      <c r="D90" s="112"/>
      <c r="E90" s="112"/>
      <c r="F90" s="112"/>
      <c r="G90" s="112"/>
      <c r="H90" s="112"/>
      <c r="I90" s="112"/>
      <c r="J90" s="112"/>
      <c r="K90" s="112"/>
      <c r="L90" s="112"/>
      <c r="M90" s="112"/>
      <c r="N90" s="112"/>
      <c r="O90" s="112"/>
      <c r="P90" s="112"/>
      <c r="Q90" s="112"/>
    </row>
    <row r="91" spans="1:20" ht="15.75">
      <c r="A91" s="112" t="s">
        <v>369</v>
      </c>
      <c r="B91" s="112"/>
      <c r="C91" s="112"/>
      <c r="D91" s="112"/>
      <c r="E91" s="112"/>
      <c r="F91" s="112"/>
      <c r="G91" s="112"/>
      <c r="H91" s="112"/>
      <c r="I91" s="112"/>
      <c r="J91" s="112"/>
      <c r="K91" s="112"/>
      <c r="L91" s="112"/>
      <c r="M91" s="112"/>
      <c r="N91" s="112"/>
      <c r="O91" s="112"/>
      <c r="P91" s="112"/>
      <c r="Q91" s="112"/>
    </row>
    <row r="92" spans="1:20" ht="63.95" customHeight="1">
      <c r="A92" s="113" t="s">
        <v>370</v>
      </c>
      <c r="B92" s="1136" t="s">
        <v>372</v>
      </c>
      <c r="C92" s="1136"/>
      <c r="D92" s="1136"/>
      <c r="E92" s="1136"/>
      <c r="F92" s="1136"/>
      <c r="G92" s="1136"/>
      <c r="H92" s="1136"/>
      <c r="I92" s="1136"/>
      <c r="J92" s="1136"/>
      <c r="K92" s="1136"/>
      <c r="L92" s="1136"/>
      <c r="M92" s="1136"/>
      <c r="N92" s="1136"/>
      <c r="O92" s="1136"/>
      <c r="P92" s="1136"/>
      <c r="Q92" s="1136"/>
      <c r="R92" s="1136"/>
      <c r="S92" s="1136"/>
      <c r="T92" s="1136"/>
    </row>
    <row r="93" spans="1:20" ht="15" customHeight="1">
      <c r="A93" s="112"/>
      <c r="B93" s="112"/>
      <c r="C93" s="112"/>
      <c r="D93" s="112"/>
      <c r="E93" s="112"/>
      <c r="F93" s="112"/>
      <c r="G93" s="112"/>
      <c r="H93" s="112"/>
      <c r="I93" s="112"/>
      <c r="J93" s="112"/>
      <c r="K93" s="112"/>
      <c r="L93" s="112"/>
      <c r="M93" s="112"/>
      <c r="N93" s="112"/>
      <c r="O93" s="112"/>
      <c r="P93" s="112"/>
      <c r="Q93" s="112"/>
    </row>
    <row r="94" spans="1:20" ht="15" customHeight="1"/>
    <row r="95" spans="1:20" ht="18.75" customHeight="1"/>
    <row r="96" spans="1:20" ht="17.25" customHeight="1" thickBot="1"/>
    <row r="97" spans="1:20" ht="12.75" customHeight="1">
      <c r="A97" s="416" t="str">
        <f>"Calibration No.: "&amp;$T$13</f>
        <v>Calibration No.: CAL11957/03</v>
      </c>
      <c r="B97" s="417"/>
      <c r="C97" s="417"/>
      <c r="D97" s="417"/>
      <c r="E97" s="417"/>
      <c r="F97" s="417"/>
      <c r="G97" s="417"/>
      <c r="H97" s="417"/>
      <c r="I97" s="418" t="str">
        <f>$G$33</f>
        <v>7 July 2021</v>
      </c>
      <c r="J97" s="417"/>
      <c r="K97" s="417"/>
      <c r="L97" s="417"/>
      <c r="M97" s="417"/>
      <c r="N97" s="416" t="s">
        <v>360</v>
      </c>
      <c r="O97" s="419"/>
      <c r="P97" s="944"/>
      <c r="Q97" s="419"/>
      <c r="R97" s="419"/>
      <c r="S97" s="419"/>
      <c r="T97" s="419" t="s">
        <v>586</v>
      </c>
    </row>
    <row r="103" spans="1:20" ht="31.5" customHeight="1">
      <c r="A103" s="1148" t="s">
        <v>990</v>
      </c>
      <c r="B103" s="1148"/>
      <c r="C103" s="1148"/>
      <c r="D103" s="1148"/>
      <c r="E103" s="1148"/>
      <c r="F103" s="1148"/>
      <c r="G103" s="1148"/>
      <c r="H103" s="1148"/>
      <c r="I103" s="1148"/>
      <c r="J103" s="1148"/>
      <c r="K103" s="1148"/>
      <c r="L103" s="1148"/>
      <c r="M103" s="1148"/>
      <c r="N103" s="1148"/>
      <c r="O103" s="1148"/>
      <c r="P103" s="1148"/>
      <c r="Q103" s="1148"/>
      <c r="R103" s="1148"/>
      <c r="S103" s="1148"/>
      <c r="T103" s="1148"/>
    </row>
    <row r="104" spans="1:20" ht="15">
      <c r="A104" s="96"/>
      <c r="B104" s="96"/>
      <c r="C104" s="96"/>
      <c r="D104" s="96"/>
      <c r="E104" s="96"/>
      <c r="F104" s="96"/>
      <c r="G104" s="96"/>
      <c r="H104" s="96"/>
      <c r="I104" s="96"/>
      <c r="J104" s="96"/>
      <c r="K104" s="96"/>
      <c r="L104" s="96"/>
      <c r="M104" s="96"/>
      <c r="N104" s="96"/>
      <c r="O104" s="96"/>
      <c r="P104" s="96"/>
      <c r="Q104" s="96"/>
    </row>
    <row r="105" spans="1:20" s="111" customFormat="1" ht="18" customHeight="1">
      <c r="A105" s="413" t="s">
        <v>2</v>
      </c>
      <c r="B105" s="163"/>
      <c r="C105" s="163"/>
      <c r="D105" s="163"/>
      <c r="E105" s="163"/>
      <c r="F105" s="4"/>
      <c r="G105" s="165" t="str">
        <f>G20</f>
        <v>De-identified for distribution</v>
      </c>
      <c r="H105" s="163"/>
      <c r="I105" s="163"/>
      <c r="J105" s="163"/>
      <c r="K105" s="162"/>
      <c r="L105" s="162"/>
      <c r="M105" s="162"/>
      <c r="N105" s="162"/>
      <c r="O105" s="162"/>
      <c r="P105" s="162"/>
      <c r="Q105" s="162"/>
      <c r="R105" s="210"/>
    </row>
    <row r="106" spans="1:20" s="111" customFormat="1" ht="18" customHeight="1">
      <c r="A106" s="413" t="s">
        <v>1311</v>
      </c>
      <c r="B106" s="163"/>
      <c r="C106" s="163"/>
      <c r="D106" s="163"/>
      <c r="E106" s="163"/>
      <c r="F106" s="4"/>
      <c r="G106" s="165" t="str">
        <f>G25</f>
        <v>IBA FC65-G, serial number 457</v>
      </c>
      <c r="H106" s="163"/>
      <c r="I106" s="163"/>
      <c r="J106" s="163"/>
      <c r="K106" s="162"/>
      <c r="L106" s="162"/>
      <c r="M106" s="162"/>
      <c r="N106" s="162"/>
      <c r="O106" s="162"/>
      <c r="P106" s="162"/>
      <c r="Q106" s="162"/>
      <c r="R106" s="210"/>
    </row>
    <row r="107" spans="1:20" s="111" customFormat="1" ht="18" customHeight="1">
      <c r="A107" s="163" t="s">
        <v>1327</v>
      </c>
      <c r="B107" s="163"/>
      <c r="C107" s="163"/>
      <c r="D107" s="163"/>
      <c r="E107" s="163"/>
      <c r="F107" s="4"/>
      <c r="G107" s="163" t="str">
        <f>Client!V10&amp;" on the guard electrode"</f>
        <v>-242 V on the guard electrode</v>
      </c>
      <c r="H107" s="163"/>
      <c r="I107" s="163"/>
      <c r="J107" s="163"/>
      <c r="K107" s="162"/>
      <c r="L107" s="162"/>
      <c r="M107" s="162"/>
      <c r="N107" s="162"/>
      <c r="O107" s="162"/>
      <c r="P107" s="162"/>
      <c r="Q107" s="162"/>
      <c r="R107" s="210"/>
    </row>
    <row r="108" spans="1:20" s="111" customFormat="1" ht="18" customHeight="1">
      <c r="A108" s="163" t="s">
        <v>373</v>
      </c>
      <c r="B108" s="163"/>
      <c r="C108" s="163"/>
      <c r="D108" s="163"/>
      <c r="E108" s="163"/>
      <c r="F108" s="4"/>
      <c r="G108" s="414" t="str">
        <f>Client!Q13</f>
        <v>Positive (Central Electrode Negative)</v>
      </c>
      <c r="H108" s="163"/>
      <c r="I108" s="163"/>
      <c r="J108" s="163"/>
      <c r="K108" s="162"/>
      <c r="L108" s="162"/>
      <c r="M108" s="162"/>
      <c r="N108" s="162"/>
      <c r="O108" s="162"/>
      <c r="P108" s="162"/>
      <c r="Q108" s="162"/>
      <c r="R108" s="210"/>
    </row>
    <row r="109" spans="1:20" s="111" customFormat="1" ht="18" customHeight="1">
      <c r="A109" s="163" t="s">
        <v>332</v>
      </c>
      <c r="B109" s="163"/>
      <c r="C109" s="163"/>
      <c r="D109" s="163"/>
      <c r="E109" s="163"/>
      <c r="F109" s="4"/>
      <c r="G109" s="163" t="str">
        <f ca="1">Client!Q8</f>
        <v>The geometrical centre of the cavity</v>
      </c>
      <c r="H109" s="163"/>
      <c r="I109" s="163"/>
      <c r="J109" s="163"/>
      <c r="K109" s="162"/>
      <c r="L109" s="162"/>
      <c r="M109" s="162"/>
      <c r="N109" s="162"/>
      <c r="O109" s="162"/>
      <c r="P109" s="162"/>
      <c r="Q109" s="162"/>
      <c r="R109" s="210"/>
    </row>
    <row r="110" spans="1:20" s="111" customFormat="1" ht="18" customHeight="1">
      <c r="A110" s="163" t="s">
        <v>374</v>
      </c>
      <c r="B110" s="163"/>
      <c r="C110" s="163"/>
      <c r="D110" s="163"/>
      <c r="E110" s="163"/>
      <c r="F110" s="4"/>
      <c r="G110" s="163" t="s">
        <v>375</v>
      </c>
      <c r="H110" s="163"/>
      <c r="I110" s="163"/>
      <c r="J110" s="163"/>
      <c r="K110" s="162"/>
      <c r="L110" s="162"/>
      <c r="M110" s="162"/>
      <c r="N110" s="162"/>
      <c r="O110" s="162"/>
      <c r="P110" s="162"/>
      <c r="Q110" s="162"/>
      <c r="R110" s="210"/>
    </row>
    <row r="111" spans="1:20" s="111" customFormat="1" ht="18" customHeight="1">
      <c r="A111" s="163"/>
      <c r="B111" s="163"/>
      <c r="C111" s="163"/>
      <c r="D111" s="163"/>
      <c r="E111" s="163"/>
      <c r="F111" s="4"/>
      <c r="G111" s="163" t="s">
        <v>376</v>
      </c>
      <c r="H111" s="163"/>
      <c r="I111" s="163"/>
      <c r="J111" s="163"/>
      <c r="K111" s="162"/>
      <c r="L111" s="162"/>
      <c r="M111" s="162"/>
      <c r="N111" s="162"/>
      <c r="O111" s="162"/>
      <c r="P111" s="162"/>
      <c r="Q111" s="162"/>
      <c r="R111" s="210"/>
    </row>
    <row r="112" spans="1:20" s="111" customFormat="1" ht="18" customHeight="1">
      <c r="A112" s="163"/>
      <c r="B112" s="163"/>
      <c r="C112" s="163"/>
      <c r="D112" s="163"/>
      <c r="E112" s="163"/>
      <c r="F112" s="4"/>
      <c r="G112" s="163" t="s">
        <v>377</v>
      </c>
      <c r="H112" s="163"/>
      <c r="I112" s="163"/>
      <c r="J112" s="163"/>
      <c r="K112" s="162"/>
      <c r="L112" s="162"/>
      <c r="M112" s="162"/>
      <c r="N112" s="162"/>
      <c r="O112" s="162"/>
      <c r="P112" s="162"/>
      <c r="Q112" s="162"/>
      <c r="R112" s="210"/>
    </row>
    <row r="113" spans="1:20" s="111" customFormat="1" ht="18" customHeight="1">
      <c r="A113" s="163"/>
      <c r="B113" s="163"/>
      <c r="C113" s="163"/>
      <c r="D113" s="163"/>
      <c r="E113" s="163"/>
      <c r="F113" s="4"/>
      <c r="G113" s="163" t="s">
        <v>378</v>
      </c>
      <c r="H113" s="163"/>
      <c r="I113" s="163"/>
      <c r="J113" s="163"/>
      <c r="K113" s="162"/>
      <c r="L113" s="162"/>
      <c r="M113" s="162"/>
      <c r="N113" s="162"/>
      <c r="O113" s="162"/>
      <c r="P113" s="162"/>
      <c r="Q113" s="162"/>
      <c r="R113" s="210"/>
    </row>
    <row r="114" spans="1:20" s="111" customFormat="1" ht="18" customHeight="1">
      <c r="A114" s="163"/>
      <c r="B114" s="163"/>
      <c r="C114" s="163"/>
      <c r="D114" s="163"/>
      <c r="E114" s="163"/>
      <c r="F114" s="4"/>
      <c r="G114" s="163" t="s">
        <v>379</v>
      </c>
      <c r="H114" s="163"/>
      <c r="I114" s="163"/>
      <c r="J114" s="163"/>
      <c r="K114" s="162"/>
      <c r="L114" s="162"/>
      <c r="M114" s="162"/>
      <c r="N114" s="162"/>
      <c r="O114" s="162"/>
      <c r="P114" s="162"/>
      <c r="Q114" s="162"/>
      <c r="R114" s="210"/>
    </row>
    <row r="115" spans="1:20" s="111" customFormat="1" ht="18" customHeight="1">
      <c r="A115" s="163" t="s">
        <v>380</v>
      </c>
      <c r="B115" s="163"/>
      <c r="C115" s="163"/>
      <c r="D115" s="163"/>
      <c r="E115" s="163"/>
      <c r="F115" s="4"/>
      <c r="G115" s="163" t="s">
        <v>381</v>
      </c>
      <c r="H115" s="163"/>
      <c r="I115" s="163"/>
      <c r="J115" s="163"/>
      <c r="K115" s="162"/>
      <c r="L115" s="162"/>
      <c r="M115" s="162"/>
      <c r="N115" s="162"/>
      <c r="O115" s="162"/>
      <c r="P115" s="162"/>
      <c r="Q115" s="162"/>
      <c r="R115" s="210"/>
    </row>
    <row r="116" spans="1:20" s="111" customFormat="1" ht="18" customHeight="1">
      <c r="A116" s="163" t="s">
        <v>382</v>
      </c>
      <c r="B116" s="415"/>
      <c r="C116" s="163"/>
      <c r="D116" s="163"/>
      <c r="E116" s="163"/>
      <c r="F116" s="4"/>
      <c r="G116" s="163" t="s">
        <v>383</v>
      </c>
      <c r="H116" s="163"/>
      <c r="I116" s="163"/>
      <c r="J116" s="163"/>
      <c r="K116" s="162"/>
      <c r="L116" s="162"/>
      <c r="M116" s="162"/>
      <c r="N116" s="162"/>
      <c r="O116" s="162"/>
      <c r="P116" s="162"/>
      <c r="Q116" s="162"/>
      <c r="R116" s="210"/>
    </row>
    <row r="117" spans="1:20" s="111" customFormat="1" ht="18" customHeight="1">
      <c r="A117" s="163" t="s">
        <v>384</v>
      </c>
      <c r="B117" s="415"/>
      <c r="C117" s="163"/>
      <c r="D117" s="163"/>
      <c r="E117" s="163"/>
      <c r="F117" s="4"/>
      <c r="G117" s="165" t="s">
        <v>385</v>
      </c>
      <c r="H117" s="163"/>
      <c r="I117" s="163"/>
      <c r="J117" s="163"/>
      <c r="K117" s="162"/>
      <c r="L117" s="162"/>
      <c r="M117" s="162"/>
      <c r="N117" s="162"/>
      <c r="O117" s="162"/>
      <c r="P117" s="162"/>
      <c r="Q117" s="162"/>
      <c r="R117" s="210"/>
    </row>
    <row r="118" spans="1:20" s="111" customFormat="1" ht="18" customHeight="1">
      <c r="A118" s="163" t="s">
        <v>386</v>
      </c>
      <c r="B118" s="415"/>
      <c r="C118" s="163"/>
      <c r="D118" s="163"/>
      <c r="E118" s="163"/>
      <c r="F118" s="4"/>
      <c r="G118" s="163" t="str">
        <f>G27</f>
        <v>2-6 July 2021</v>
      </c>
      <c r="H118" s="163"/>
      <c r="I118" s="163"/>
      <c r="J118" s="163"/>
      <c r="K118" s="162"/>
      <c r="L118" s="162"/>
      <c r="M118" s="162"/>
      <c r="N118" s="162"/>
      <c r="O118" s="162"/>
      <c r="P118" s="162"/>
      <c r="Q118" s="162"/>
      <c r="R118" s="210"/>
    </row>
    <row r="119" spans="1:20" s="111" customFormat="1" ht="18" customHeight="1">
      <c r="A119" s="163" t="s">
        <v>1281</v>
      </c>
      <c r="B119" s="163"/>
      <c r="C119" s="163"/>
      <c r="D119" s="163"/>
      <c r="E119" s="163"/>
      <c r="F119" s="163"/>
      <c r="G119" s="163"/>
      <c r="H119" s="163"/>
      <c r="I119" s="163"/>
      <c r="J119" s="163"/>
      <c r="K119" s="162"/>
      <c r="L119" s="162"/>
      <c r="M119" s="162"/>
      <c r="N119" s="162"/>
      <c r="O119" s="162"/>
      <c r="P119" s="162"/>
      <c r="Q119" s="162"/>
      <c r="R119" s="210"/>
    </row>
    <row r="120" spans="1:20" s="111" customFormat="1" ht="18" customHeight="1">
      <c r="A120" s="162"/>
      <c r="B120" s="162"/>
      <c r="C120" s="162"/>
      <c r="D120" s="162"/>
      <c r="E120" s="162"/>
      <c r="F120" s="162"/>
      <c r="G120" s="162"/>
      <c r="H120" s="162"/>
      <c r="I120" s="162"/>
      <c r="J120" s="162"/>
      <c r="K120" s="162"/>
      <c r="L120" s="162"/>
      <c r="M120" s="162"/>
      <c r="N120" s="162"/>
      <c r="O120" s="162"/>
      <c r="P120" s="162"/>
      <c r="Q120" s="162"/>
      <c r="R120" s="210"/>
    </row>
    <row r="121" spans="1:20" ht="15.75">
      <c r="A121" s="91"/>
      <c r="B121" s="91"/>
      <c r="C121" s="91"/>
      <c r="D121" s="91"/>
      <c r="E121" s="91"/>
      <c r="F121" s="91"/>
      <c r="G121" s="91"/>
      <c r="H121" s="91"/>
      <c r="I121" s="91"/>
      <c r="J121" s="161" t="s">
        <v>1274</v>
      </c>
      <c r="K121" s="91"/>
      <c r="L121" s="91"/>
      <c r="M121" s="91"/>
      <c r="N121" s="91"/>
      <c r="O121" s="91"/>
      <c r="P121" s="91"/>
      <c r="Q121" s="91"/>
      <c r="R121" s="97"/>
    </row>
    <row r="122" spans="1:20" ht="59.25" customHeight="1">
      <c r="A122" s="1091" t="s">
        <v>278</v>
      </c>
      <c r="B122" s="1091"/>
      <c r="C122" s="1096" t="s">
        <v>279</v>
      </c>
      <c r="D122" s="1096"/>
      <c r="E122" s="1096" t="s">
        <v>1251</v>
      </c>
      <c r="F122" s="1096"/>
      <c r="G122" s="1096" t="s">
        <v>1252</v>
      </c>
      <c r="H122" s="1096"/>
      <c r="I122" s="1096" t="s">
        <v>1253</v>
      </c>
      <c r="J122" s="1096"/>
      <c r="K122" s="1091" t="s">
        <v>1253</v>
      </c>
      <c r="L122" s="1091"/>
      <c r="M122" s="1091" t="s">
        <v>1254</v>
      </c>
      <c r="N122" s="1091"/>
      <c r="O122" s="1091" t="s">
        <v>1255</v>
      </c>
      <c r="P122" s="1091"/>
      <c r="Q122" s="1293" t="s">
        <v>1273</v>
      </c>
      <c r="R122" s="1091"/>
      <c r="S122" s="1087" t="s">
        <v>1256</v>
      </c>
      <c r="T122" s="1089"/>
    </row>
    <row r="123" spans="1:20" ht="16.5" customHeight="1">
      <c r="A123" s="1250"/>
      <c r="B123" s="1250"/>
      <c r="C123" s="1097" t="s">
        <v>1249</v>
      </c>
      <c r="D123" s="1099"/>
      <c r="E123" s="1097" t="s">
        <v>639</v>
      </c>
      <c r="F123" s="1099"/>
      <c r="G123" s="1097" t="s">
        <v>640</v>
      </c>
      <c r="H123" s="1099"/>
      <c r="I123" s="1097" t="s">
        <v>639</v>
      </c>
      <c r="J123" s="1099"/>
      <c r="K123" s="1103" t="s">
        <v>640</v>
      </c>
      <c r="L123" s="1105"/>
      <c r="M123" s="1103" t="s">
        <v>1250</v>
      </c>
      <c r="N123" s="1105"/>
      <c r="O123" s="1103" t="s">
        <v>63</v>
      </c>
      <c r="P123" s="1105"/>
      <c r="Q123" s="1103" t="s">
        <v>7</v>
      </c>
      <c r="R123" s="1105"/>
      <c r="S123" s="1097" t="s">
        <v>140</v>
      </c>
      <c r="T123" s="1099"/>
    </row>
    <row r="124" spans="1:20" ht="20.25" customHeight="1">
      <c r="A124" s="1294" t="str">
        <f>MEXtabs!A8</f>
        <v>NXA50</v>
      </c>
      <c r="B124" s="1295"/>
      <c r="C124" s="1296">
        <f>MEXtabs!B8</f>
        <v>50</v>
      </c>
      <c r="D124" s="1296"/>
      <c r="E124" s="1297">
        <f>MEXtabs!C8</f>
        <v>4</v>
      </c>
      <c r="F124" s="1297"/>
      <c r="G124" s="1296"/>
      <c r="H124" s="1296"/>
      <c r="I124" s="1298">
        <f>MEXtabs!E8</f>
        <v>2.3884184190002435</v>
      </c>
      <c r="J124" s="1298"/>
      <c r="K124" s="1251">
        <f>MEXtabs!F8</f>
        <v>7.9990307372596242E-2</v>
      </c>
      <c r="L124" s="1251"/>
      <c r="M124" s="1252">
        <f>MEXtabs!G8</f>
        <v>29.934000000000001</v>
      </c>
      <c r="N124" s="1252"/>
      <c r="O124" s="1252">
        <f>MEXtabs!H8</f>
        <v>0.36494547749932849</v>
      </c>
      <c r="P124" s="1252"/>
      <c r="Q124" s="1251">
        <f>MEXtabs!I8</f>
        <v>45.021741124033042</v>
      </c>
      <c r="R124" s="1251"/>
      <c r="S124" s="1297">
        <f>MEXtabs!J8</f>
        <v>1.4264646955572411</v>
      </c>
      <c r="T124" s="1297"/>
    </row>
    <row r="125" spans="1:20" ht="20.25" customHeight="1">
      <c r="A125" s="1299" t="str">
        <f>MEXtabs!A9</f>
        <v>NXA70</v>
      </c>
      <c r="B125" s="1300"/>
      <c r="C125" s="1301">
        <f>MEXtabs!B9</f>
        <v>70</v>
      </c>
      <c r="D125" s="1301"/>
      <c r="E125" s="1302">
        <f>MEXtabs!C9</f>
        <v>4</v>
      </c>
      <c r="F125" s="1302"/>
      <c r="G125" s="1301"/>
      <c r="H125" s="1301"/>
      <c r="I125" s="1303">
        <f>MEXtabs!E9</f>
        <v>3.1929733252964523</v>
      </c>
      <c r="J125" s="1303"/>
      <c r="K125" s="1304">
        <f>MEXtabs!F9</f>
        <v>0.11135967269909675</v>
      </c>
      <c r="L125" s="1304"/>
      <c r="M125" s="1305">
        <f>MEXtabs!G9</f>
        <v>34.274999999999999</v>
      </c>
      <c r="N125" s="1305"/>
      <c r="O125" s="1305">
        <f>MEXtabs!H9</f>
        <v>0.81063727072613534</v>
      </c>
      <c r="P125" s="1305"/>
      <c r="Q125" s="1304">
        <f>MEXtabs!I9</f>
        <v>44.974926824133554</v>
      </c>
      <c r="R125" s="1304"/>
      <c r="S125" s="1302">
        <f>MEXtabs!J9</f>
        <v>1.4232694638915471</v>
      </c>
      <c r="T125" s="1302"/>
    </row>
    <row r="126" spans="1:20" ht="20.25" customHeight="1">
      <c r="A126" s="1307" t="str">
        <f>MEXtabs!A10</f>
        <v>NXB100</v>
      </c>
      <c r="B126" s="1308"/>
      <c r="C126" s="1309">
        <f>MEXtabs!B10</f>
        <v>100</v>
      </c>
      <c r="D126" s="1309"/>
      <c r="E126" s="1306">
        <f>MEXtabs!C10</f>
        <v>4.5</v>
      </c>
      <c r="F126" s="1306"/>
      <c r="G126" s="1309"/>
      <c r="H126" s="1309"/>
      <c r="I126" s="1310">
        <f>MEXtabs!E10</f>
        <v>4.7352150332082985</v>
      </c>
      <c r="J126" s="1310"/>
      <c r="K126" s="1311">
        <f>MEXtabs!F10</f>
        <v>0.18268575344478749</v>
      </c>
      <c r="L126" s="1311"/>
      <c r="M126" s="1312">
        <f>MEXtabs!G10</f>
        <v>41.587000000000003</v>
      </c>
      <c r="N126" s="1312"/>
      <c r="O126" s="1312">
        <f>MEXtabs!H10</f>
        <v>1.5509425824921932</v>
      </c>
      <c r="P126" s="1312"/>
      <c r="Q126" s="1311">
        <f>MEXtabs!I10</f>
        <v>44.778484986701471</v>
      </c>
      <c r="R126" s="1311"/>
      <c r="S126" s="1306">
        <f>MEXtabs!J10</f>
        <v>1.404760785574442</v>
      </c>
      <c r="T126" s="1306"/>
    </row>
    <row r="127" spans="1:20" ht="20.25" customHeight="1">
      <c r="A127" s="1299" t="str">
        <f>MEXtabs!A11</f>
        <v>NXC120</v>
      </c>
      <c r="B127" s="1300"/>
      <c r="C127" s="1301">
        <f>MEXtabs!B11</f>
        <v>120</v>
      </c>
      <c r="D127" s="1301"/>
      <c r="E127" s="1302">
        <f>MEXtabs!C11</f>
        <v>6</v>
      </c>
      <c r="F127" s="1302"/>
      <c r="G127" s="1301"/>
      <c r="H127" s="1301"/>
      <c r="I127" s="1303">
        <f>MEXtabs!E11</f>
        <v>6.3769778478391608</v>
      </c>
      <c r="J127" s="1303"/>
      <c r="K127" s="1304">
        <f>MEXtabs!F11</f>
        <v>0.28062311390349393</v>
      </c>
      <c r="L127" s="1304"/>
      <c r="M127" s="1305">
        <f>MEXtabs!G11</f>
        <v>48.945</v>
      </c>
      <c r="N127" s="1305"/>
      <c r="O127" s="1305">
        <f>MEXtabs!H11</f>
        <v>1.784368405695494</v>
      </c>
      <c r="P127" s="1305"/>
      <c r="Q127" s="1304">
        <f>MEXtabs!I11</f>
        <v>44.596340368679414</v>
      </c>
      <c r="R127" s="1304"/>
      <c r="S127" s="1302">
        <f>MEXtabs!J11</f>
        <v>1.4063595223273275</v>
      </c>
      <c r="T127" s="1302"/>
    </row>
    <row r="128" spans="1:20" ht="20.25" customHeight="1">
      <c r="A128" s="1307" t="str">
        <f>MEXtabs!A12</f>
        <v>NXD140</v>
      </c>
      <c r="B128" s="1308"/>
      <c r="C128" s="1309">
        <f>MEXtabs!B12</f>
        <v>140</v>
      </c>
      <c r="D128" s="1309"/>
      <c r="E128" s="1306">
        <f>MEXtabs!C12</f>
        <v>9</v>
      </c>
      <c r="F128" s="1306"/>
      <c r="G128" s="1309"/>
      <c r="H128" s="1309"/>
      <c r="I128" s="1310">
        <f>MEXtabs!E12</f>
        <v>8.4359614589862257</v>
      </c>
      <c r="J128" s="1310"/>
      <c r="K128" s="1311">
        <f>MEXtabs!F12</f>
        <v>0.45081671702125536</v>
      </c>
      <c r="L128" s="1311"/>
      <c r="M128" s="1312">
        <f>MEXtabs!G12</f>
        <v>58.063000000000002</v>
      </c>
      <c r="N128" s="1312"/>
      <c r="O128" s="1312">
        <f>MEXtabs!H12</f>
        <v>1.7690624666352799</v>
      </c>
      <c r="P128" s="1312"/>
      <c r="Q128" s="1311">
        <f>MEXtabs!I12</f>
        <v>44.384979291011668</v>
      </c>
      <c r="R128" s="1311"/>
      <c r="S128" s="1306">
        <f>MEXtabs!J12</f>
        <v>1.4143993050722117</v>
      </c>
      <c r="T128" s="1306"/>
    </row>
    <row r="129" spans="1:20" ht="20.25" customHeight="1">
      <c r="A129" s="1299" t="str">
        <f>MEXtabs!A13</f>
        <v>NXE150</v>
      </c>
      <c r="B129" s="1300"/>
      <c r="C129" s="1301">
        <f>MEXtabs!B13</f>
        <v>150</v>
      </c>
      <c r="D129" s="1301"/>
      <c r="E129" s="1302">
        <f>MEXtabs!C13</f>
        <v>4</v>
      </c>
      <c r="F129" s="1302"/>
      <c r="G129" s="1302">
        <f>MEXtabs!D13</f>
        <v>0.5</v>
      </c>
      <c r="H129" s="1302"/>
      <c r="I129" s="1301"/>
      <c r="J129" s="1301"/>
      <c r="K129" s="1304">
        <f>MEXtabs!F13</f>
        <v>0.83812332024006297</v>
      </c>
      <c r="L129" s="1304"/>
      <c r="M129" s="1305">
        <f>MEXtabs!G13</f>
        <v>72.150000000000006</v>
      </c>
      <c r="N129" s="1305"/>
      <c r="O129" s="1305">
        <f>MEXtabs!H13</f>
        <v>1.4090771030362672</v>
      </c>
      <c r="P129" s="1305"/>
      <c r="Q129" s="1304">
        <f>MEXtabs!I13</f>
        <v>44.039866906401102</v>
      </c>
      <c r="R129" s="1304"/>
      <c r="S129" s="1302">
        <f>MEXtabs!J13</f>
        <v>1.4254696449329258</v>
      </c>
      <c r="T129" s="1302"/>
    </row>
    <row r="130" spans="1:20" ht="20.25" customHeight="1">
      <c r="A130" s="1307" t="str">
        <f>MEXtabs!A14</f>
        <v>NXF200</v>
      </c>
      <c r="B130" s="1308"/>
      <c r="C130" s="1309">
        <f>MEXtabs!B14</f>
        <v>200</v>
      </c>
      <c r="D130" s="1309"/>
      <c r="E130" s="1306">
        <f>MEXtabs!C14</f>
        <v>4</v>
      </c>
      <c r="F130" s="1306"/>
      <c r="G130" s="1306">
        <f>MEXtabs!D14</f>
        <v>1</v>
      </c>
      <c r="H130" s="1306"/>
      <c r="I130" s="1309"/>
      <c r="J130" s="1309"/>
      <c r="K130" s="1311">
        <f>MEXtabs!F14</f>
        <v>1.6296937192778045</v>
      </c>
      <c r="L130" s="1311"/>
      <c r="M130" s="1312">
        <f>MEXtabs!G14</f>
        <v>94.739000000000004</v>
      </c>
      <c r="N130" s="1312"/>
      <c r="O130" s="1312">
        <f>MEXtabs!H14</f>
        <v>1.5697420354036626</v>
      </c>
      <c r="P130" s="1312"/>
      <c r="Q130" s="1311">
        <f>MEXtabs!I14</f>
        <v>43.690424941977597</v>
      </c>
      <c r="R130" s="1311"/>
      <c r="S130" s="1306">
        <f>MEXtabs!J14</f>
        <v>1.4020436126959597</v>
      </c>
      <c r="T130" s="1306"/>
    </row>
    <row r="131" spans="1:20" ht="20.25" customHeight="1">
      <c r="A131" s="1299" t="str">
        <f>MEXtabs!A15</f>
        <v>NXG250</v>
      </c>
      <c r="B131" s="1300"/>
      <c r="C131" s="1301">
        <f>MEXtabs!B15</f>
        <v>250</v>
      </c>
      <c r="D131" s="1301"/>
      <c r="E131" s="1302">
        <f>MEXtabs!C15</f>
        <v>4</v>
      </c>
      <c r="F131" s="1302"/>
      <c r="G131" s="1302">
        <f>MEXtabs!D15</f>
        <v>1.6</v>
      </c>
      <c r="H131" s="1302"/>
      <c r="I131" s="1301"/>
      <c r="J131" s="1301"/>
      <c r="K131" s="1304">
        <f>MEXtabs!F15</f>
        <v>2.5711570771389516</v>
      </c>
      <c r="L131" s="1304"/>
      <c r="M131" s="1305">
        <f>MEXtabs!G15</f>
        <v>120.09699999999999</v>
      </c>
      <c r="N131" s="1305"/>
      <c r="O131" s="1305">
        <f>MEXtabs!H15</f>
        <v>1.7745433399352215</v>
      </c>
      <c r="P131" s="1305"/>
      <c r="Q131" s="1304">
        <f>MEXtabs!I15</f>
        <v>43.515276381229619</v>
      </c>
      <c r="R131" s="1304"/>
      <c r="S131" s="1302">
        <f>MEXtabs!J15</f>
        <v>1.4187902976852591</v>
      </c>
      <c r="T131" s="1302"/>
    </row>
    <row r="132" spans="1:20" ht="20.25" customHeight="1">
      <c r="A132" s="1307" t="str">
        <f>MEXtabs!A16</f>
        <v>NXH280</v>
      </c>
      <c r="B132" s="1308"/>
      <c r="C132" s="1309">
        <f>MEXtabs!B16</f>
        <v>280</v>
      </c>
      <c r="D132" s="1309"/>
      <c r="E132" s="1306">
        <f>MEXtabs!C16</f>
        <v>4</v>
      </c>
      <c r="F132" s="1306"/>
      <c r="G132" s="1306">
        <f>MEXtabs!D16</f>
        <v>3</v>
      </c>
      <c r="H132" s="1306"/>
      <c r="I132" s="1309"/>
      <c r="J132" s="1309"/>
      <c r="K132" s="1311">
        <f>MEXtabs!F16</f>
        <v>3.5006101210159413</v>
      </c>
      <c r="L132" s="1311"/>
      <c r="M132" s="1312">
        <f>MEXtabs!G16</f>
        <v>147.05000000000001</v>
      </c>
      <c r="N132" s="1312"/>
      <c r="O132" s="1312">
        <f>MEXtabs!H16</f>
        <v>1.3743566100374649</v>
      </c>
      <c r="P132" s="1312"/>
      <c r="Q132" s="1311">
        <f>MEXtabs!I16</f>
        <v>43.332123291107912</v>
      </c>
      <c r="R132" s="1311"/>
      <c r="S132" s="1306">
        <f>MEXtabs!J16</f>
        <v>1.439378720129868</v>
      </c>
      <c r="T132" s="1306"/>
    </row>
    <row r="133" spans="1:20" ht="20.25" customHeight="1">
      <c r="A133" s="1313" t="str">
        <f>MEXtabs!A17</f>
        <v>NXH300</v>
      </c>
      <c r="B133" s="1314"/>
      <c r="C133" s="1301">
        <f>MEXtabs!B17</f>
        <v>300</v>
      </c>
      <c r="D133" s="1301"/>
      <c r="E133" s="1302">
        <f>MEXtabs!C17</f>
        <v>4</v>
      </c>
      <c r="F133" s="1302"/>
      <c r="G133" s="1302">
        <f>MEXtabs!D17</f>
        <v>3</v>
      </c>
      <c r="H133" s="1302"/>
      <c r="I133" s="1301"/>
      <c r="J133" s="1301"/>
      <c r="K133" s="1304">
        <f>MEXtabs!F17</f>
        <v>3.7047905897248823</v>
      </c>
      <c r="L133" s="1304"/>
      <c r="M133" s="1305">
        <f>MEXtabs!G17</f>
        <v>153.21</v>
      </c>
      <c r="N133" s="1305"/>
      <c r="O133" s="1305">
        <f>MEXtabs!H17</f>
        <v>1.6807536584989653</v>
      </c>
      <c r="P133" s="1305"/>
      <c r="Q133" s="1304">
        <f>MEXtabs!I17</f>
        <v>43.270125968459105</v>
      </c>
      <c r="R133" s="1304"/>
      <c r="S133" s="1302">
        <f>MEXtabs!J17</f>
        <v>1.5497596476199065</v>
      </c>
      <c r="T133" s="1302"/>
    </row>
    <row r="134" spans="1:20" ht="15">
      <c r="A134" s="1093" t="str">
        <f>MEXtabs!A18</f>
        <v>NXH300*</v>
      </c>
      <c r="B134" s="1095"/>
      <c r="C134" s="1092">
        <f>MEXtabs!B18</f>
        <v>300</v>
      </c>
      <c r="D134" s="1092"/>
      <c r="E134" s="1090">
        <f>MEXtabs!C18</f>
        <v>4</v>
      </c>
      <c r="F134" s="1090"/>
      <c r="G134" s="1090">
        <f>MEXtabs!D18</f>
        <v>3</v>
      </c>
      <c r="H134" s="1090"/>
      <c r="I134" s="1092"/>
      <c r="J134" s="1092"/>
      <c r="K134" s="1180">
        <f>MEXtabs!F18</f>
        <v>3.7047905897248823</v>
      </c>
      <c r="L134" s="1180"/>
      <c r="M134" s="1149">
        <f>MEXtabs!G18</f>
        <v>153.21</v>
      </c>
      <c r="N134" s="1149"/>
      <c r="O134" s="1149">
        <f>MEXtabs!H18</f>
        <v>1.6807536584989653</v>
      </c>
      <c r="P134" s="1149"/>
      <c r="Q134" s="1180">
        <f>MEXtabs!I18</f>
        <v>43.273786206386291</v>
      </c>
      <c r="R134" s="1180"/>
      <c r="S134" s="1090">
        <f>MEXtabs!J18</f>
        <v>1.4132794594747651</v>
      </c>
      <c r="T134" s="1090"/>
    </row>
    <row r="135" spans="1:20" ht="15">
      <c r="A135" s="91" t="s">
        <v>389</v>
      </c>
      <c r="B135" s="91"/>
      <c r="C135" s="91"/>
      <c r="D135" s="91"/>
      <c r="E135" s="91"/>
      <c r="F135" s="91"/>
      <c r="G135" s="91"/>
      <c r="H135" s="91"/>
      <c r="I135" s="91"/>
      <c r="J135" s="91"/>
      <c r="K135" s="91"/>
      <c r="L135" s="91"/>
      <c r="M135" s="91"/>
      <c r="N135" s="91"/>
      <c r="O135" s="91"/>
      <c r="P135" s="91"/>
      <c r="Q135" s="91"/>
      <c r="R135" s="97"/>
    </row>
    <row r="136" spans="1:20" ht="15">
      <c r="A136" s="91" t="s">
        <v>390</v>
      </c>
      <c r="B136" s="91"/>
      <c r="C136" s="91"/>
      <c r="D136" s="91"/>
      <c r="E136" s="91"/>
      <c r="F136" s="91"/>
      <c r="G136" s="91"/>
      <c r="H136" s="91"/>
      <c r="I136" s="91"/>
      <c r="J136" s="91"/>
      <c r="K136" s="91"/>
      <c r="L136" s="91"/>
      <c r="M136" s="91"/>
      <c r="N136" s="91"/>
      <c r="O136" s="91"/>
      <c r="P136" s="91"/>
      <c r="Q136" s="91"/>
      <c r="R136" s="97"/>
    </row>
    <row r="137" spans="1:20" ht="15">
      <c r="A137" s="91" t="s">
        <v>1257</v>
      </c>
      <c r="B137" s="91"/>
      <c r="C137" s="91"/>
      <c r="D137" s="91"/>
      <c r="E137" s="91"/>
      <c r="F137" s="91"/>
      <c r="G137" s="91"/>
      <c r="H137" s="91"/>
      <c r="I137" s="91"/>
      <c r="J137" s="91"/>
      <c r="K137" s="91"/>
      <c r="L137" s="91"/>
      <c r="M137" s="91"/>
      <c r="N137" s="91"/>
      <c r="O137" s="91"/>
      <c r="P137" s="91"/>
      <c r="Q137" s="91"/>
      <c r="R137" s="97"/>
    </row>
    <row r="138" spans="1:20" ht="15">
      <c r="A138" s="91"/>
      <c r="B138" s="91"/>
      <c r="C138" s="91"/>
      <c r="D138" s="91"/>
      <c r="E138" s="91"/>
      <c r="F138" s="91"/>
      <c r="G138" s="91"/>
      <c r="H138" s="91"/>
      <c r="I138" s="91"/>
      <c r="J138" s="91"/>
      <c r="K138" s="91"/>
      <c r="L138" s="91"/>
      <c r="M138" s="91"/>
      <c r="N138" s="91"/>
      <c r="O138" s="91"/>
      <c r="P138" s="91"/>
      <c r="Q138" s="91"/>
      <c r="R138" s="97"/>
    </row>
    <row r="139" spans="1:20" ht="16.5" customHeight="1">
      <c r="A139" s="91"/>
      <c r="B139" s="91"/>
      <c r="C139" s="91"/>
      <c r="D139" s="91"/>
      <c r="E139" s="91"/>
      <c r="F139" s="91"/>
      <c r="G139" s="91"/>
      <c r="H139" s="91"/>
      <c r="I139" s="91"/>
      <c r="J139" s="91"/>
      <c r="K139" s="91"/>
      <c r="L139" s="93" t="str">
        <f>"Calibrated by "&amp;Client!B51</f>
        <v>Calibrated by Duncan Butler</v>
      </c>
      <c r="M139" s="93"/>
      <c r="N139" s="93"/>
      <c r="O139" s="93"/>
      <c r="P139" s="93"/>
      <c r="Q139" s="93"/>
      <c r="R139" s="117"/>
      <c r="S139" s="48"/>
    </row>
    <row r="140" spans="1:20" ht="15.75" thickBot="1">
      <c r="A140" s="91"/>
      <c r="B140" s="91"/>
      <c r="C140" s="91"/>
      <c r="D140" s="91"/>
      <c r="E140" s="91"/>
      <c r="F140" s="91"/>
      <c r="G140" s="91"/>
      <c r="H140" s="91"/>
      <c r="I140" s="91"/>
      <c r="J140" s="91"/>
      <c r="K140" s="91"/>
      <c r="L140" s="91"/>
      <c r="M140" s="91"/>
      <c r="N140" s="91"/>
      <c r="O140" s="91"/>
      <c r="P140" s="91"/>
      <c r="Q140" s="91"/>
      <c r="R140" s="97"/>
    </row>
    <row r="141" spans="1:20" ht="13.5" customHeight="1">
      <c r="A141" s="416" t="str">
        <f>"Calibration No.: "&amp;$T$13</f>
        <v>Calibration No.: CAL11957/03</v>
      </c>
      <c r="B141" s="417"/>
      <c r="C141" s="417"/>
      <c r="D141" s="417"/>
      <c r="E141" s="417"/>
      <c r="F141" s="417"/>
      <c r="G141" s="417"/>
      <c r="H141" s="417"/>
      <c r="I141" s="418" t="str">
        <f>$G$33</f>
        <v>7 July 2021</v>
      </c>
      <c r="J141" s="417"/>
      <c r="K141" s="417"/>
      <c r="L141" s="417"/>
      <c r="M141" s="417"/>
      <c r="N141" s="416" t="s">
        <v>360</v>
      </c>
      <c r="O141" s="419"/>
      <c r="P141" s="944"/>
      <c r="Q141" s="419"/>
      <c r="R141" s="419"/>
      <c r="S141" s="419"/>
      <c r="T141" s="419" t="s">
        <v>585</v>
      </c>
    </row>
    <row r="142" spans="1:20" ht="80.25" customHeight="1">
      <c r="A142" s="91"/>
      <c r="B142" s="91"/>
      <c r="C142" s="91"/>
      <c r="D142" s="91"/>
      <c r="E142" s="91"/>
      <c r="F142" s="91"/>
      <c r="G142" s="91"/>
      <c r="H142" s="91"/>
      <c r="I142" s="91"/>
      <c r="J142" s="161" t="s">
        <v>1275</v>
      </c>
      <c r="K142" s="91"/>
      <c r="L142" s="91"/>
      <c r="M142" s="91"/>
      <c r="N142" s="91"/>
      <c r="O142" s="91"/>
      <c r="P142" s="91"/>
      <c r="Q142" s="91"/>
      <c r="R142" s="97"/>
    </row>
    <row r="143" spans="1:20" ht="59.25" customHeight="1">
      <c r="A143" s="1315" t="s">
        <v>278</v>
      </c>
      <c r="B143" s="1315"/>
      <c r="C143" s="1316" t="s">
        <v>279</v>
      </c>
      <c r="D143" s="1316"/>
      <c r="E143" s="1316" t="s">
        <v>1251</v>
      </c>
      <c r="F143" s="1316"/>
      <c r="G143" s="1316" t="s">
        <v>1251</v>
      </c>
      <c r="H143" s="1316"/>
      <c r="I143" s="1316" t="s">
        <v>1253</v>
      </c>
      <c r="J143" s="1316"/>
      <c r="K143" s="1315" t="s">
        <v>1253</v>
      </c>
      <c r="L143" s="1315"/>
      <c r="M143" s="1315" t="s">
        <v>1254</v>
      </c>
      <c r="N143" s="1315"/>
      <c r="O143" s="1317" t="s">
        <v>1255</v>
      </c>
      <c r="P143" s="1318"/>
      <c r="Q143" s="1319" t="s">
        <v>1258</v>
      </c>
      <c r="R143" s="1315"/>
      <c r="S143" s="1316" t="s">
        <v>1259</v>
      </c>
      <c r="T143" s="1316"/>
    </row>
    <row r="144" spans="1:20" ht="14.25" customHeight="1">
      <c r="A144" s="1250"/>
      <c r="B144" s="1250"/>
      <c r="C144" s="1097" t="s">
        <v>1249</v>
      </c>
      <c r="D144" s="1099"/>
      <c r="E144" s="1097" t="s">
        <v>639</v>
      </c>
      <c r="F144" s="1099"/>
      <c r="G144" s="1097" t="s">
        <v>640</v>
      </c>
      <c r="H144" s="1099"/>
      <c r="I144" s="1097" t="s">
        <v>639</v>
      </c>
      <c r="J144" s="1099"/>
      <c r="K144" s="1103" t="s">
        <v>640</v>
      </c>
      <c r="L144" s="1105"/>
      <c r="M144" s="1103" t="s">
        <v>1250</v>
      </c>
      <c r="N144" s="1105"/>
      <c r="O144" s="1103" t="s">
        <v>63</v>
      </c>
      <c r="P144" s="1105"/>
      <c r="Q144" s="1103" t="s">
        <v>7</v>
      </c>
      <c r="R144" s="1105"/>
      <c r="S144" s="1097" t="s">
        <v>140</v>
      </c>
      <c r="T144" s="1099"/>
    </row>
    <row r="145" spans="1:20" ht="14.25" customHeight="1">
      <c r="A145" s="1264" t="str">
        <f>MEXtabs!L8</f>
        <v>NXJ40</v>
      </c>
      <c r="B145" s="1264"/>
      <c r="C145" s="1264">
        <f>MEXtabs!M8</f>
        <v>40</v>
      </c>
      <c r="D145" s="1264"/>
      <c r="E145" s="1265">
        <f>MEXtabs!N8</f>
        <v>0.5</v>
      </c>
      <c r="F145" s="1265"/>
      <c r="G145" s="1265"/>
      <c r="H145" s="1265"/>
      <c r="I145" s="1266">
        <f>MEXtabs!P8</f>
        <v>0.57492783060838692</v>
      </c>
      <c r="J145" s="1266"/>
      <c r="K145" s="1267"/>
      <c r="L145" s="1267"/>
      <c r="M145" s="1282">
        <f>MEXtabs!R8</f>
        <v>17.956</v>
      </c>
      <c r="N145" s="1282"/>
      <c r="O145" s="1283">
        <f>MEXtabs!S8</f>
        <v>1.8019770692792743</v>
      </c>
      <c r="P145" s="1283"/>
      <c r="Q145" s="1267">
        <f>MEXtabs!T8</f>
        <v>47.693535864374525</v>
      </c>
      <c r="R145" s="1267"/>
      <c r="S145" s="1265">
        <f>MEXtabs!U8</f>
        <v>1.6982013766127411</v>
      </c>
      <c r="T145" s="1265"/>
    </row>
    <row r="146" spans="1:20" ht="14.25" customHeight="1">
      <c r="A146" s="1272" t="str">
        <f>MEXtabs!L9</f>
        <v>NXK40</v>
      </c>
      <c r="B146" s="1272"/>
      <c r="C146" s="1272">
        <f>MEXtabs!M9</f>
        <v>40</v>
      </c>
      <c r="D146" s="1272"/>
      <c r="E146" s="1271">
        <f>MEXtabs!N9</f>
        <v>1</v>
      </c>
      <c r="F146" s="1271"/>
      <c r="G146" s="1271"/>
      <c r="H146" s="1271"/>
      <c r="I146" s="1273">
        <f>MEXtabs!P9</f>
        <v>0.9258920135550176</v>
      </c>
      <c r="J146" s="1273"/>
      <c r="K146" s="1270"/>
      <c r="L146" s="1270"/>
      <c r="M146" s="1280">
        <f>MEXtabs!R9</f>
        <v>20.93</v>
      </c>
      <c r="N146" s="1280"/>
      <c r="O146" s="1281">
        <f>MEXtabs!S9</f>
        <v>1.0507108322148071</v>
      </c>
      <c r="P146" s="1281"/>
      <c r="Q146" s="1270">
        <f>MEXtabs!T9</f>
        <v>46.203313821965558</v>
      </c>
      <c r="R146" s="1270"/>
      <c r="S146" s="1271">
        <f>MEXtabs!U9</f>
        <v>1.4949049878600507</v>
      </c>
      <c r="T146" s="1271"/>
    </row>
    <row r="147" spans="1:20" ht="14.25" customHeight="1">
      <c r="A147" s="1275" t="str">
        <f>MEXtabs!L10</f>
        <v>NXA40</v>
      </c>
      <c r="B147" s="1275"/>
      <c r="C147" s="1275">
        <f>MEXtabs!M10</f>
        <v>40</v>
      </c>
      <c r="D147" s="1275"/>
      <c r="E147" s="1276">
        <f>MEXtabs!N10</f>
        <v>4</v>
      </c>
      <c r="F147" s="1276"/>
      <c r="G147" s="1276"/>
      <c r="H147" s="1276"/>
      <c r="I147" s="1277">
        <f>MEXtabs!P10</f>
        <v>1.8978864505991633</v>
      </c>
      <c r="J147" s="1277"/>
      <c r="K147" s="1278">
        <f>MEXtabs!Q10</f>
        <v>6.272293453927999E-2</v>
      </c>
      <c r="L147" s="1278"/>
      <c r="M147" s="1279">
        <f>MEXtabs!R10</f>
        <v>27.068000000000001</v>
      </c>
      <c r="N147" s="1279"/>
      <c r="O147" s="1286">
        <f>MEXtabs!S10</f>
        <v>0.16880655413586165</v>
      </c>
      <c r="P147" s="1286"/>
      <c r="Q147" s="1278">
        <f>MEXtabs!T10</f>
        <v>44.99892515741616</v>
      </c>
      <c r="R147" s="1278"/>
      <c r="S147" s="1276">
        <f>MEXtabs!U10</f>
        <v>1.4417139643547501</v>
      </c>
      <c r="T147" s="1276"/>
    </row>
    <row r="148" spans="1:20" ht="14.25" customHeight="1">
      <c r="A148" s="1274" t="str">
        <f>MEXtabs!L11</f>
        <v>NXJ50</v>
      </c>
      <c r="B148" s="1274"/>
      <c r="C148" s="1274">
        <f>MEXtabs!M11</f>
        <v>50</v>
      </c>
      <c r="D148" s="1274"/>
      <c r="E148" s="1253">
        <f>MEXtabs!N11</f>
        <v>0.5</v>
      </c>
      <c r="F148" s="1253"/>
      <c r="G148" s="1253"/>
      <c r="H148" s="1253"/>
      <c r="I148" s="1290">
        <f>MEXtabs!P11</f>
        <v>0.68410318438743511</v>
      </c>
      <c r="J148" s="1290"/>
      <c r="K148" s="1289"/>
      <c r="L148" s="1289"/>
      <c r="M148" s="1268">
        <f>MEXtabs!R11</f>
        <v>19.5</v>
      </c>
      <c r="N148" s="1268"/>
      <c r="O148" s="1269">
        <f>MEXtabs!S11</f>
        <v>2.737821518171756</v>
      </c>
      <c r="P148" s="1269"/>
      <c r="Q148" s="1289">
        <f>MEXtabs!T11</f>
        <v>47.316194322138813</v>
      </c>
      <c r="R148" s="1289"/>
      <c r="S148" s="1253">
        <f>MEXtabs!U11</f>
        <v>1.530998724042586</v>
      </c>
      <c r="T148" s="1253"/>
    </row>
    <row r="149" spans="1:20" ht="14.25" customHeight="1">
      <c r="A149" s="1254" t="str">
        <f>MEXtabs!L12</f>
        <v>NXK50</v>
      </c>
      <c r="B149" s="1254"/>
      <c r="C149" s="1254">
        <f>MEXtabs!M12</f>
        <v>50</v>
      </c>
      <c r="D149" s="1254"/>
      <c r="E149" s="1255">
        <f>MEXtabs!N12</f>
        <v>1</v>
      </c>
      <c r="F149" s="1255"/>
      <c r="G149" s="1255"/>
      <c r="H149" s="1255"/>
      <c r="I149" s="1256">
        <f>MEXtabs!P12</f>
        <v>1.1174180366661788</v>
      </c>
      <c r="J149" s="1256"/>
      <c r="K149" s="1257"/>
      <c r="L149" s="1257"/>
      <c r="M149" s="1258">
        <f>MEXtabs!R12</f>
        <v>22.646000000000001</v>
      </c>
      <c r="N149" s="1258"/>
      <c r="O149" s="1259">
        <f>MEXtabs!S12</f>
        <v>1.5824054702653265</v>
      </c>
      <c r="P149" s="1259"/>
      <c r="Q149" s="1257">
        <f>MEXtabs!T12</f>
        <v>45.914809793111083</v>
      </c>
      <c r="R149" s="1257"/>
      <c r="S149" s="1255">
        <f>MEXtabs!U12</f>
        <v>1.5247315580035847</v>
      </c>
      <c r="T149" s="1255"/>
    </row>
    <row r="150" spans="1:20" ht="14.25" customHeight="1">
      <c r="A150" s="1272" t="str">
        <f>MEXtabs!L13</f>
        <v>NXA50</v>
      </c>
      <c r="B150" s="1272"/>
      <c r="C150" s="1272">
        <f>MEXtabs!M13</f>
        <v>50</v>
      </c>
      <c r="D150" s="1272"/>
      <c r="E150" s="1271">
        <f>MEXtabs!N13</f>
        <v>4</v>
      </c>
      <c r="F150" s="1271"/>
      <c r="G150" s="1271"/>
      <c r="H150" s="1271"/>
      <c r="I150" s="1273">
        <f>MEXtabs!P13</f>
        <v>2.3884184190002435</v>
      </c>
      <c r="J150" s="1273"/>
      <c r="K150" s="1270">
        <f>MEXtabs!Q13</f>
        <v>7.9990307372596242E-2</v>
      </c>
      <c r="L150" s="1270"/>
      <c r="M150" s="1280">
        <f>MEXtabs!R13</f>
        <v>29.934000000000001</v>
      </c>
      <c r="N150" s="1280"/>
      <c r="O150" s="1281">
        <f>MEXtabs!S13</f>
        <v>0.36494547749932849</v>
      </c>
      <c r="P150" s="1281"/>
      <c r="Q150" s="1270">
        <f>MEXtabs!T13</f>
        <v>45.021741124033042</v>
      </c>
      <c r="R150" s="1270"/>
      <c r="S150" s="1271">
        <f>MEXtabs!U13</f>
        <v>1.4264646955572411</v>
      </c>
      <c r="T150" s="1271"/>
    </row>
    <row r="151" spans="1:20" ht="14.25" customHeight="1">
      <c r="A151" s="1275" t="str">
        <f>MEXtabs!L14</f>
        <v>NXB50</v>
      </c>
      <c r="B151" s="1275"/>
      <c r="C151" s="1275">
        <f>MEXtabs!M14</f>
        <v>50</v>
      </c>
      <c r="D151" s="1275"/>
      <c r="E151" s="1276">
        <f>MEXtabs!N14</f>
        <v>4.5</v>
      </c>
      <c r="F151" s="1276"/>
      <c r="G151" s="1276"/>
      <c r="H151" s="1276"/>
      <c r="I151" s="1277">
        <f>MEXtabs!P14</f>
        <v>2.5292585864499295</v>
      </c>
      <c r="J151" s="1277"/>
      <c r="K151" s="1278">
        <f>MEXtabs!Q14</f>
        <v>8.4996170866672577E-2</v>
      </c>
      <c r="L151" s="1278"/>
      <c r="M151" s="1279">
        <f>MEXtabs!R14</f>
        <v>30.623000000000001</v>
      </c>
      <c r="N151" s="1279"/>
      <c r="O151" s="1286">
        <f>MEXtabs!S14</f>
        <v>0.31069524293476081</v>
      </c>
      <c r="P151" s="1286"/>
      <c r="Q151" s="1278">
        <f>MEXtabs!T14</f>
        <v>44.909193923534019</v>
      </c>
      <c r="R151" s="1278"/>
      <c r="S151" s="1276">
        <f>MEXtabs!U14</f>
        <v>1.5165485274712465</v>
      </c>
      <c r="T151" s="1276"/>
    </row>
    <row r="152" spans="1:20" ht="14.25" customHeight="1">
      <c r="A152" s="1274" t="str">
        <f>MEXtabs!L15</f>
        <v>NXJ60</v>
      </c>
      <c r="B152" s="1274"/>
      <c r="C152" s="1274">
        <f>MEXtabs!M15</f>
        <v>60</v>
      </c>
      <c r="D152" s="1274"/>
      <c r="E152" s="1253">
        <f>MEXtabs!N15</f>
        <v>0.5</v>
      </c>
      <c r="F152" s="1253"/>
      <c r="G152" s="1253"/>
      <c r="H152" s="1253"/>
      <c r="I152" s="1290">
        <f>MEXtabs!P15</f>
        <v>0.78881379165109278</v>
      </c>
      <c r="J152" s="1290"/>
      <c r="K152" s="1289"/>
      <c r="L152" s="1289"/>
      <c r="M152" s="1268">
        <f>MEXtabs!R15</f>
        <v>20.856999999999999</v>
      </c>
      <c r="N152" s="1268"/>
      <c r="O152" s="1269">
        <f>MEXtabs!S15</f>
        <v>3.4684158768750319</v>
      </c>
      <c r="P152" s="1269"/>
      <c r="Q152" s="1289">
        <f>MEXtabs!T15</f>
        <v>46.813271686133454</v>
      </c>
      <c r="R152" s="1289"/>
      <c r="S152" s="1253">
        <f>MEXtabs!U15</f>
        <v>1.6244123449245849</v>
      </c>
      <c r="T152" s="1253"/>
    </row>
    <row r="153" spans="1:20" ht="14.25" customHeight="1">
      <c r="A153" s="1254" t="str">
        <f>MEXtabs!L16</f>
        <v>NXK60</v>
      </c>
      <c r="B153" s="1254"/>
      <c r="C153" s="1254">
        <f>MEXtabs!M16</f>
        <v>60</v>
      </c>
      <c r="D153" s="1254"/>
      <c r="E153" s="1255">
        <f>MEXtabs!N16</f>
        <v>1</v>
      </c>
      <c r="F153" s="1255"/>
      <c r="G153" s="1255"/>
      <c r="H153" s="1255"/>
      <c r="I153" s="1256">
        <f>MEXtabs!P16</f>
        <v>1.2886011015031504</v>
      </c>
      <c r="J153" s="1256"/>
      <c r="K153" s="1257"/>
      <c r="L153" s="1257"/>
      <c r="M153" s="1258">
        <f>MEXtabs!R16</f>
        <v>24.094999999999999</v>
      </c>
      <c r="N153" s="1258"/>
      <c r="O153" s="1259">
        <f>MEXtabs!S16</f>
        <v>2.114331045347686</v>
      </c>
      <c r="P153" s="1259"/>
      <c r="Q153" s="1257">
        <f>MEXtabs!T16</f>
        <v>45.792090469114378</v>
      </c>
      <c r="R153" s="1257"/>
      <c r="S153" s="1255">
        <f>MEXtabs!U16</f>
        <v>1.5168225421997155</v>
      </c>
      <c r="T153" s="1255"/>
    </row>
    <row r="154" spans="1:20" ht="14.25" customHeight="1">
      <c r="A154" s="1260" t="str">
        <f>MEXtabs!L17</f>
        <v>NXA60</v>
      </c>
      <c r="B154" s="1260"/>
      <c r="C154" s="1260">
        <f>MEXtabs!M17</f>
        <v>60</v>
      </c>
      <c r="D154" s="1260"/>
      <c r="E154" s="1261">
        <f>MEXtabs!N17</f>
        <v>4</v>
      </c>
      <c r="F154" s="1261"/>
      <c r="G154" s="1261"/>
      <c r="H154" s="1261"/>
      <c r="I154" s="1262">
        <f>MEXtabs!P17</f>
        <v>2.8058625894538358</v>
      </c>
      <c r="J154" s="1262"/>
      <c r="K154" s="1263">
        <f>MEXtabs!Q17</f>
        <v>9.5799660048102947E-2</v>
      </c>
      <c r="L154" s="1263"/>
      <c r="M154" s="1284">
        <f>MEXtabs!R17</f>
        <v>32.250999999999998</v>
      </c>
      <c r="N154" s="1284"/>
      <c r="O154" s="1285">
        <f>MEXtabs!S17</f>
        <v>0.57718311185013538</v>
      </c>
      <c r="P154" s="1285"/>
      <c r="Q154" s="1263">
        <f>MEXtabs!T17</f>
        <v>45.047957186376919</v>
      </c>
      <c r="R154" s="1263"/>
      <c r="S154" s="1261">
        <f>MEXtabs!U17</f>
        <v>1.4146540518536439</v>
      </c>
      <c r="T154" s="1261"/>
    </row>
    <row r="155" spans="1:20" ht="14.25" customHeight="1">
      <c r="A155" s="1264" t="str">
        <f>MEXtabs!L18</f>
        <v>NXJ70</v>
      </c>
      <c r="B155" s="1264"/>
      <c r="C155" s="1264">
        <f>MEXtabs!M18</f>
        <v>70</v>
      </c>
      <c r="D155" s="1264"/>
      <c r="E155" s="1265">
        <f>MEXtabs!N18</f>
        <v>0.5</v>
      </c>
      <c r="F155" s="1265"/>
      <c r="G155" s="1265"/>
      <c r="H155" s="1265"/>
      <c r="I155" s="1266">
        <f>MEXtabs!P18</f>
        <v>0.89521104032277998</v>
      </c>
      <c r="J155" s="1266"/>
      <c r="K155" s="1267"/>
      <c r="L155" s="1267"/>
      <c r="M155" s="1282">
        <f>MEXtabs!R18</f>
        <v>22.146999999999998</v>
      </c>
      <c r="N155" s="1282"/>
      <c r="O155" s="1283">
        <f>MEXtabs!S18</f>
        <v>4.1450178898030403</v>
      </c>
      <c r="P155" s="1283"/>
      <c r="Q155" s="1267">
        <f>MEXtabs!T18</f>
        <v>46.58433497953672</v>
      </c>
      <c r="R155" s="1267"/>
      <c r="S155" s="1265">
        <f>MEXtabs!U18</f>
        <v>1.4850535776462437</v>
      </c>
      <c r="T155" s="1265"/>
    </row>
    <row r="156" spans="1:20" ht="14.25" customHeight="1">
      <c r="A156" s="1272" t="str">
        <f>MEXtabs!L19</f>
        <v>NXK70</v>
      </c>
      <c r="B156" s="1272"/>
      <c r="C156" s="1272">
        <f>MEXtabs!M19</f>
        <v>70</v>
      </c>
      <c r="D156" s="1272"/>
      <c r="E156" s="1271">
        <f>MEXtabs!N19</f>
        <v>1</v>
      </c>
      <c r="F156" s="1271"/>
      <c r="G156" s="1271"/>
      <c r="H156" s="1271"/>
      <c r="I156" s="1273">
        <f>MEXtabs!P19</f>
        <v>1.4584444510077763</v>
      </c>
      <c r="J156" s="1273"/>
      <c r="K156" s="1270"/>
      <c r="L156" s="1270"/>
      <c r="M156" s="1280">
        <f>MEXtabs!R19</f>
        <v>25.442</v>
      </c>
      <c r="N156" s="1280"/>
      <c r="O156" s="1281">
        <f>MEXtabs!S19</f>
        <v>2.6337193158119625</v>
      </c>
      <c r="P156" s="1281"/>
      <c r="Q156" s="1270">
        <f>MEXtabs!T19</f>
        <v>45.625916563366793</v>
      </c>
      <c r="R156" s="1270"/>
      <c r="S156" s="1271">
        <f>MEXtabs!U19</f>
        <v>1.4340013881845419</v>
      </c>
      <c r="T156" s="1271"/>
    </row>
    <row r="157" spans="1:20" ht="14.25" customHeight="1">
      <c r="A157" s="1254" t="str">
        <f>MEXtabs!L20</f>
        <v>NXA70</v>
      </c>
      <c r="B157" s="1254"/>
      <c r="C157" s="1254">
        <f>MEXtabs!M20</f>
        <v>70</v>
      </c>
      <c r="D157" s="1254"/>
      <c r="E157" s="1255">
        <f>MEXtabs!N20</f>
        <v>4</v>
      </c>
      <c r="F157" s="1255"/>
      <c r="G157" s="1255"/>
      <c r="H157" s="1255"/>
      <c r="I157" s="1256">
        <f>MEXtabs!P20</f>
        <v>3.1929733252964523</v>
      </c>
      <c r="J157" s="1256"/>
      <c r="K157" s="1257">
        <f>MEXtabs!Q20</f>
        <v>0.11135967269909675</v>
      </c>
      <c r="L157" s="1257"/>
      <c r="M157" s="1258">
        <f>MEXtabs!R20</f>
        <v>34.274999999999999</v>
      </c>
      <c r="N157" s="1258"/>
      <c r="O157" s="1259">
        <f>MEXtabs!S20</f>
        <v>0.81063727072613534</v>
      </c>
      <c r="P157" s="1259"/>
      <c r="Q157" s="1257">
        <f>MEXtabs!T20</f>
        <v>44.974926824133554</v>
      </c>
      <c r="R157" s="1257"/>
      <c r="S157" s="1255">
        <f>MEXtabs!U20</f>
        <v>1.4232694638915471</v>
      </c>
      <c r="T157" s="1255"/>
    </row>
    <row r="158" spans="1:20" ht="14.25" customHeight="1">
      <c r="A158" s="1272" t="str">
        <f>MEXtabs!L21</f>
        <v>NXB70</v>
      </c>
      <c r="B158" s="1272"/>
      <c r="C158" s="1272">
        <f>MEXtabs!M21</f>
        <v>70</v>
      </c>
      <c r="D158" s="1272"/>
      <c r="E158" s="1271">
        <f>MEXtabs!N21</f>
        <v>4.5</v>
      </c>
      <c r="F158" s="1271"/>
      <c r="G158" s="1271"/>
      <c r="H158" s="1271"/>
      <c r="I158" s="1273">
        <f>MEXtabs!P21</f>
        <v>3.3915742452383575</v>
      </c>
      <c r="J158" s="1273"/>
      <c r="K158" s="1270">
        <f>MEXtabs!Q21</f>
        <v>0.11942976937282476</v>
      </c>
      <c r="L158" s="1270"/>
      <c r="M158" s="1280">
        <f>MEXtabs!R21</f>
        <v>35.19</v>
      </c>
      <c r="N158" s="1280"/>
      <c r="O158" s="1281">
        <f>MEXtabs!S21</f>
        <v>0.71410395997552412</v>
      </c>
      <c r="P158" s="1281"/>
      <c r="Q158" s="1270">
        <f>MEXtabs!T21</f>
        <v>44.93060349187283</v>
      </c>
      <c r="R158" s="1270"/>
      <c r="S158" s="1271">
        <f>MEXtabs!U21</f>
        <v>1.4151641603155192</v>
      </c>
      <c r="T158" s="1271"/>
    </row>
    <row r="159" spans="1:20" ht="14.25" customHeight="1">
      <c r="A159" s="1254" t="str">
        <f>MEXtabs!L22</f>
        <v>NXC70</v>
      </c>
      <c r="B159" s="1254"/>
      <c r="C159" s="1254">
        <f>MEXtabs!M22</f>
        <v>70</v>
      </c>
      <c r="D159" s="1254"/>
      <c r="E159" s="1255">
        <f>MEXtabs!N22</f>
        <v>6</v>
      </c>
      <c r="F159" s="1255"/>
      <c r="G159" s="1255"/>
      <c r="H159" s="1255"/>
      <c r="I159" s="1256">
        <f>MEXtabs!P22</f>
        <v>3.9520687461764625</v>
      </c>
      <c r="J159" s="1256"/>
      <c r="K159" s="1257">
        <f>MEXtabs!Q22</f>
        <v>0.14140515813491988</v>
      </c>
      <c r="L159" s="1257"/>
      <c r="M159" s="1258">
        <f>MEXtabs!R22</f>
        <v>37.509</v>
      </c>
      <c r="N159" s="1258"/>
      <c r="O159" s="1259">
        <f>MEXtabs!S22</f>
        <v>0.51116160491747753</v>
      </c>
      <c r="P159" s="1259"/>
      <c r="Q159" s="1257">
        <f>MEXtabs!T22</f>
        <v>44.834642207686024</v>
      </c>
      <c r="R159" s="1257"/>
      <c r="S159" s="1255">
        <f>MEXtabs!U22</f>
        <v>1.5185628092241839</v>
      </c>
      <c r="T159" s="1255"/>
    </row>
    <row r="160" spans="1:20" ht="14.25" customHeight="1">
      <c r="A160" s="1274" t="str">
        <f>MEXtabs!L23</f>
        <v>NXJ80</v>
      </c>
      <c r="B160" s="1274"/>
      <c r="C160" s="1274">
        <f>MEXtabs!M23</f>
        <v>80</v>
      </c>
      <c r="D160" s="1274"/>
      <c r="E160" s="1253">
        <f>MEXtabs!N23</f>
        <v>0.5</v>
      </c>
      <c r="F160" s="1253"/>
      <c r="G160" s="1253"/>
      <c r="H160" s="1253"/>
      <c r="I160" s="1290">
        <f>MEXtabs!P23</f>
        <v>1.0168942180395382</v>
      </c>
      <c r="J160" s="1290"/>
      <c r="K160" s="1289"/>
      <c r="L160" s="1289"/>
      <c r="M160" s="1268">
        <f>MEXtabs!R23</f>
        <v>23.48</v>
      </c>
      <c r="N160" s="1268"/>
      <c r="O160" s="1269">
        <f>MEXtabs!S23</f>
        <v>4.8068940348088303</v>
      </c>
      <c r="P160" s="1269"/>
      <c r="Q160" s="1289">
        <f>MEXtabs!T23</f>
        <v>46.356066401222279</v>
      </c>
      <c r="R160" s="1289"/>
      <c r="S160" s="1253">
        <f>MEXtabs!U23</f>
        <v>1.4984696517596319</v>
      </c>
      <c r="T160" s="1253"/>
    </row>
    <row r="161" spans="1:20" ht="14.25" customHeight="1">
      <c r="A161" s="1254" t="str">
        <f>MEXtabs!L24</f>
        <v>NXK80</v>
      </c>
      <c r="B161" s="1254"/>
      <c r="C161" s="1254">
        <f>MEXtabs!M24</f>
        <v>80</v>
      </c>
      <c r="D161" s="1254"/>
      <c r="E161" s="1255">
        <f>MEXtabs!N24</f>
        <v>1</v>
      </c>
      <c r="F161" s="1255"/>
      <c r="G161" s="1255"/>
      <c r="H161" s="1255"/>
      <c r="I161" s="1256">
        <f>MEXtabs!P24</f>
        <v>1.6431678445072386</v>
      </c>
      <c r="J161" s="1256"/>
      <c r="K161" s="1257"/>
      <c r="L161" s="1257"/>
      <c r="M161" s="1258">
        <f>MEXtabs!R24</f>
        <v>26.841999999999999</v>
      </c>
      <c r="N161" s="1258"/>
      <c r="O161" s="1259">
        <f>MEXtabs!S24</f>
        <v>3.1672754372213583</v>
      </c>
      <c r="P161" s="1259"/>
      <c r="Q161" s="1257">
        <f>MEXtabs!T24</f>
        <v>45.516912000756918</v>
      </c>
      <c r="R161" s="1257"/>
      <c r="S161" s="1255">
        <f>MEXtabs!U24</f>
        <v>1.4453192007367925</v>
      </c>
      <c r="T161" s="1255"/>
    </row>
    <row r="162" spans="1:20" ht="14.25" customHeight="1">
      <c r="A162" s="1260" t="str">
        <f>MEXtabs!L25</f>
        <v>NXA80</v>
      </c>
      <c r="B162" s="1260"/>
      <c r="C162" s="1260">
        <f>MEXtabs!M25</f>
        <v>80</v>
      </c>
      <c r="D162" s="1260"/>
      <c r="E162" s="1261">
        <f>MEXtabs!N25</f>
        <v>4</v>
      </c>
      <c r="F162" s="1261"/>
      <c r="G162" s="1261"/>
      <c r="H162" s="1261"/>
      <c r="I162" s="1262">
        <f>MEXtabs!P25</f>
        <v>3.6197123995759788</v>
      </c>
      <c r="J162" s="1262"/>
      <c r="K162" s="1263">
        <f>MEXtabs!Q25</f>
        <v>0.12923885884326811</v>
      </c>
      <c r="L162" s="1263"/>
      <c r="M162" s="1284">
        <f>MEXtabs!R25</f>
        <v>36.328000000000003</v>
      </c>
      <c r="N162" s="1284"/>
      <c r="O162" s="1285">
        <f>MEXtabs!S25</f>
        <v>1.0802880729181519</v>
      </c>
      <c r="P162" s="1285"/>
      <c r="Q162" s="1263">
        <f>MEXtabs!T25</f>
        <v>44.884206076157788</v>
      </c>
      <c r="R162" s="1263"/>
      <c r="S162" s="1261">
        <f>MEXtabs!U25</f>
        <v>1.406671099710582</v>
      </c>
      <c r="T162" s="1261"/>
    </row>
    <row r="163" spans="1:20" ht="14.25" customHeight="1">
      <c r="A163" s="1264" t="str">
        <f>MEXtabs!L26</f>
        <v>NXJ90</v>
      </c>
      <c r="B163" s="1264"/>
      <c r="C163" s="1264">
        <f>MEXtabs!M26</f>
        <v>90</v>
      </c>
      <c r="D163" s="1264"/>
      <c r="E163" s="1265">
        <f>MEXtabs!N26</f>
        <v>0.5</v>
      </c>
      <c r="F163" s="1265"/>
      <c r="G163" s="1265"/>
      <c r="H163" s="1265"/>
      <c r="I163" s="1266">
        <f>MEXtabs!P26</f>
        <v>1.1524525686905205</v>
      </c>
      <c r="J163" s="1266"/>
      <c r="K163" s="1267"/>
      <c r="L163" s="1267"/>
      <c r="M163" s="1282">
        <f>MEXtabs!R26</f>
        <v>24.878</v>
      </c>
      <c r="N163" s="1282"/>
      <c r="O163" s="1283">
        <f>MEXtabs!S26</f>
        <v>5.4523121200535467</v>
      </c>
      <c r="P163" s="1283"/>
      <c r="Q163" s="1267">
        <f>MEXtabs!T26</f>
        <v>46.158010183854593</v>
      </c>
      <c r="R163" s="1267"/>
      <c r="S163" s="1265">
        <f>MEXtabs!U26</f>
        <v>1.4694746491855002</v>
      </c>
      <c r="T163" s="1265"/>
    </row>
    <row r="164" spans="1:20" ht="14.25" customHeight="1">
      <c r="A164" s="1272" t="str">
        <f>MEXtabs!L27</f>
        <v>NXK90</v>
      </c>
      <c r="B164" s="1272"/>
      <c r="C164" s="1272">
        <f>MEXtabs!M27</f>
        <v>90</v>
      </c>
      <c r="D164" s="1272"/>
      <c r="E164" s="1271">
        <f>MEXtabs!N27</f>
        <v>1</v>
      </c>
      <c r="F164" s="1271"/>
      <c r="G164" s="1271"/>
      <c r="H164" s="1271"/>
      <c r="I164" s="1273">
        <f>MEXtabs!P27</f>
        <v>1.8393319677543469</v>
      </c>
      <c r="J164" s="1273"/>
      <c r="K164" s="1270"/>
      <c r="L164" s="1270"/>
      <c r="M164" s="1280">
        <f>MEXtabs!R27</f>
        <v>28.32</v>
      </c>
      <c r="N164" s="1280"/>
      <c r="O164" s="1281">
        <f>MEXtabs!S27</f>
        <v>3.7092619856216902</v>
      </c>
      <c r="P164" s="1281"/>
      <c r="Q164" s="1270">
        <f>MEXtabs!T27</f>
        <v>45.379279329759093</v>
      </c>
      <c r="R164" s="1270"/>
      <c r="S164" s="1271">
        <f>MEXtabs!U27</f>
        <v>1.4333938022152437</v>
      </c>
      <c r="T164" s="1271"/>
    </row>
    <row r="165" spans="1:20" ht="14.25" customHeight="1">
      <c r="A165" s="1254" t="str">
        <f>MEXtabs!L28</f>
        <v>NXA90</v>
      </c>
      <c r="B165" s="1254"/>
      <c r="C165" s="1254">
        <f>MEXtabs!M28</f>
        <v>90</v>
      </c>
      <c r="D165" s="1254"/>
      <c r="E165" s="1255">
        <f>MEXtabs!N28</f>
        <v>4</v>
      </c>
      <c r="F165" s="1255"/>
      <c r="G165" s="1255"/>
      <c r="H165" s="1255"/>
      <c r="I165" s="1256">
        <f>MEXtabs!P28</f>
        <v>4.0393687541302778</v>
      </c>
      <c r="J165" s="1256"/>
      <c r="K165" s="1257">
        <f>MEXtabs!Q28</f>
        <v>0.14848211806760514</v>
      </c>
      <c r="L165" s="1257"/>
      <c r="M165" s="1258">
        <f>MEXtabs!R28</f>
        <v>38.384999999999998</v>
      </c>
      <c r="N165" s="1258"/>
      <c r="O165" s="1259">
        <f>MEXtabs!S28</f>
        <v>1.3821064635114191</v>
      </c>
      <c r="P165" s="1259"/>
      <c r="Q165" s="1257">
        <f>MEXtabs!T28</f>
        <v>44.84083069639663</v>
      </c>
      <c r="R165" s="1257"/>
      <c r="S165" s="1255">
        <f>MEXtabs!U28</f>
        <v>1.413034349894986</v>
      </c>
      <c r="T165" s="1255"/>
    </row>
    <row r="166" spans="1:20" ht="14.25" customHeight="1">
      <c r="A166" s="1274" t="str">
        <f>MEXtabs!L29</f>
        <v>NXJ100</v>
      </c>
      <c r="B166" s="1274"/>
      <c r="C166" s="1274">
        <f>MEXtabs!M29</f>
        <v>100</v>
      </c>
      <c r="D166" s="1274"/>
      <c r="E166" s="1253">
        <f>MEXtabs!N29</f>
        <v>0.5</v>
      </c>
      <c r="F166" s="1253"/>
      <c r="G166" s="1253"/>
      <c r="H166" s="1253"/>
      <c r="I166" s="1290">
        <f>MEXtabs!P29</f>
        <v>1.3031305701207649</v>
      </c>
      <c r="J166" s="1290"/>
      <c r="K166" s="1289"/>
      <c r="L166" s="1289"/>
      <c r="M166" s="1268">
        <f>MEXtabs!R29</f>
        <v>26.34</v>
      </c>
      <c r="N166" s="1268"/>
      <c r="O166" s="1269">
        <f>MEXtabs!S29</f>
        <v>6.083126630200046</v>
      </c>
      <c r="P166" s="1269"/>
      <c r="Q166" s="1289">
        <f>MEXtabs!T29</f>
        <v>45.974847556635403</v>
      </c>
      <c r="R166" s="1289"/>
      <c r="S166" s="1253">
        <f>MEXtabs!U29</f>
        <v>1.4418748489186048</v>
      </c>
      <c r="T166" s="1253"/>
    </row>
    <row r="167" spans="1:20" ht="14.25" customHeight="1">
      <c r="A167" s="1254" t="str">
        <f>MEXtabs!L30</f>
        <v>NXK100</v>
      </c>
      <c r="B167" s="1254"/>
      <c r="C167" s="1254">
        <f>MEXtabs!M30</f>
        <v>100</v>
      </c>
      <c r="D167" s="1254"/>
      <c r="E167" s="1255">
        <f>MEXtabs!N30</f>
        <v>1</v>
      </c>
      <c r="F167" s="1255"/>
      <c r="G167" s="1255"/>
      <c r="H167" s="1255"/>
      <c r="I167" s="1256">
        <f>MEXtabs!P30</f>
        <v>2.0480553989194346</v>
      </c>
      <c r="J167" s="1256"/>
      <c r="K167" s="1257"/>
      <c r="L167" s="1257"/>
      <c r="M167" s="1258">
        <f>MEXtabs!R30</f>
        <v>29.867000000000001</v>
      </c>
      <c r="N167" s="1258"/>
      <c r="O167" s="1259">
        <f>MEXtabs!S30</f>
        <v>4.2580945084621344</v>
      </c>
      <c r="P167" s="1259"/>
      <c r="Q167" s="1257">
        <f>MEXtabs!T30</f>
        <v>45.340349958431013</v>
      </c>
      <c r="R167" s="1257"/>
      <c r="S167" s="1255">
        <f>MEXtabs!U30</f>
        <v>1.4291647405101793</v>
      </c>
      <c r="T167" s="1255"/>
    </row>
    <row r="168" spans="1:20" ht="14.25" customHeight="1">
      <c r="A168" s="1272" t="str">
        <f>MEXtabs!L31</f>
        <v>NXB100</v>
      </c>
      <c r="B168" s="1272"/>
      <c r="C168" s="1272">
        <f>MEXtabs!M31</f>
        <v>100</v>
      </c>
      <c r="D168" s="1272"/>
      <c r="E168" s="1271">
        <f>MEXtabs!N31</f>
        <v>4.5</v>
      </c>
      <c r="F168" s="1271"/>
      <c r="G168" s="1271"/>
      <c r="H168" s="1271"/>
      <c r="I168" s="1273">
        <f>MEXtabs!P31</f>
        <v>4.7352150332082985</v>
      </c>
      <c r="J168" s="1273"/>
      <c r="K168" s="1270">
        <f>MEXtabs!Q31</f>
        <v>0.18268575344478749</v>
      </c>
      <c r="L168" s="1270"/>
      <c r="M168" s="1280">
        <f>MEXtabs!R31</f>
        <v>41.587000000000003</v>
      </c>
      <c r="N168" s="1280"/>
      <c r="O168" s="1281">
        <f>MEXtabs!S31</f>
        <v>1.5509425824921932</v>
      </c>
      <c r="P168" s="1281"/>
      <c r="Q168" s="1270">
        <f>MEXtabs!T31</f>
        <v>44.778484986701471</v>
      </c>
      <c r="R168" s="1270"/>
      <c r="S168" s="1271">
        <f>MEXtabs!U31</f>
        <v>1.404760785574442</v>
      </c>
      <c r="T168" s="1271"/>
    </row>
    <row r="169" spans="1:20" ht="14.25" customHeight="1">
      <c r="A169" s="1254" t="str">
        <f>MEXtabs!L32</f>
        <v>NXC100</v>
      </c>
      <c r="B169" s="1254"/>
      <c r="C169" s="1254">
        <f>MEXtabs!M32</f>
        <v>100</v>
      </c>
      <c r="D169" s="1254"/>
      <c r="E169" s="1255">
        <f>MEXtabs!N32</f>
        <v>6</v>
      </c>
      <c r="F169" s="1255"/>
      <c r="G169" s="1255"/>
      <c r="H169" s="1255"/>
      <c r="I169" s="1256">
        <f>MEXtabs!P32</f>
        <v>5.4850226957751094</v>
      </c>
      <c r="J169" s="1256"/>
      <c r="K169" s="1257">
        <f>MEXtabs!Q32</f>
        <v>0.221397651099389</v>
      </c>
      <c r="L169" s="1257"/>
      <c r="M169" s="1258">
        <f>MEXtabs!R32</f>
        <v>44.582999999999998</v>
      </c>
      <c r="N169" s="1258"/>
      <c r="O169" s="1259">
        <f>MEXtabs!S32</f>
        <v>1.2007260922271803</v>
      </c>
      <c r="P169" s="1259"/>
      <c r="Q169" s="1257">
        <f>MEXtabs!T32</f>
        <v>44.731165114354809</v>
      </c>
      <c r="R169" s="1257"/>
      <c r="S169" s="1255">
        <f>MEXtabs!U32</f>
        <v>1.4428108098693582</v>
      </c>
      <c r="T169" s="1255"/>
    </row>
    <row r="170" spans="1:20" ht="14.25" customHeight="1">
      <c r="A170" s="1260" t="str">
        <f>MEXtabs!L33</f>
        <v>NXD100</v>
      </c>
      <c r="B170" s="1260"/>
      <c r="C170" s="1260">
        <f>MEXtabs!M33</f>
        <v>100</v>
      </c>
      <c r="D170" s="1260"/>
      <c r="E170" s="1261">
        <f>MEXtabs!N33</f>
        <v>9</v>
      </c>
      <c r="F170" s="1261"/>
      <c r="G170" s="1261"/>
      <c r="H170" s="1261"/>
      <c r="I170" s="1262">
        <f>MEXtabs!P33</f>
        <v>6.6136409012352111</v>
      </c>
      <c r="J170" s="1262"/>
      <c r="K170" s="1263">
        <f>MEXtabs!Q33</f>
        <v>0.29051611469154731</v>
      </c>
      <c r="L170" s="1263"/>
      <c r="M170" s="1284">
        <f>MEXtabs!R33</f>
        <v>49.084000000000003</v>
      </c>
      <c r="N170" s="1284"/>
      <c r="O170" s="1285">
        <f>MEXtabs!S33</f>
        <v>0.79542543444726566</v>
      </c>
      <c r="P170" s="1285"/>
      <c r="Q170" s="1263">
        <f>MEXtabs!T33</f>
        <v>44.632603356945602</v>
      </c>
      <c r="R170" s="1263"/>
      <c r="S170" s="1261">
        <f>MEXtabs!U33</f>
        <v>1.440471903905608</v>
      </c>
      <c r="T170" s="1261"/>
    </row>
    <row r="171" spans="1:20" ht="14.25" customHeight="1">
      <c r="A171" s="1254" t="str">
        <f>MEXtabs!L34</f>
        <v>NXB120</v>
      </c>
      <c r="B171" s="1254"/>
      <c r="C171" s="1254">
        <f>MEXtabs!M34</f>
        <v>120</v>
      </c>
      <c r="D171" s="1254"/>
      <c r="E171" s="1255">
        <f>MEXtabs!N34</f>
        <v>4.5</v>
      </c>
      <c r="F171" s="1255"/>
      <c r="G171" s="1255"/>
      <c r="H171" s="1255"/>
      <c r="I171" s="1256">
        <f>MEXtabs!P34</f>
        <v>5.5559969759148071</v>
      </c>
      <c r="J171" s="1256"/>
      <c r="K171" s="1257">
        <f>MEXtabs!Q34</f>
        <v>0.22971681375447262</v>
      </c>
      <c r="L171" s="1257"/>
      <c r="M171" s="1258">
        <f>MEXtabs!R34</f>
        <v>45.744</v>
      </c>
      <c r="N171" s="1258"/>
      <c r="O171" s="1259">
        <f>MEXtabs!S34</f>
        <v>2.2310891902919789</v>
      </c>
      <c r="P171" s="1259"/>
      <c r="Q171" s="1257">
        <f>MEXtabs!T34</f>
        <v>44.639950752706113</v>
      </c>
      <c r="R171" s="1257"/>
      <c r="S171" s="1255">
        <f>MEXtabs!U34</f>
        <v>1.4138701514200549</v>
      </c>
      <c r="T171" s="1255"/>
    </row>
    <row r="172" spans="1:20" ht="14.25" customHeight="1">
      <c r="A172" s="1272" t="str">
        <f>MEXtabs!L35</f>
        <v>NXC120</v>
      </c>
      <c r="B172" s="1272"/>
      <c r="C172" s="1272">
        <f>MEXtabs!M35</f>
        <v>120</v>
      </c>
      <c r="D172" s="1272"/>
      <c r="E172" s="1271">
        <f>MEXtabs!N35</f>
        <v>6</v>
      </c>
      <c r="F172" s="1271"/>
      <c r="G172" s="1271"/>
      <c r="H172" s="1271"/>
      <c r="I172" s="1273">
        <f>MEXtabs!P35</f>
        <v>6.3769778478391608</v>
      </c>
      <c r="J172" s="1273"/>
      <c r="K172" s="1270">
        <f>MEXtabs!Q35</f>
        <v>0.28062311390349393</v>
      </c>
      <c r="L172" s="1270"/>
      <c r="M172" s="1280">
        <f>MEXtabs!R35</f>
        <v>48.945</v>
      </c>
      <c r="N172" s="1280"/>
      <c r="O172" s="1281">
        <f>MEXtabs!S35</f>
        <v>1.784368405695494</v>
      </c>
      <c r="P172" s="1281"/>
      <c r="Q172" s="1270">
        <f>MEXtabs!T35</f>
        <v>44.596340368679414</v>
      </c>
      <c r="R172" s="1270"/>
      <c r="S172" s="1271">
        <f>MEXtabs!U35</f>
        <v>1.4063595223273275</v>
      </c>
      <c r="T172" s="1271"/>
    </row>
    <row r="173" spans="1:20" ht="14.25" customHeight="1">
      <c r="A173" s="1254" t="str">
        <f>MEXtabs!L36</f>
        <v>NXD120</v>
      </c>
      <c r="B173" s="1254"/>
      <c r="C173" s="1254">
        <f>MEXtabs!M36</f>
        <v>120</v>
      </c>
      <c r="D173" s="1254"/>
      <c r="E173" s="1255">
        <f>MEXtabs!N36</f>
        <v>9</v>
      </c>
      <c r="F173" s="1255"/>
      <c r="G173" s="1255"/>
      <c r="H173" s="1255"/>
      <c r="I173" s="1256">
        <f>MEXtabs!P36</f>
        <v>7.588179482309295</v>
      </c>
      <c r="J173" s="1256"/>
      <c r="K173" s="1257">
        <f>MEXtabs!Q36</f>
        <v>0.36809931938124019</v>
      </c>
      <c r="L173" s="1257"/>
      <c r="M173" s="1258">
        <f>MEXtabs!R36</f>
        <v>53.752000000000002</v>
      </c>
      <c r="N173" s="1258"/>
      <c r="O173" s="1259">
        <f>MEXtabs!S36</f>
        <v>1.242768517947378</v>
      </c>
      <c r="P173" s="1259"/>
      <c r="Q173" s="1257">
        <f>MEXtabs!T36</f>
        <v>44.507133371596417</v>
      </c>
      <c r="R173" s="1257"/>
      <c r="S173" s="1255">
        <f>MEXtabs!U36</f>
        <v>1.4108031833771075</v>
      </c>
      <c r="T173" s="1255"/>
    </row>
    <row r="174" spans="1:20" ht="14.25" customHeight="1">
      <c r="A174" s="1260" t="str">
        <f>MEXtabs!L37</f>
        <v>NXE120</v>
      </c>
      <c r="B174" s="1260"/>
      <c r="C174" s="1260">
        <f>MEXtabs!M37</f>
        <v>120</v>
      </c>
      <c r="D174" s="1260"/>
      <c r="E174" s="1261">
        <f>MEXtabs!N37</f>
        <v>4</v>
      </c>
      <c r="F174" s="1261"/>
      <c r="G174" s="1261">
        <f>MEXtabs!O37</f>
        <v>0.5</v>
      </c>
      <c r="H174" s="1261"/>
      <c r="I174" s="1262">
        <f>MEXtabs!P37</f>
        <v>10.310491894063471</v>
      </c>
      <c r="J174" s="1262"/>
      <c r="K174" s="1263">
        <f>MEXtabs!Q37</f>
        <v>0.6348381723836316</v>
      </c>
      <c r="L174" s="1263"/>
      <c r="M174" s="1284">
        <f>MEXtabs!R37</f>
        <v>65</v>
      </c>
      <c r="N174" s="1284"/>
      <c r="O174" s="1285">
        <f>MEXtabs!S37</f>
        <v>0.74278765238565925</v>
      </c>
      <c r="P174" s="1285"/>
      <c r="Q174" s="1263">
        <f>MEXtabs!T37</f>
        <v>44.240487322441858</v>
      </c>
      <c r="R174" s="1263"/>
      <c r="S174" s="1261">
        <f>MEXtabs!U37</f>
        <v>1.4415392478297151</v>
      </c>
      <c r="T174" s="1261"/>
    </row>
    <row r="175" spans="1:20" ht="14.25" customHeight="1">
      <c r="A175" s="1264" t="str">
        <f>MEXtabs!L38</f>
        <v>NXB140</v>
      </c>
      <c r="B175" s="1264"/>
      <c r="C175" s="1264">
        <f>MEXtabs!M38</f>
        <v>140</v>
      </c>
      <c r="D175" s="1264"/>
      <c r="E175" s="1265">
        <f>MEXtabs!N38</f>
        <v>4.5</v>
      </c>
      <c r="F175" s="1265"/>
      <c r="G175" s="1265"/>
      <c r="H175" s="1265"/>
      <c r="I175" s="1266">
        <f>MEXtabs!P38</f>
        <v>6.3330445132980557</v>
      </c>
      <c r="J175" s="1266"/>
      <c r="K175" s="1267">
        <f>MEXtabs!Q38</f>
        <v>0.28214314856452327</v>
      </c>
      <c r="L175" s="1267"/>
      <c r="M175" s="1282">
        <f>MEXtabs!R38</f>
        <v>49.868000000000002</v>
      </c>
      <c r="N175" s="1282"/>
      <c r="O175" s="1283">
        <f>MEXtabs!S38</f>
        <v>2.9915534007871925</v>
      </c>
      <c r="P175" s="1283"/>
      <c r="Q175" s="1267">
        <f>MEXtabs!T38</f>
        <v>44.472387610906146</v>
      </c>
      <c r="R175" s="1267"/>
      <c r="S175" s="1265">
        <f>MEXtabs!U38</f>
        <v>1.4510491860374204</v>
      </c>
      <c r="T175" s="1265"/>
    </row>
    <row r="176" spans="1:20" ht="14.25" customHeight="1">
      <c r="A176" s="1272" t="str">
        <f>MEXtabs!L39</f>
        <v>NXC140</v>
      </c>
      <c r="B176" s="1272"/>
      <c r="C176" s="1272">
        <f>MEXtabs!M39</f>
        <v>140</v>
      </c>
      <c r="D176" s="1272"/>
      <c r="E176" s="1271">
        <f>MEXtabs!N39</f>
        <v>6</v>
      </c>
      <c r="F176" s="1271"/>
      <c r="G176" s="1271"/>
      <c r="H176" s="1271"/>
      <c r="I176" s="1273">
        <f>MEXtabs!P39</f>
        <v>7.1952322413084104</v>
      </c>
      <c r="J176" s="1273"/>
      <c r="K176" s="1270">
        <f>MEXtabs!Q39</f>
        <v>0.34467534185441145</v>
      </c>
      <c r="L176" s="1270"/>
      <c r="M176" s="1280">
        <f>MEXtabs!R39</f>
        <v>53.139000000000003</v>
      </c>
      <c r="N176" s="1280"/>
      <c r="O176" s="1281">
        <f>MEXtabs!S39</f>
        <v>2.4516651230650832</v>
      </c>
      <c r="P176" s="1281"/>
      <c r="Q176" s="1270">
        <f>MEXtabs!T39</f>
        <v>44.43867098352041</v>
      </c>
      <c r="R176" s="1270"/>
      <c r="S176" s="1271">
        <f>MEXtabs!U39</f>
        <v>1.4085337398028015</v>
      </c>
      <c r="T176" s="1271"/>
    </row>
    <row r="177" spans="1:20" ht="14.25" customHeight="1">
      <c r="A177" s="1254" t="str">
        <f>MEXtabs!L40</f>
        <v>NXD140</v>
      </c>
      <c r="B177" s="1254"/>
      <c r="C177" s="1254">
        <f>MEXtabs!M40</f>
        <v>140</v>
      </c>
      <c r="D177" s="1254"/>
      <c r="E177" s="1255">
        <f>MEXtabs!N40</f>
        <v>9</v>
      </c>
      <c r="F177" s="1255"/>
      <c r="G177" s="1255"/>
      <c r="H177" s="1255"/>
      <c r="I177" s="1256">
        <f>MEXtabs!P40</f>
        <v>8.4359614589862257</v>
      </c>
      <c r="J177" s="1256"/>
      <c r="K177" s="1257">
        <f>MEXtabs!Q40</f>
        <v>0.45081671702125536</v>
      </c>
      <c r="L177" s="1257"/>
      <c r="M177" s="1258">
        <f>MEXtabs!R40</f>
        <v>58.063000000000002</v>
      </c>
      <c r="N177" s="1258"/>
      <c r="O177" s="1259">
        <f>MEXtabs!S40</f>
        <v>1.7690624666352799</v>
      </c>
      <c r="P177" s="1259"/>
      <c r="Q177" s="1257">
        <f>MEXtabs!T40</f>
        <v>44.384979291011668</v>
      </c>
      <c r="R177" s="1257"/>
      <c r="S177" s="1255">
        <f>MEXtabs!U40</f>
        <v>1.4143993050722117</v>
      </c>
      <c r="T177" s="1255"/>
    </row>
    <row r="178" spans="1:20" ht="14.25" customHeight="1">
      <c r="A178" s="1272" t="str">
        <f>MEXtabs!L41</f>
        <v>NXE140</v>
      </c>
      <c r="B178" s="1272"/>
      <c r="C178" s="1272">
        <f>MEXtabs!M41</f>
        <v>140</v>
      </c>
      <c r="D178" s="1272"/>
      <c r="E178" s="1271">
        <f>MEXtabs!N41</f>
        <v>4</v>
      </c>
      <c r="F178" s="1271"/>
      <c r="G178" s="1271">
        <f>MEXtabs!O41</f>
        <v>0.5</v>
      </c>
      <c r="H178" s="1271"/>
      <c r="I178" s="1273"/>
      <c r="J178" s="1273"/>
      <c r="K178" s="1270">
        <f>MEXtabs!Q41</f>
        <v>0.76915213495507195</v>
      </c>
      <c r="L178" s="1270"/>
      <c r="M178" s="1280">
        <f>MEXtabs!R41</f>
        <v>69.849999999999994</v>
      </c>
      <c r="N178" s="1280"/>
      <c r="O178" s="1281">
        <f>MEXtabs!S41</f>
        <v>1.1633580611670098</v>
      </c>
      <c r="P178" s="1281"/>
      <c r="Q178" s="1270">
        <f>MEXtabs!T41</f>
        <v>44.18764444505527</v>
      </c>
      <c r="R178" s="1270"/>
      <c r="S178" s="1271">
        <f>MEXtabs!U41</f>
        <v>1.4486375449833988</v>
      </c>
      <c r="T178" s="1271"/>
    </row>
    <row r="179" spans="1:20" ht="14.25" customHeight="1">
      <c r="A179" s="1275" t="str">
        <f>MEXtabs!L42</f>
        <v>NXF140</v>
      </c>
      <c r="B179" s="1275"/>
      <c r="C179" s="1275">
        <f>MEXtabs!M42</f>
        <v>140</v>
      </c>
      <c r="D179" s="1275"/>
      <c r="E179" s="1276">
        <f>MEXtabs!N42</f>
        <v>4</v>
      </c>
      <c r="F179" s="1276"/>
      <c r="G179" s="1276">
        <f>MEXtabs!O42</f>
        <v>1</v>
      </c>
      <c r="H179" s="1276"/>
      <c r="I179" s="1277"/>
      <c r="J179" s="1277"/>
      <c r="K179" s="1278">
        <f>MEXtabs!Q42</f>
        <v>1.0269176732121137</v>
      </c>
      <c r="L179" s="1278"/>
      <c r="M179" s="1279">
        <f>MEXtabs!R42</f>
        <v>78.519000000000005</v>
      </c>
      <c r="N179" s="1279"/>
      <c r="O179" s="1286">
        <f>MEXtabs!S42</f>
        <v>0.60325691482499955</v>
      </c>
      <c r="P179" s="1286"/>
      <c r="Q179" s="1278">
        <f>MEXtabs!T42</f>
        <v>43.911575134422748</v>
      </c>
      <c r="R179" s="1278"/>
      <c r="S179" s="1276">
        <f>MEXtabs!U42</f>
        <v>1.4214091071941664</v>
      </c>
      <c r="T179" s="1276"/>
    </row>
    <row r="180" spans="1:20" ht="14.25" customHeight="1">
      <c r="A180" s="1274" t="str">
        <f>MEXtabs!L43</f>
        <v>NXC150</v>
      </c>
      <c r="B180" s="1274"/>
      <c r="C180" s="1274">
        <f>MEXtabs!M43</f>
        <v>150</v>
      </c>
      <c r="D180" s="1274"/>
      <c r="E180" s="1253">
        <f>MEXtabs!N43</f>
        <v>6</v>
      </c>
      <c r="F180" s="1253"/>
      <c r="G180" s="1253"/>
      <c r="H180" s="1253"/>
      <c r="I180" s="1290">
        <f>MEXtabs!P43</f>
        <v>7.58221629670666</v>
      </c>
      <c r="J180" s="1290"/>
      <c r="K180" s="1289">
        <f>MEXtabs!Q43</f>
        <v>0.37860748947727846</v>
      </c>
      <c r="L180" s="1289"/>
      <c r="M180" s="1268">
        <f>MEXtabs!R43</f>
        <v>55.186999999999998</v>
      </c>
      <c r="N180" s="1268"/>
      <c r="O180" s="1269">
        <f>MEXtabs!S43</f>
        <v>2.8173420032097671</v>
      </c>
      <c r="P180" s="1269"/>
      <c r="Q180" s="1289">
        <f>MEXtabs!T43</f>
        <v>44.399662164670268</v>
      </c>
      <c r="R180" s="1289"/>
      <c r="S180" s="1253">
        <f>MEXtabs!U43</f>
        <v>1.4042512100373497</v>
      </c>
      <c r="T180" s="1253"/>
    </row>
    <row r="181" spans="1:20" ht="14.25" customHeight="1">
      <c r="A181" s="1254" t="str">
        <f>MEXtabs!L44</f>
        <v>NXD150</v>
      </c>
      <c r="B181" s="1254"/>
      <c r="C181" s="1254">
        <f>MEXtabs!M44</f>
        <v>150</v>
      </c>
      <c r="D181" s="1254"/>
      <c r="E181" s="1255">
        <f>MEXtabs!N44</f>
        <v>9</v>
      </c>
      <c r="F181" s="1255"/>
      <c r="G181" s="1255"/>
      <c r="H181" s="1255"/>
      <c r="I181" s="1256">
        <f>MEXtabs!P44</f>
        <v>8.831676949720114</v>
      </c>
      <c r="J181" s="1256"/>
      <c r="K181" s="1257">
        <f>MEXtabs!Q44</f>
        <v>0.49291798086961647</v>
      </c>
      <c r="L181" s="1257"/>
      <c r="M181" s="1258">
        <f>MEXtabs!R44</f>
        <v>60.128</v>
      </c>
      <c r="N181" s="1258"/>
      <c r="O181" s="1259">
        <f>MEXtabs!S44</f>
        <v>2.063165282998574</v>
      </c>
      <c r="P181" s="1259"/>
      <c r="Q181" s="1257">
        <f>MEXtabs!T44</f>
        <v>44.335713004340583</v>
      </c>
      <c r="R181" s="1257"/>
      <c r="S181" s="1255">
        <f>MEXtabs!U44</f>
        <v>1.4184206249141764</v>
      </c>
      <c r="T181" s="1255"/>
    </row>
    <row r="182" spans="1:20" ht="14.25" customHeight="1">
      <c r="A182" s="1272" t="str">
        <f>MEXtabs!L45</f>
        <v>NXE150</v>
      </c>
      <c r="B182" s="1272"/>
      <c r="C182" s="1272">
        <f>MEXtabs!M45</f>
        <v>150</v>
      </c>
      <c r="D182" s="1272"/>
      <c r="E182" s="1271">
        <f>MEXtabs!N45</f>
        <v>4</v>
      </c>
      <c r="F182" s="1271"/>
      <c r="G182" s="1271">
        <f>MEXtabs!O45</f>
        <v>0.5</v>
      </c>
      <c r="H182" s="1271"/>
      <c r="I182" s="1273"/>
      <c r="J182" s="1273"/>
      <c r="K182" s="1270">
        <f>MEXtabs!Q45</f>
        <v>0.83812332024006297</v>
      </c>
      <c r="L182" s="1270"/>
      <c r="M182" s="1280">
        <f>MEXtabs!R45</f>
        <v>72.150000000000006</v>
      </c>
      <c r="N182" s="1280"/>
      <c r="O182" s="1281">
        <f>MEXtabs!S45</f>
        <v>1.4090771030362672</v>
      </c>
      <c r="P182" s="1281"/>
      <c r="Q182" s="1270">
        <f>MEXtabs!T45</f>
        <v>44.039866906401102</v>
      </c>
      <c r="R182" s="1270"/>
      <c r="S182" s="1271">
        <f>MEXtabs!U45</f>
        <v>1.4254696449329258</v>
      </c>
      <c r="T182" s="1271"/>
    </row>
    <row r="183" spans="1:20" ht="13.5">
      <c r="A183" s="1254" t="str">
        <f>MEXtabs!L46</f>
        <v>NXF150</v>
      </c>
      <c r="B183" s="1254"/>
      <c r="C183" s="1254">
        <f>MEXtabs!M46</f>
        <v>150</v>
      </c>
      <c r="D183" s="1254"/>
      <c r="E183" s="1255">
        <f>MEXtabs!N46</f>
        <v>4</v>
      </c>
      <c r="F183" s="1255"/>
      <c r="G183" s="1255">
        <f>MEXtabs!O46</f>
        <v>1</v>
      </c>
      <c r="H183" s="1255"/>
      <c r="I183" s="1256"/>
      <c r="J183" s="1256"/>
      <c r="K183" s="1257">
        <f>MEXtabs!Q46</f>
        <v>1.1251186734176981</v>
      </c>
      <c r="L183" s="1257"/>
      <c r="M183" s="1258">
        <f>MEXtabs!R46</f>
        <v>81.358000000000004</v>
      </c>
      <c r="N183" s="1258"/>
      <c r="O183" s="1259">
        <f>MEXtabs!S46</f>
        <v>0.89686145284094199</v>
      </c>
      <c r="P183" s="1259"/>
      <c r="Q183" s="1257">
        <f>MEXtabs!T46</f>
        <v>43.934594021953615</v>
      </c>
      <c r="R183" s="1257"/>
      <c r="S183" s="1255">
        <f>MEXtabs!U46</f>
        <v>1.5489138190520089</v>
      </c>
      <c r="T183" s="1255"/>
    </row>
    <row r="184" spans="1:20" ht="16.5" customHeight="1">
      <c r="A184" s="1260" t="str">
        <f>MEXtabs!L47</f>
        <v>NXG150</v>
      </c>
      <c r="B184" s="1260"/>
      <c r="C184" s="1260">
        <f>MEXtabs!M47</f>
        <v>150</v>
      </c>
      <c r="D184" s="1260"/>
      <c r="E184" s="1261">
        <f>MEXtabs!N47</f>
        <v>4</v>
      </c>
      <c r="F184" s="1261"/>
      <c r="G184" s="1261">
        <f>MEXtabs!O47</f>
        <v>1.6</v>
      </c>
      <c r="H184" s="1261"/>
      <c r="I184" s="1262"/>
      <c r="J184" s="1262"/>
      <c r="K184" s="1263">
        <f>MEXtabs!Q47</f>
        <v>1.3834337181000833</v>
      </c>
      <c r="L184" s="1263"/>
      <c r="M184" s="1284">
        <f>MEXtabs!R47</f>
        <v>89.066000000000003</v>
      </c>
      <c r="N184" s="1284"/>
      <c r="O184" s="1285">
        <f>MEXtabs!S47</f>
        <v>0.44814236665108781</v>
      </c>
      <c r="P184" s="1285"/>
      <c r="Q184" s="1263">
        <f>MEXtabs!T47</f>
        <v>43.691969444983592</v>
      </c>
      <c r="R184" s="1263"/>
      <c r="S184" s="1261">
        <f>MEXtabs!U47</f>
        <v>1.4059584620549621</v>
      </c>
      <c r="T184" s="1261"/>
    </row>
    <row r="186" spans="1:20" ht="13.5" customHeight="1"/>
    <row r="187" spans="1:20" ht="29.25" customHeight="1">
      <c r="P187" s="124" t="s">
        <v>391</v>
      </c>
    </row>
    <row r="188" spans="1:20" ht="13.5" thickBot="1"/>
    <row r="189" spans="1:20" ht="14.25" customHeight="1">
      <c r="A189" s="416" t="str">
        <f>"Calibration No.: "&amp;$T$13</f>
        <v>Calibration No.: CAL11957/03</v>
      </c>
      <c r="B189" s="417"/>
      <c r="C189" s="417"/>
      <c r="D189" s="417"/>
      <c r="E189" s="417"/>
      <c r="F189" s="417"/>
      <c r="G189" s="417"/>
      <c r="H189" s="417"/>
      <c r="I189" s="418" t="str">
        <f>$G$33</f>
        <v>7 July 2021</v>
      </c>
      <c r="J189" s="417"/>
      <c r="K189" s="417"/>
      <c r="L189" s="417"/>
      <c r="M189" s="417"/>
      <c r="N189" s="416" t="s">
        <v>360</v>
      </c>
      <c r="O189" s="419"/>
      <c r="P189" s="944"/>
      <c r="Q189" s="419"/>
      <c r="R189" s="419"/>
      <c r="S189" s="419"/>
      <c r="T189" s="419" t="s">
        <v>584</v>
      </c>
    </row>
    <row r="190" spans="1:20" ht="14.25" customHeight="1">
      <c r="A190" s="122"/>
      <c r="B190" s="120"/>
      <c r="C190" s="120"/>
      <c r="D190" s="120"/>
      <c r="E190" s="120"/>
      <c r="F190" s="120"/>
      <c r="G190" s="120"/>
      <c r="H190" s="120"/>
      <c r="I190" s="121"/>
      <c r="J190" s="120"/>
      <c r="K190" s="120"/>
      <c r="L190" s="120"/>
      <c r="M190" s="120"/>
      <c r="N190" s="122"/>
      <c r="O190" s="123"/>
      <c r="P190" s="123"/>
      <c r="Q190" s="123"/>
      <c r="R190" s="123"/>
      <c r="S190" s="123"/>
      <c r="T190" s="123"/>
    </row>
    <row r="191" spans="1:20" ht="60" customHeight="1">
      <c r="A191" s="1288" t="s">
        <v>278</v>
      </c>
      <c r="B191" s="1288"/>
      <c r="C191" s="1287" t="s">
        <v>279</v>
      </c>
      <c r="D191" s="1287"/>
      <c r="E191" s="1287" t="s">
        <v>1251</v>
      </c>
      <c r="F191" s="1287"/>
      <c r="G191" s="1287" t="s">
        <v>1251</v>
      </c>
      <c r="H191" s="1287"/>
      <c r="I191" s="1287" t="s">
        <v>1260</v>
      </c>
      <c r="J191" s="1287"/>
      <c r="K191" s="1288" t="s">
        <v>1260</v>
      </c>
      <c r="L191" s="1288"/>
      <c r="M191" s="1288" t="s">
        <v>1254</v>
      </c>
      <c r="N191" s="1288"/>
      <c r="O191" s="1288" t="s">
        <v>1255</v>
      </c>
      <c r="P191" s="1288"/>
      <c r="Q191" s="1292" t="s">
        <v>1261</v>
      </c>
      <c r="R191" s="1288"/>
      <c r="S191" s="1287" t="s">
        <v>1256</v>
      </c>
      <c r="T191" s="1287"/>
    </row>
    <row r="192" spans="1:20" ht="14.25" customHeight="1">
      <c r="A192" s="1250"/>
      <c r="B192" s="1250"/>
      <c r="C192" s="1097" t="s">
        <v>1249</v>
      </c>
      <c r="D192" s="1099"/>
      <c r="E192" s="1097" t="s">
        <v>639</v>
      </c>
      <c r="F192" s="1099"/>
      <c r="G192" s="1097" t="s">
        <v>640</v>
      </c>
      <c r="H192" s="1099"/>
      <c r="I192" s="1097" t="s">
        <v>639</v>
      </c>
      <c r="J192" s="1099"/>
      <c r="K192" s="1103" t="s">
        <v>640</v>
      </c>
      <c r="L192" s="1105"/>
      <c r="M192" s="1103" t="s">
        <v>1250</v>
      </c>
      <c r="N192" s="1105"/>
      <c r="O192" s="1103" t="s">
        <v>63</v>
      </c>
      <c r="P192" s="1105"/>
      <c r="Q192" s="1103" t="s">
        <v>7</v>
      </c>
      <c r="R192" s="1105"/>
      <c r="S192" s="1097" t="s">
        <v>140</v>
      </c>
      <c r="T192" s="1099"/>
    </row>
    <row r="193" spans="1:20" ht="14.25" customHeight="1">
      <c r="A193" s="1264" t="str">
        <f>MEXtabs!L48</f>
        <v>NXD200</v>
      </c>
      <c r="B193" s="1264"/>
      <c r="C193" s="1264">
        <f>MEXtabs!M48</f>
        <v>200</v>
      </c>
      <c r="D193" s="1264"/>
      <c r="E193" s="1265">
        <f>MEXtabs!N48</f>
        <v>9</v>
      </c>
      <c r="F193" s="1265"/>
      <c r="G193" s="1265"/>
      <c r="H193" s="1265"/>
      <c r="I193" s="1266">
        <f>MEXtabs!P48</f>
        <v>10.533127916478346</v>
      </c>
      <c r="J193" s="1266"/>
      <c r="K193" s="1267">
        <f>MEXtabs!Q48</f>
        <v>0.73230337407773993</v>
      </c>
      <c r="L193" s="1267"/>
      <c r="M193" s="1282">
        <f>MEXtabs!R48</f>
        <v>69.760999999999996</v>
      </c>
      <c r="N193" s="1282"/>
      <c r="O193" s="1283">
        <f>MEXtabs!S48</f>
        <v>2.8572849185807008</v>
      </c>
      <c r="P193" s="1283"/>
      <c r="Q193" s="1267">
        <f>MEXtabs!T48</f>
        <v>44.064629911769998</v>
      </c>
      <c r="R193" s="1267"/>
      <c r="S193" s="1265">
        <f>MEXtabs!U48</f>
        <v>1.4223080532473165</v>
      </c>
      <c r="T193" s="1265"/>
    </row>
    <row r="194" spans="1:20" ht="14.25" customHeight="1">
      <c r="A194" s="1272" t="str">
        <f>MEXtabs!L49</f>
        <v>NXE200</v>
      </c>
      <c r="B194" s="1272"/>
      <c r="C194" s="1272">
        <f>MEXtabs!M49</f>
        <v>200</v>
      </c>
      <c r="D194" s="1272"/>
      <c r="E194" s="1271">
        <f>MEXtabs!N49</f>
        <v>4</v>
      </c>
      <c r="F194" s="1271"/>
      <c r="G194" s="1271">
        <f>MEXtabs!O49</f>
        <v>0.5</v>
      </c>
      <c r="H194" s="1271"/>
      <c r="I194" s="1273"/>
      <c r="J194" s="1273"/>
      <c r="K194" s="1270">
        <f>MEXtabs!Q49</f>
        <v>1.2072306039939562</v>
      </c>
      <c r="L194" s="1270"/>
      <c r="M194" s="1280">
        <f>MEXtabs!R49</f>
        <v>82.81</v>
      </c>
      <c r="N194" s="1280"/>
      <c r="O194" s="1281">
        <f>MEXtabs!S49</f>
        <v>2.2118537872145509</v>
      </c>
      <c r="P194" s="1281"/>
      <c r="Q194" s="1270">
        <f>MEXtabs!T49</f>
        <v>43.783577929116746</v>
      </c>
      <c r="R194" s="1270"/>
      <c r="S194" s="1271">
        <f>MEXtabs!U49</f>
        <v>1.4033661216368654</v>
      </c>
      <c r="T194" s="1271"/>
    </row>
    <row r="195" spans="1:20" ht="14.25" customHeight="1">
      <c r="A195" s="1254" t="str">
        <f>MEXtabs!L50</f>
        <v>NXF200</v>
      </c>
      <c r="B195" s="1254"/>
      <c r="C195" s="1254">
        <f>MEXtabs!M50</f>
        <v>200</v>
      </c>
      <c r="D195" s="1254"/>
      <c r="E195" s="1255">
        <f>MEXtabs!N50</f>
        <v>4</v>
      </c>
      <c r="F195" s="1255"/>
      <c r="G195" s="1255">
        <f>MEXtabs!O50</f>
        <v>1</v>
      </c>
      <c r="H195" s="1255"/>
      <c r="I195" s="1256"/>
      <c r="J195" s="1256"/>
      <c r="K195" s="1257">
        <f>MEXtabs!Q50</f>
        <v>1.6296937192778045</v>
      </c>
      <c r="L195" s="1257"/>
      <c r="M195" s="1258">
        <f>MEXtabs!R50</f>
        <v>94.739000000000004</v>
      </c>
      <c r="N195" s="1258"/>
      <c r="O195" s="1259">
        <f>MEXtabs!S50</f>
        <v>1.5697420354036626</v>
      </c>
      <c r="P195" s="1259"/>
      <c r="Q195" s="1257">
        <f>MEXtabs!T50</f>
        <v>43.690424941977597</v>
      </c>
      <c r="R195" s="1257"/>
      <c r="S195" s="1255">
        <f>MEXtabs!U50</f>
        <v>1.4020436126959597</v>
      </c>
      <c r="T195" s="1255"/>
    </row>
    <row r="196" spans="1:20" ht="14.25" customHeight="1">
      <c r="A196" s="1272" t="str">
        <f>MEXtabs!L51</f>
        <v>NXG200</v>
      </c>
      <c r="B196" s="1272"/>
      <c r="C196" s="1272">
        <f>MEXtabs!M51</f>
        <v>200</v>
      </c>
      <c r="D196" s="1272"/>
      <c r="E196" s="1271">
        <f>MEXtabs!N51</f>
        <v>4</v>
      </c>
      <c r="F196" s="1271"/>
      <c r="G196" s="1271">
        <f>MEXtabs!O51</f>
        <v>1.6</v>
      </c>
      <c r="H196" s="1271"/>
      <c r="I196" s="1273"/>
      <c r="J196" s="1273"/>
      <c r="K196" s="1270">
        <f>MEXtabs!Q51</f>
        <v>2.0015314501377075</v>
      </c>
      <c r="L196" s="1270"/>
      <c r="M196" s="1280">
        <f>MEXtabs!R51</f>
        <v>105.252</v>
      </c>
      <c r="N196" s="1280"/>
      <c r="O196" s="1281">
        <f>MEXtabs!S51</f>
        <v>1.1653632876100355</v>
      </c>
      <c r="P196" s="1281"/>
      <c r="Q196" s="1270">
        <f>MEXtabs!T51</f>
        <v>43.576098970172843</v>
      </c>
      <c r="R196" s="1270"/>
      <c r="S196" s="1271">
        <f>MEXtabs!U51</f>
        <v>1.4091955478448173</v>
      </c>
      <c r="T196" s="1271"/>
    </row>
    <row r="197" spans="1:20" ht="14.25" customHeight="1">
      <c r="A197" s="1275" t="str">
        <f>MEXtabs!L52</f>
        <v>NXH200</v>
      </c>
      <c r="B197" s="1275"/>
      <c r="C197" s="1275">
        <f>MEXtabs!M52</f>
        <v>200</v>
      </c>
      <c r="D197" s="1275"/>
      <c r="E197" s="1276">
        <f>MEXtabs!N52</f>
        <v>4</v>
      </c>
      <c r="F197" s="1276"/>
      <c r="G197" s="1276">
        <f>MEXtabs!O52</f>
        <v>3</v>
      </c>
      <c r="H197" s="1276"/>
      <c r="I197" s="1277"/>
      <c r="J197" s="1277"/>
      <c r="K197" s="1278">
        <f>MEXtabs!Q52</f>
        <v>2.5415199349414408</v>
      </c>
      <c r="L197" s="1278"/>
      <c r="M197" s="1279">
        <f>MEXtabs!R52</f>
        <v>120.14700000000001</v>
      </c>
      <c r="N197" s="1279"/>
      <c r="O197" s="1286">
        <f>MEXtabs!S52</f>
        <v>0.64786042750908168</v>
      </c>
      <c r="P197" s="1286"/>
      <c r="Q197" s="1278">
        <f>MEXtabs!T52</f>
        <v>43.485617129878449</v>
      </c>
      <c r="R197" s="1278"/>
      <c r="S197" s="1276">
        <f>MEXtabs!U52</f>
        <v>1.6194874966200683</v>
      </c>
      <c r="T197" s="1276"/>
    </row>
    <row r="198" spans="1:20" ht="14.25" customHeight="1">
      <c r="A198" s="1274" t="str">
        <f>MEXtabs!L53</f>
        <v>NXE250</v>
      </c>
      <c r="B198" s="1274"/>
      <c r="C198" s="1274">
        <f>MEXtabs!M53</f>
        <v>250</v>
      </c>
      <c r="D198" s="1274"/>
      <c r="E198" s="1253">
        <f>MEXtabs!N53</f>
        <v>4</v>
      </c>
      <c r="F198" s="1253"/>
      <c r="G198" s="1253">
        <f>MEXtabs!O53</f>
        <v>0.5</v>
      </c>
      <c r="H198" s="1253"/>
      <c r="I198" s="1290"/>
      <c r="J198" s="1290"/>
      <c r="K198" s="1289">
        <f>MEXtabs!Q53</f>
        <v>1.6128041668984248</v>
      </c>
      <c r="L198" s="1289"/>
      <c r="M198" s="1268">
        <f>MEXtabs!R53</f>
        <v>92.84</v>
      </c>
      <c r="N198" s="1268"/>
      <c r="O198" s="1269">
        <f>MEXtabs!S53</f>
        <v>3.001836445045782</v>
      </c>
      <c r="P198" s="1269"/>
      <c r="Q198" s="1289">
        <f>MEXtabs!T53</f>
        <v>43.729792205959406</v>
      </c>
      <c r="R198" s="1289"/>
      <c r="S198" s="1253">
        <f>MEXtabs!U53</f>
        <v>1.422341580792478</v>
      </c>
      <c r="T198" s="1253"/>
    </row>
    <row r="199" spans="1:20" ht="14.25" customHeight="1">
      <c r="A199" s="1254" t="str">
        <f>MEXtabs!L54</f>
        <v>NXF250</v>
      </c>
      <c r="B199" s="1254"/>
      <c r="C199" s="1254">
        <f>MEXtabs!M54</f>
        <v>250</v>
      </c>
      <c r="D199" s="1254"/>
      <c r="E199" s="1255">
        <f>MEXtabs!N54</f>
        <v>4</v>
      </c>
      <c r="F199" s="1255"/>
      <c r="G199" s="1255">
        <f>MEXtabs!O54</f>
        <v>1</v>
      </c>
      <c r="H199" s="1255"/>
      <c r="I199" s="1256"/>
      <c r="J199" s="1256"/>
      <c r="K199" s="1257">
        <f>MEXtabs!Q54</f>
        <v>2.1356721844076167</v>
      </c>
      <c r="L199" s="1257"/>
      <c r="M199" s="1258">
        <f>MEXtabs!R54</f>
        <v>107.324</v>
      </c>
      <c r="N199" s="1258"/>
      <c r="O199" s="1259">
        <f>MEXtabs!S54</f>
        <v>2.2683956986257323</v>
      </c>
      <c r="P199" s="1259"/>
      <c r="Q199" s="1257">
        <f>MEXtabs!T54</f>
        <v>43.548136413860959</v>
      </c>
      <c r="R199" s="1257"/>
      <c r="S199" s="1255">
        <f>MEXtabs!U54</f>
        <v>1.5787773430127712</v>
      </c>
      <c r="T199" s="1255"/>
    </row>
    <row r="200" spans="1:20" ht="14.25" customHeight="1">
      <c r="A200" s="1272" t="str">
        <f>MEXtabs!L55</f>
        <v>NXG250</v>
      </c>
      <c r="B200" s="1272"/>
      <c r="C200" s="1272">
        <f>MEXtabs!M55</f>
        <v>250</v>
      </c>
      <c r="D200" s="1272"/>
      <c r="E200" s="1271">
        <f>MEXtabs!N55</f>
        <v>4</v>
      </c>
      <c r="F200" s="1271"/>
      <c r="G200" s="1271">
        <f>MEXtabs!O55</f>
        <v>1.6</v>
      </c>
      <c r="H200" s="1271"/>
      <c r="I200" s="1273"/>
      <c r="J200" s="1273"/>
      <c r="K200" s="1270">
        <f>MEXtabs!Q55</f>
        <v>2.5711570771389516</v>
      </c>
      <c r="L200" s="1270"/>
      <c r="M200" s="1280">
        <f>MEXtabs!R55</f>
        <v>120.09699999999999</v>
      </c>
      <c r="N200" s="1280"/>
      <c r="O200" s="1281">
        <f>MEXtabs!S55</f>
        <v>1.7745433399352215</v>
      </c>
      <c r="P200" s="1281"/>
      <c r="Q200" s="1270">
        <f>MEXtabs!T55</f>
        <v>43.515276381229619</v>
      </c>
      <c r="R200" s="1270"/>
      <c r="S200" s="1271">
        <f>MEXtabs!U55</f>
        <v>1.4187902976852591</v>
      </c>
      <c r="T200" s="1271"/>
    </row>
    <row r="201" spans="1:20" ht="14.25" customHeight="1">
      <c r="A201" s="1254" t="str">
        <f>MEXtabs!L56</f>
        <v>NXH250</v>
      </c>
      <c r="B201" s="1254"/>
      <c r="C201" s="1254">
        <f>MEXtabs!M56</f>
        <v>250</v>
      </c>
      <c r="D201" s="1254"/>
      <c r="E201" s="1255">
        <f>MEXtabs!N56</f>
        <v>4</v>
      </c>
      <c r="F201" s="1255"/>
      <c r="G201" s="1255">
        <f>MEXtabs!O56</f>
        <v>3</v>
      </c>
      <c r="H201" s="1255"/>
      <c r="I201" s="1256"/>
      <c r="J201" s="1256"/>
      <c r="K201" s="1257">
        <f>MEXtabs!Q56</f>
        <v>3.1622519161675675</v>
      </c>
      <c r="L201" s="1257"/>
      <c r="M201" s="1258">
        <f>MEXtabs!R56</f>
        <v>137.45500000000001</v>
      </c>
      <c r="N201" s="1258"/>
      <c r="O201" s="1259">
        <f>MEXtabs!S56</f>
        <v>1.1656638161633628</v>
      </c>
      <c r="P201" s="1259"/>
      <c r="Q201" s="1257">
        <f>MEXtabs!T56</f>
        <v>43.394068454781625</v>
      </c>
      <c r="R201" s="1257"/>
      <c r="S201" s="1255">
        <f>MEXtabs!U56</f>
        <v>1.4262120976966306</v>
      </c>
      <c r="T201" s="1255"/>
    </row>
    <row r="202" spans="1:20" ht="14.25" customHeight="1">
      <c r="A202" s="1260" t="str">
        <f>MEXtabs!L57</f>
        <v>NXI250</v>
      </c>
      <c r="B202" s="1260"/>
      <c r="C202" s="1260">
        <f>MEXtabs!M57</f>
        <v>250</v>
      </c>
      <c r="D202" s="1260"/>
      <c r="E202" s="1261">
        <f>MEXtabs!N57</f>
        <v>4</v>
      </c>
      <c r="F202" s="1261"/>
      <c r="G202" s="1261">
        <f>MEXtabs!O57</f>
        <v>5</v>
      </c>
      <c r="H202" s="1261"/>
      <c r="I202" s="1262"/>
      <c r="J202" s="1262"/>
      <c r="K202" s="1263">
        <f>MEXtabs!Q57</f>
        <v>3.5951513428636979</v>
      </c>
      <c r="L202" s="1263"/>
      <c r="M202" s="1284">
        <f>MEXtabs!R57</f>
        <v>149.50700000000001</v>
      </c>
      <c r="N202" s="1284"/>
      <c r="O202" s="1285">
        <f>MEXtabs!S57</f>
        <v>0.73387277470469225</v>
      </c>
      <c r="P202" s="1285"/>
      <c r="Q202" s="1263">
        <f>MEXtabs!T57</f>
        <v>43.262222819513056</v>
      </c>
      <c r="R202" s="1263"/>
      <c r="S202" s="1261">
        <f>MEXtabs!U57</f>
        <v>1.4984186704190821</v>
      </c>
      <c r="T202" s="1261"/>
    </row>
    <row r="203" spans="1:20" ht="14.25" customHeight="1">
      <c r="A203" s="1254" t="str">
        <f>MEXtabs!L58</f>
        <v>NXF280</v>
      </c>
      <c r="B203" s="1254"/>
      <c r="C203" s="1254">
        <f>MEXtabs!M58</f>
        <v>280</v>
      </c>
      <c r="D203" s="1254"/>
      <c r="E203" s="1255">
        <f>MEXtabs!N58</f>
        <v>4</v>
      </c>
      <c r="F203" s="1255"/>
      <c r="G203" s="1255">
        <f>MEXtabs!O58</f>
        <v>1</v>
      </c>
      <c r="H203" s="1255"/>
      <c r="I203" s="1256"/>
      <c r="J203" s="1256"/>
      <c r="K203" s="1257">
        <f>MEXtabs!Q58</f>
        <v>2.4331518775712206</v>
      </c>
      <c r="L203" s="1257"/>
      <c r="M203" s="1258">
        <f>MEXtabs!R58</f>
        <v>114.61199999999999</v>
      </c>
      <c r="N203" s="1258"/>
      <c r="O203" s="1259">
        <f>MEXtabs!S58</f>
        <v>2.5127625014554815</v>
      </c>
      <c r="P203" s="1259"/>
      <c r="Q203" s="1257">
        <f>MEXtabs!T58</f>
        <v>43.547872255342405</v>
      </c>
      <c r="R203" s="1257"/>
      <c r="S203" s="1255">
        <f>MEXtabs!U58</f>
        <v>1.4412610516839326</v>
      </c>
      <c r="T203" s="1255"/>
    </row>
    <row r="204" spans="1:20" ht="14.25" customHeight="1">
      <c r="A204" s="1272" t="str">
        <f>MEXtabs!L59</f>
        <v>NXG280</v>
      </c>
      <c r="B204" s="1272"/>
      <c r="C204" s="1272">
        <f>MEXtabs!M59</f>
        <v>280</v>
      </c>
      <c r="D204" s="1272"/>
      <c r="E204" s="1271">
        <f>MEXtabs!N59</f>
        <v>4</v>
      </c>
      <c r="F204" s="1271"/>
      <c r="G204" s="1271">
        <f>MEXtabs!O59</f>
        <v>1.6</v>
      </c>
      <c r="H204" s="1271"/>
      <c r="I204" s="1273"/>
      <c r="J204" s="1273"/>
      <c r="K204" s="1270">
        <f>MEXtabs!Q59</f>
        <v>2.8808623211292477</v>
      </c>
      <c r="L204" s="1270"/>
      <c r="M204" s="1280">
        <f>MEXtabs!R59</f>
        <v>128.495</v>
      </c>
      <c r="N204" s="1280"/>
      <c r="O204" s="1281">
        <f>MEXtabs!S59</f>
        <v>2.0131516705967654</v>
      </c>
      <c r="P204" s="1281"/>
      <c r="Q204" s="1270">
        <f>MEXtabs!T59</f>
        <v>43.417032551541674</v>
      </c>
      <c r="R204" s="1270"/>
      <c r="S204" s="1271">
        <f>MEXtabs!U59</f>
        <v>1.4112160246869581</v>
      </c>
      <c r="T204" s="1271"/>
    </row>
    <row r="205" spans="1:20" ht="14.25" customHeight="1">
      <c r="A205" s="1254" t="str">
        <f>MEXtabs!L60</f>
        <v>NXH280</v>
      </c>
      <c r="B205" s="1254"/>
      <c r="C205" s="1254">
        <f>MEXtabs!M60</f>
        <v>280</v>
      </c>
      <c r="D205" s="1254"/>
      <c r="E205" s="1255">
        <f>MEXtabs!N60</f>
        <v>4</v>
      </c>
      <c r="F205" s="1255"/>
      <c r="G205" s="1255">
        <f>MEXtabs!O60</f>
        <v>3</v>
      </c>
      <c r="H205" s="1255"/>
      <c r="I205" s="1256"/>
      <c r="J205" s="1256"/>
      <c r="K205" s="1257">
        <f>MEXtabs!Q60</f>
        <v>3.5006101210159413</v>
      </c>
      <c r="L205" s="1257"/>
      <c r="M205" s="1258">
        <f>MEXtabs!R60</f>
        <v>147.05000000000001</v>
      </c>
      <c r="N205" s="1258"/>
      <c r="O205" s="1259">
        <f>MEXtabs!S60</f>
        <v>1.3743566100374649</v>
      </c>
      <c r="P205" s="1259"/>
      <c r="Q205" s="1257">
        <f>MEXtabs!T60</f>
        <v>43.332123291107912</v>
      </c>
      <c r="R205" s="1257"/>
      <c r="S205" s="1255">
        <f>MEXtabs!U60</f>
        <v>1.439378720129868</v>
      </c>
      <c r="T205" s="1255"/>
    </row>
    <row r="206" spans="1:20" ht="14.25" customHeight="1">
      <c r="A206" s="1260" t="str">
        <f>MEXtabs!L61</f>
        <v>NXI280</v>
      </c>
      <c r="B206" s="1260"/>
      <c r="C206" s="1260">
        <f>MEXtabs!M61</f>
        <v>280</v>
      </c>
      <c r="D206" s="1260"/>
      <c r="E206" s="1261">
        <f>MEXtabs!N61</f>
        <v>4</v>
      </c>
      <c r="F206" s="1261"/>
      <c r="G206" s="1261">
        <f>MEXtabs!O61</f>
        <v>5</v>
      </c>
      <c r="H206" s="1261"/>
      <c r="I206" s="1262"/>
      <c r="J206" s="1262"/>
      <c r="K206" s="1263">
        <f>MEXtabs!Q61</f>
        <v>3.9334817438945446</v>
      </c>
      <c r="L206" s="1263"/>
      <c r="M206" s="1284">
        <f>MEXtabs!R61</f>
        <v>159.91800000000001</v>
      </c>
      <c r="N206" s="1284"/>
      <c r="O206" s="1285">
        <f>MEXtabs!S61</f>
        <v>0.89520582359213419</v>
      </c>
      <c r="P206" s="1285"/>
      <c r="Q206" s="1263">
        <f>MEXtabs!T61</f>
        <v>43.249584769166603</v>
      </c>
      <c r="R206" s="1263"/>
      <c r="S206" s="1261">
        <f>MEXtabs!U61</f>
        <v>1.414562707424998</v>
      </c>
      <c r="T206" s="1261"/>
    </row>
    <row r="207" spans="1:20" ht="14.25" customHeight="1">
      <c r="A207" s="1264" t="str">
        <f>MEXtabs!L62</f>
        <v>NXG300</v>
      </c>
      <c r="B207" s="1264"/>
      <c r="C207" s="1264">
        <f>MEXtabs!M62</f>
        <v>300</v>
      </c>
      <c r="D207" s="1264"/>
      <c r="E207" s="1265">
        <f>MEXtabs!N62</f>
        <v>4</v>
      </c>
      <c r="F207" s="1265"/>
      <c r="G207" s="1265">
        <f>MEXtabs!O62</f>
        <v>1.6</v>
      </c>
      <c r="H207" s="1265"/>
      <c r="I207" s="1266"/>
      <c r="J207" s="1266"/>
      <c r="K207" s="1267">
        <f>MEXtabs!Q62</f>
        <v>3.0951576375640011</v>
      </c>
      <c r="L207" s="1267"/>
      <c r="M207" s="1282">
        <f>MEXtabs!R62</f>
        <v>133.916</v>
      </c>
      <c r="N207" s="1282"/>
      <c r="O207" s="1283">
        <f>MEXtabs!S62</f>
        <v>2.4105553532451731</v>
      </c>
      <c r="P207" s="1283"/>
      <c r="Q207" s="1267">
        <f>MEXtabs!T62</f>
        <v>43.359289173851359</v>
      </c>
      <c r="R207" s="1267"/>
      <c r="S207" s="1265">
        <f>MEXtabs!U62</f>
        <v>1.4164756001609529</v>
      </c>
      <c r="T207" s="1265"/>
    </row>
    <row r="208" spans="1:20" ht="14.25" customHeight="1">
      <c r="A208" s="1272" t="str">
        <f>MEXtabs!L63</f>
        <v>NXH300</v>
      </c>
      <c r="B208" s="1272"/>
      <c r="C208" s="1272">
        <f>MEXtabs!M63</f>
        <v>300</v>
      </c>
      <c r="D208" s="1272"/>
      <c r="E208" s="1271">
        <f>MEXtabs!N63</f>
        <v>4</v>
      </c>
      <c r="F208" s="1271"/>
      <c r="G208" s="1271">
        <f>MEXtabs!O63</f>
        <v>3</v>
      </c>
      <c r="H208" s="1271"/>
      <c r="I208" s="1273"/>
      <c r="J208" s="1273"/>
      <c r="K208" s="1270">
        <f>MEXtabs!Q63</f>
        <v>3.7047905897248823</v>
      </c>
      <c r="L208" s="1270"/>
      <c r="M208" s="1280">
        <f>MEXtabs!R63</f>
        <v>153.21</v>
      </c>
      <c r="N208" s="1280"/>
      <c r="O208" s="1281">
        <f>MEXtabs!S63</f>
        <v>1.6807536584989653</v>
      </c>
      <c r="P208" s="1281"/>
      <c r="Q208" s="1270">
        <f>MEXtabs!T63</f>
        <v>43.270125968459105</v>
      </c>
      <c r="R208" s="1270"/>
      <c r="S208" s="1271">
        <f>MEXtabs!U63</f>
        <v>1.5497596476199065</v>
      </c>
      <c r="T208" s="1271"/>
    </row>
    <row r="209" spans="1:20" ht="14.25" customHeight="1">
      <c r="A209" s="1254" t="str">
        <f>MEXtabs!L64</f>
        <v>NXI300</v>
      </c>
      <c r="B209" s="1254"/>
      <c r="C209" s="1254">
        <f>MEXtabs!M64</f>
        <v>300</v>
      </c>
      <c r="D209" s="1254"/>
      <c r="E209" s="1255">
        <f>MEXtabs!N64</f>
        <v>4</v>
      </c>
      <c r="F209" s="1255"/>
      <c r="G209" s="1255">
        <f>MEXtabs!O64</f>
        <v>5</v>
      </c>
      <c r="H209" s="1255"/>
      <c r="I209" s="1256"/>
      <c r="J209" s="1256"/>
      <c r="K209" s="1257">
        <f>MEXtabs!Q64</f>
        <v>4.1453765509423093</v>
      </c>
      <c r="L209" s="1257"/>
      <c r="M209" s="1258">
        <f>MEXtabs!R64</f>
        <v>166.58099999999999</v>
      </c>
      <c r="N209" s="1258"/>
      <c r="O209" s="1259">
        <f>MEXtabs!S64</f>
        <v>1.1187875433583474</v>
      </c>
      <c r="P209" s="1259"/>
      <c r="Q209" s="1257">
        <f>MEXtabs!T64</f>
        <v>43.133978014768623</v>
      </c>
      <c r="R209" s="1257"/>
      <c r="S209" s="1255">
        <f>MEXtabs!U64</f>
        <v>1.4203760731428454</v>
      </c>
      <c r="T209" s="1255"/>
    </row>
    <row r="210" spans="1:20" ht="14.25" customHeight="1">
      <c r="A210" s="1274" t="str">
        <f>MEXtabs!L65</f>
        <v>NXH320</v>
      </c>
      <c r="B210" s="1274"/>
      <c r="C210" s="1274">
        <f>MEXtabs!M65</f>
        <v>320</v>
      </c>
      <c r="D210" s="1274"/>
      <c r="E210" s="1253">
        <f>MEXtabs!N65</f>
        <v>4</v>
      </c>
      <c r="F210" s="1253"/>
      <c r="G210" s="1253">
        <f>MEXtabs!O65</f>
        <v>3</v>
      </c>
      <c r="H210" s="1253"/>
      <c r="I210" s="1290"/>
      <c r="J210" s="1290"/>
      <c r="K210" s="1289">
        <f>MEXtabs!Q65</f>
        <v>3.8972650748324895</v>
      </c>
      <c r="L210" s="1289"/>
      <c r="M210" s="1268">
        <f>MEXtabs!R65</f>
        <v>159.21700000000001</v>
      </c>
      <c r="N210" s="1268"/>
      <c r="O210" s="1269">
        <f>MEXtabs!S65</f>
        <v>1.6231408287232745</v>
      </c>
      <c r="P210" s="1269"/>
      <c r="Q210" s="1289">
        <f>MEXtabs!T65</f>
        <v>43.131780217598909</v>
      </c>
      <c r="R210" s="1289"/>
      <c r="S210" s="1253">
        <f>MEXtabs!U65</f>
        <v>1.4546401341956048</v>
      </c>
      <c r="T210" s="1253"/>
    </row>
    <row r="211" spans="1:20" ht="14.25" customHeight="1">
      <c r="A211" s="1254" t="str">
        <f>MEXtabs!L66</f>
        <v>NXI320</v>
      </c>
      <c r="B211" s="1254"/>
      <c r="C211" s="1254">
        <f>MEXtabs!M66</f>
        <v>320</v>
      </c>
      <c r="D211" s="1254"/>
      <c r="E211" s="1255">
        <f>MEXtabs!N66</f>
        <v>4</v>
      </c>
      <c r="F211" s="1255"/>
      <c r="G211" s="1255">
        <f>MEXtabs!O66</f>
        <v>5</v>
      </c>
      <c r="H211" s="1255"/>
      <c r="I211" s="1256"/>
      <c r="J211" s="1256"/>
      <c r="K211" s="1257">
        <f>MEXtabs!Q66</f>
        <v>4.335531420085327</v>
      </c>
      <c r="L211" s="1257"/>
      <c r="M211" s="1258">
        <f>MEXtabs!R66</f>
        <v>173.059</v>
      </c>
      <c r="N211" s="1258"/>
      <c r="O211" s="1259">
        <f>MEXtabs!S66</f>
        <v>1.1003205119450847</v>
      </c>
      <c r="P211" s="1259"/>
      <c r="Q211" s="1257">
        <f>MEXtabs!T66</f>
        <v>43.048524810446899</v>
      </c>
      <c r="R211" s="1257"/>
      <c r="S211" s="1255">
        <f>MEXtabs!U66</f>
        <v>1.4263964632310318</v>
      </c>
      <c r="T211" s="1255"/>
    </row>
    <row r="212" spans="1:20" ht="15" customHeight="1">
      <c r="A212" s="1320" t="str">
        <f>MEXtabs!L67</f>
        <v>NXG250*</v>
      </c>
      <c r="B212" s="1320"/>
      <c r="C212" s="1320">
        <f>MEXtabs!M67</f>
        <v>250</v>
      </c>
      <c r="D212" s="1320"/>
      <c r="E212" s="1321">
        <f>MEXtabs!N67</f>
        <v>4</v>
      </c>
      <c r="F212" s="1321"/>
      <c r="G212" s="1321">
        <f>MEXtabs!O67</f>
        <v>1.6</v>
      </c>
      <c r="H212" s="1321"/>
      <c r="I212" s="1322"/>
      <c r="J212" s="1322"/>
      <c r="K212" s="1323">
        <f>MEXtabs!Q67</f>
        <v>2.5711570771389516</v>
      </c>
      <c r="L212" s="1323"/>
      <c r="M212" s="1324">
        <f>MEXtabs!R67</f>
        <v>120.09699999999999</v>
      </c>
      <c r="N212" s="1324"/>
      <c r="O212" s="1325">
        <f>MEXtabs!S67</f>
        <v>1.7745433399352215</v>
      </c>
      <c r="P212" s="1325"/>
      <c r="Q212" s="1323">
        <f>MEXtabs!T67</f>
        <v>43.344264021661864</v>
      </c>
      <c r="R212" s="1323"/>
      <c r="S212" s="1321">
        <f>MEXtabs!U67</f>
        <v>1.4054646670510211</v>
      </c>
      <c r="T212" s="1321"/>
    </row>
    <row r="213" spans="1:20" ht="15" customHeight="1">
      <c r="A213" s="1331" t="str">
        <f>MEXtabs!L68</f>
        <v>NXH280*</v>
      </c>
      <c r="B213" s="1332"/>
      <c r="C213" s="1331">
        <f>MEXtabs!M68</f>
        <v>280</v>
      </c>
      <c r="D213" s="1332"/>
      <c r="E213" s="1329">
        <f>MEXtabs!N68</f>
        <v>4</v>
      </c>
      <c r="F213" s="1330"/>
      <c r="G213" s="1329">
        <f>MEXtabs!O68</f>
        <v>3</v>
      </c>
      <c r="H213" s="1330"/>
      <c r="I213" s="1333"/>
      <c r="J213" s="1334"/>
      <c r="K213" s="1327">
        <f>MEXtabs!Q68</f>
        <v>3.5006101210159413</v>
      </c>
      <c r="L213" s="1328"/>
      <c r="M213" s="1335">
        <f>MEXtabs!R68</f>
        <v>147.05000000000001</v>
      </c>
      <c r="N213" s="1336"/>
      <c r="O213" s="1337">
        <f>MEXtabs!S68</f>
        <v>1.3743566100374649</v>
      </c>
      <c r="P213" s="1338"/>
      <c r="Q213" s="1327">
        <f>MEXtabs!T68</f>
        <v>43.332753138987364</v>
      </c>
      <c r="R213" s="1328"/>
      <c r="S213" s="1329">
        <f>MEXtabs!U68</f>
        <v>1.4126341278709802</v>
      </c>
      <c r="T213" s="1330"/>
    </row>
    <row r="214" spans="1:20" ht="15" customHeight="1">
      <c r="A214" s="1320" t="str">
        <f>MEXtabs!L69</f>
        <v>NXH300*</v>
      </c>
      <c r="B214" s="1320"/>
      <c r="C214" s="1320">
        <f>MEXtabs!M69</f>
        <v>300</v>
      </c>
      <c r="D214" s="1320"/>
      <c r="E214" s="1321">
        <f>MEXtabs!N69</f>
        <v>4</v>
      </c>
      <c r="F214" s="1321"/>
      <c r="G214" s="1321">
        <f>MEXtabs!O69</f>
        <v>3</v>
      </c>
      <c r="H214" s="1321"/>
      <c r="I214" s="1322"/>
      <c r="J214" s="1322"/>
      <c r="K214" s="1323">
        <f>MEXtabs!Q69</f>
        <v>3.7047905897248823</v>
      </c>
      <c r="L214" s="1323"/>
      <c r="M214" s="1324">
        <f>MEXtabs!R69</f>
        <v>153.21</v>
      </c>
      <c r="N214" s="1324"/>
      <c r="O214" s="1325">
        <f>MEXtabs!S69</f>
        <v>1.6807536584989653</v>
      </c>
      <c r="P214" s="1325"/>
      <c r="Q214" s="1323">
        <f>MEXtabs!T69</f>
        <v>43.273786206386291</v>
      </c>
      <c r="R214" s="1323"/>
      <c r="S214" s="1321">
        <f>MEXtabs!U69</f>
        <v>1.4132794594747651</v>
      </c>
      <c r="T214" s="1321"/>
    </row>
    <row r="215" spans="1:20" ht="15" customHeight="1">
      <c r="A215" s="91" t="s">
        <v>389</v>
      </c>
      <c r="B215" s="97"/>
      <c r="C215" s="97"/>
      <c r="D215" s="97"/>
      <c r="E215" s="97"/>
      <c r="F215" s="97"/>
      <c r="G215" s="97"/>
      <c r="H215" s="97"/>
      <c r="I215" s="97"/>
      <c r="J215" s="97"/>
      <c r="K215" s="97"/>
      <c r="L215" s="97"/>
      <c r="M215" s="97"/>
      <c r="N215" s="97"/>
      <c r="O215" s="97"/>
      <c r="P215" s="97"/>
      <c r="Q215" s="97"/>
      <c r="R215" s="97"/>
    </row>
    <row r="216" spans="1:20" ht="15" customHeight="1">
      <c r="A216" s="91" t="s">
        <v>390</v>
      </c>
      <c r="B216" s="97"/>
      <c r="C216" s="97"/>
      <c r="D216" s="97"/>
      <c r="E216" s="97"/>
      <c r="F216" s="97"/>
      <c r="G216" s="97"/>
      <c r="H216" s="97"/>
      <c r="I216" s="97"/>
      <c r="J216" s="97"/>
      <c r="K216" s="97"/>
      <c r="L216" s="97"/>
      <c r="M216" s="97"/>
      <c r="N216" s="97"/>
      <c r="O216" s="97"/>
      <c r="P216" s="97"/>
      <c r="Q216" s="97"/>
      <c r="R216" s="97"/>
    </row>
    <row r="217" spans="1:20" ht="15" customHeight="1">
      <c r="A217" s="91" t="s">
        <v>1257</v>
      </c>
      <c r="B217" s="97"/>
      <c r="C217" s="97"/>
      <c r="D217" s="97"/>
      <c r="E217" s="97"/>
      <c r="F217" s="97"/>
      <c r="G217" s="97"/>
      <c r="H217" s="97"/>
      <c r="I217" s="97"/>
      <c r="J217" s="97"/>
      <c r="K217" s="97"/>
      <c r="L217" s="97"/>
      <c r="M217" s="97"/>
      <c r="N217" s="97"/>
      <c r="O217" s="97"/>
      <c r="P217" s="97"/>
      <c r="Q217" s="97"/>
      <c r="R217" s="97"/>
    </row>
    <row r="218" spans="1:20" ht="15" customHeight="1">
      <c r="C218" s="97"/>
      <c r="D218" s="97"/>
      <c r="E218" s="97"/>
      <c r="F218" s="97"/>
      <c r="G218" s="97"/>
      <c r="H218" s="97"/>
      <c r="I218" s="97"/>
      <c r="J218" s="97"/>
      <c r="K218" s="97"/>
      <c r="L218" s="97"/>
      <c r="M218" s="97"/>
      <c r="N218" s="97"/>
      <c r="O218" s="97"/>
      <c r="P218" s="97"/>
      <c r="Q218" s="97"/>
      <c r="R218" s="97"/>
    </row>
    <row r="219" spans="1:20" ht="15" customHeight="1">
      <c r="A219" s="97"/>
      <c r="B219" s="97"/>
      <c r="C219" s="97"/>
      <c r="D219" s="97"/>
      <c r="E219" s="97"/>
      <c r="F219" s="97"/>
      <c r="G219" s="97"/>
      <c r="H219" s="97"/>
      <c r="I219" s="97"/>
      <c r="J219" s="97"/>
      <c r="K219" s="97"/>
      <c r="L219" s="97"/>
      <c r="M219" s="97"/>
      <c r="N219" s="97"/>
      <c r="O219" s="97"/>
      <c r="P219" s="97"/>
      <c r="Q219" s="97"/>
      <c r="R219" s="97"/>
    </row>
    <row r="220" spans="1:20" ht="15" customHeight="1">
      <c r="A220" s="97"/>
      <c r="B220" s="97"/>
      <c r="C220" s="97"/>
      <c r="D220" s="97"/>
      <c r="E220" s="97"/>
      <c r="F220" s="97"/>
      <c r="G220" s="97"/>
      <c r="H220" s="97"/>
      <c r="I220" s="97"/>
      <c r="J220" s="97"/>
      <c r="K220" s="97"/>
      <c r="L220" s="97"/>
      <c r="M220" s="97"/>
      <c r="N220" s="97"/>
      <c r="O220" s="97"/>
      <c r="P220" s="97"/>
      <c r="Q220" s="97"/>
      <c r="R220" s="97"/>
    </row>
    <row r="221" spans="1:20" ht="15" customHeight="1">
      <c r="A221" s="97"/>
      <c r="B221" s="97"/>
      <c r="C221" s="97"/>
      <c r="D221" s="97"/>
      <c r="E221" s="97"/>
      <c r="F221" s="97"/>
      <c r="G221" s="97"/>
      <c r="H221" s="97"/>
      <c r="I221" s="97"/>
      <c r="J221" s="97"/>
      <c r="K221" s="97"/>
      <c r="L221" s="97"/>
      <c r="M221" s="97"/>
      <c r="N221" s="97"/>
      <c r="O221" s="97"/>
      <c r="P221" s="97"/>
      <c r="Q221" s="97"/>
      <c r="R221" s="97"/>
    </row>
    <row r="222" spans="1:20" ht="15" customHeight="1">
      <c r="A222" s="97"/>
      <c r="B222" s="97"/>
      <c r="C222" s="97"/>
      <c r="D222" s="97"/>
      <c r="E222" s="97"/>
      <c r="F222" s="97"/>
      <c r="G222" s="97"/>
      <c r="H222" s="97"/>
      <c r="I222" s="97"/>
      <c r="J222" s="97"/>
      <c r="K222" s="97"/>
      <c r="L222" s="97"/>
      <c r="M222" s="97"/>
      <c r="N222" s="97"/>
      <c r="O222" s="97"/>
      <c r="P222" s="97"/>
      <c r="Q222" s="97"/>
      <c r="R222" s="97"/>
    </row>
    <row r="223" spans="1:20" ht="15" customHeight="1">
      <c r="A223" s="97"/>
      <c r="B223" s="97"/>
      <c r="C223" s="97"/>
      <c r="D223" s="97"/>
      <c r="E223" s="97"/>
      <c r="F223" s="97"/>
      <c r="G223" s="97"/>
      <c r="H223" s="97"/>
      <c r="I223" s="97"/>
      <c r="J223" s="97"/>
      <c r="K223" s="97"/>
      <c r="L223" s="97"/>
      <c r="M223" s="97"/>
      <c r="N223" s="97"/>
      <c r="O223" s="97"/>
      <c r="P223" s="97"/>
      <c r="Q223" s="97"/>
      <c r="R223" s="97"/>
    </row>
    <row r="224" spans="1:20" ht="15" customHeight="1">
      <c r="A224" s="97"/>
      <c r="B224" s="97"/>
      <c r="C224" s="97"/>
      <c r="D224" s="97"/>
      <c r="E224" s="97"/>
      <c r="F224" s="97"/>
      <c r="G224" s="97"/>
      <c r="H224" s="97"/>
      <c r="I224" s="97"/>
      <c r="J224" s="97"/>
      <c r="K224" s="97"/>
      <c r="L224" s="97"/>
      <c r="M224" s="97"/>
      <c r="N224" s="97"/>
      <c r="O224" s="97"/>
      <c r="P224" s="97"/>
      <c r="Q224" s="97"/>
      <c r="R224" s="97"/>
    </row>
    <row r="225" spans="1:20" ht="15" customHeight="1">
      <c r="A225" s="97"/>
      <c r="B225" s="97"/>
      <c r="C225" s="97"/>
      <c r="D225" s="97"/>
      <c r="E225" s="97"/>
      <c r="F225" s="97"/>
      <c r="G225" s="97"/>
      <c r="H225" s="97"/>
      <c r="I225" s="97"/>
      <c r="J225" s="97"/>
      <c r="K225" s="97"/>
      <c r="L225" s="97"/>
      <c r="M225" s="97"/>
      <c r="N225" s="97"/>
      <c r="O225" s="97"/>
      <c r="P225" s="97"/>
      <c r="Q225" s="97"/>
      <c r="R225" s="97"/>
    </row>
    <row r="226" spans="1:20" ht="15" customHeight="1">
      <c r="A226" s="97"/>
      <c r="B226" s="97"/>
      <c r="C226" s="97"/>
      <c r="D226" s="97"/>
      <c r="E226" s="97"/>
      <c r="F226" s="97"/>
      <c r="G226" s="97"/>
      <c r="H226" s="97"/>
      <c r="I226" s="97"/>
      <c r="J226" s="97"/>
      <c r="K226" s="97"/>
      <c r="L226" s="97"/>
      <c r="M226" s="97"/>
      <c r="N226" s="97"/>
      <c r="O226" s="97"/>
      <c r="P226" s="97"/>
      <c r="Q226" s="97"/>
      <c r="R226" s="97"/>
    </row>
    <row r="227" spans="1:20" ht="15" customHeight="1">
      <c r="A227" s="97"/>
      <c r="B227" s="97"/>
      <c r="C227" s="97"/>
      <c r="D227" s="97"/>
      <c r="E227" s="97"/>
      <c r="F227" s="97"/>
      <c r="G227" s="97"/>
      <c r="H227" s="97"/>
      <c r="I227" s="97"/>
      <c r="J227" s="97"/>
      <c r="K227" s="97"/>
      <c r="L227" s="97"/>
      <c r="M227" s="97"/>
      <c r="N227" s="97"/>
      <c r="O227" s="97"/>
      <c r="P227" s="97"/>
      <c r="Q227" s="97"/>
      <c r="R227" s="97"/>
    </row>
    <row r="228" spans="1:20" ht="15" customHeight="1">
      <c r="A228" s="97"/>
      <c r="B228" s="97"/>
      <c r="C228" s="97"/>
      <c r="D228" s="97"/>
      <c r="E228" s="97"/>
      <c r="F228" s="97"/>
      <c r="G228" s="97"/>
      <c r="H228" s="97"/>
      <c r="I228" s="97"/>
      <c r="J228" s="97"/>
      <c r="K228" s="97"/>
      <c r="L228" s="97"/>
      <c r="M228" s="97"/>
      <c r="N228" s="97"/>
      <c r="O228" s="97"/>
      <c r="P228" s="97"/>
      <c r="Q228" s="97"/>
      <c r="R228" s="97"/>
    </row>
    <row r="229" spans="1:20" ht="15" customHeight="1">
      <c r="A229" s="97"/>
      <c r="B229" s="97"/>
      <c r="C229" s="97"/>
      <c r="D229" s="97"/>
      <c r="E229" s="97"/>
      <c r="F229" s="97"/>
      <c r="G229" s="97"/>
      <c r="H229" s="97"/>
      <c r="I229" s="97"/>
      <c r="J229" s="97"/>
      <c r="K229" s="97"/>
      <c r="L229" s="97"/>
      <c r="M229" s="97"/>
      <c r="N229" s="97"/>
      <c r="O229" s="97"/>
      <c r="P229" s="97"/>
      <c r="Q229" s="97"/>
      <c r="R229" s="97"/>
    </row>
    <row r="230" spans="1:20" ht="15" customHeight="1">
      <c r="A230" s="97"/>
      <c r="B230" s="97"/>
      <c r="C230" s="97"/>
      <c r="D230" s="97"/>
      <c r="E230" s="97"/>
      <c r="F230" s="97"/>
      <c r="G230" s="97"/>
      <c r="H230" s="97"/>
      <c r="I230" s="97"/>
      <c r="J230" s="97"/>
      <c r="K230" s="97"/>
      <c r="L230" s="97"/>
      <c r="M230" s="97"/>
      <c r="N230" s="97"/>
      <c r="O230" s="97"/>
      <c r="P230" s="97"/>
      <c r="Q230" s="97"/>
      <c r="R230" s="97"/>
    </row>
    <row r="231" spans="1:20" ht="15" customHeight="1">
      <c r="A231" s="97"/>
      <c r="B231" s="97"/>
      <c r="C231" s="97"/>
      <c r="D231" s="97"/>
      <c r="E231" s="97"/>
      <c r="F231" s="97"/>
      <c r="G231" s="97"/>
      <c r="H231" s="97"/>
      <c r="I231" s="97"/>
      <c r="J231" s="97"/>
      <c r="K231" s="97"/>
      <c r="L231" s="97"/>
      <c r="M231" s="97"/>
      <c r="N231" s="97"/>
      <c r="O231" s="97"/>
      <c r="P231" s="97"/>
      <c r="Q231" s="97"/>
      <c r="R231" s="97"/>
    </row>
    <row r="232" spans="1:20" ht="15" customHeight="1">
      <c r="A232" s="97"/>
      <c r="B232" s="97"/>
      <c r="C232" s="97"/>
      <c r="D232" s="97"/>
      <c r="E232" s="97"/>
      <c r="F232" s="97"/>
      <c r="G232" s="97"/>
      <c r="H232" s="97"/>
      <c r="I232" s="97"/>
      <c r="J232" s="97"/>
      <c r="K232" s="97"/>
      <c r="L232" s="97"/>
      <c r="M232" s="97"/>
      <c r="N232" s="97"/>
      <c r="O232" s="97"/>
      <c r="P232" s="97"/>
      <c r="Q232" s="97"/>
      <c r="R232" s="97"/>
    </row>
    <row r="233" spans="1:20" ht="15" customHeight="1">
      <c r="A233" s="97"/>
      <c r="B233" s="97"/>
      <c r="C233" s="97"/>
      <c r="D233" s="97"/>
      <c r="E233" s="97"/>
      <c r="F233" s="97"/>
      <c r="G233" s="97"/>
      <c r="H233" s="97"/>
      <c r="I233" s="97"/>
      <c r="J233" s="97"/>
      <c r="K233" s="97"/>
      <c r="L233" s="97"/>
      <c r="M233" s="97"/>
      <c r="N233" s="97"/>
      <c r="O233" s="97"/>
      <c r="P233" s="97"/>
      <c r="Q233" s="97"/>
      <c r="R233" s="97"/>
    </row>
    <row r="234" spans="1:20" ht="15" customHeight="1"/>
    <row r="235" spans="1:20" ht="15" customHeight="1">
      <c r="A235" s="97"/>
      <c r="B235" s="97"/>
      <c r="C235" s="97"/>
      <c r="D235" s="97"/>
      <c r="E235" s="97"/>
      <c r="F235" s="97"/>
      <c r="G235" s="97"/>
      <c r="H235" s="97"/>
      <c r="I235" s="97"/>
      <c r="J235" s="97"/>
      <c r="K235" s="97"/>
      <c r="L235" s="97"/>
      <c r="M235" s="97"/>
      <c r="N235" s="97"/>
      <c r="O235" s="97"/>
      <c r="P235" s="97"/>
      <c r="Q235" s="97"/>
      <c r="R235" s="97"/>
    </row>
    <row r="236" spans="1:20" ht="25.5" customHeight="1">
      <c r="A236" s="97"/>
      <c r="B236" s="97"/>
      <c r="C236" s="97"/>
      <c r="D236" s="97"/>
      <c r="E236" s="97"/>
      <c r="F236" s="97"/>
      <c r="G236" s="97"/>
      <c r="H236" s="97"/>
      <c r="I236" s="97"/>
      <c r="J236" s="97"/>
      <c r="K236" s="97"/>
      <c r="L236" s="97"/>
      <c r="M236" s="97"/>
      <c r="N236" s="97"/>
      <c r="O236" s="97"/>
      <c r="P236" s="97"/>
      <c r="Q236" s="97"/>
      <c r="R236" s="97"/>
    </row>
    <row r="237" spans="1:20" ht="15" customHeight="1">
      <c r="A237" s="1291" t="str">
        <f>"Figure 1: Calibration coefficients for "&amp;Client!B29 &amp; " serial number " &amp; Client!B30 &amp; " grouped by kVp"</f>
        <v>Figure 1: Calibration coefficients for IBA FC65-G serial number 457 grouped by kVp</v>
      </c>
      <c r="B237" s="1291"/>
      <c r="C237" s="1291"/>
      <c r="D237" s="1291"/>
      <c r="E237" s="1291"/>
      <c r="F237" s="1291"/>
      <c r="G237" s="1291"/>
      <c r="H237" s="1291"/>
      <c r="I237" s="1291"/>
      <c r="J237" s="1291"/>
      <c r="K237" s="1291"/>
      <c r="L237" s="1291"/>
      <c r="M237" s="1291"/>
      <c r="N237" s="1291"/>
      <c r="O237" s="1291"/>
      <c r="P237" s="1291"/>
      <c r="Q237" s="1291"/>
      <c r="R237" s="1291"/>
      <c r="S237" s="1291"/>
      <c r="T237" s="1291"/>
    </row>
    <row r="238" spans="1:20" ht="12.75" customHeight="1">
      <c r="A238" s="97"/>
      <c r="B238" s="97"/>
      <c r="C238" s="97"/>
      <c r="D238" s="97"/>
      <c r="E238" s="97"/>
      <c r="F238" s="97"/>
      <c r="G238" s="97"/>
      <c r="H238" s="97"/>
      <c r="I238" s="97"/>
      <c r="J238" s="97"/>
      <c r="K238" s="97"/>
      <c r="L238" s="97"/>
      <c r="M238" s="97"/>
      <c r="N238" s="97"/>
      <c r="O238" s="97"/>
      <c r="P238" s="97"/>
      <c r="Q238" s="97"/>
      <c r="R238" s="97"/>
    </row>
    <row r="239" spans="1:20">
      <c r="A239" s="97"/>
      <c r="B239" s="97"/>
      <c r="C239" s="97"/>
      <c r="D239" s="97"/>
      <c r="E239" s="97"/>
      <c r="F239" s="97"/>
      <c r="G239" s="97"/>
      <c r="H239" s="97"/>
      <c r="I239" s="97"/>
      <c r="J239" s="97"/>
      <c r="K239" s="97"/>
      <c r="L239" s="97"/>
      <c r="M239" s="97"/>
      <c r="N239" s="97"/>
      <c r="O239" s="97"/>
      <c r="P239" s="97"/>
      <c r="Q239" s="97"/>
      <c r="R239" s="97"/>
    </row>
    <row r="240" spans="1:20" ht="13.5" thickBot="1">
      <c r="A240" s="97"/>
      <c r="B240" s="97"/>
      <c r="C240" s="97"/>
      <c r="D240" s="97"/>
      <c r="E240" s="97"/>
      <c r="F240" s="97"/>
      <c r="G240" s="97"/>
      <c r="H240" s="97"/>
      <c r="I240" s="97"/>
      <c r="J240" s="97"/>
      <c r="K240" s="97"/>
      <c r="L240" s="97"/>
      <c r="M240" s="97"/>
      <c r="N240" s="97"/>
      <c r="O240" s="97"/>
      <c r="P240" s="97"/>
      <c r="Q240" s="97"/>
      <c r="R240" s="97"/>
    </row>
    <row r="241" spans="1:20">
      <c r="A241" s="416" t="str">
        <f>"Calibration No.: "&amp;$T$13</f>
        <v>Calibration No.: CAL11957/03</v>
      </c>
      <c r="B241" s="417"/>
      <c r="C241" s="417"/>
      <c r="D241" s="417"/>
      <c r="E241" s="417"/>
      <c r="F241" s="417"/>
      <c r="G241" s="417"/>
      <c r="H241" s="417"/>
      <c r="I241" s="418" t="str">
        <f>$G$33</f>
        <v>7 July 2021</v>
      </c>
      <c r="J241" s="417"/>
      <c r="K241" s="417"/>
      <c r="L241" s="417"/>
      <c r="M241" s="417"/>
      <c r="N241" s="416" t="s">
        <v>360</v>
      </c>
      <c r="O241" s="419"/>
      <c r="P241" s="944"/>
      <c r="Q241" s="419"/>
      <c r="R241" s="419"/>
      <c r="S241" s="419"/>
      <c r="T241" s="419" t="s">
        <v>583</v>
      </c>
    </row>
    <row r="242" spans="1:20">
      <c r="A242" s="97"/>
      <c r="B242" s="97"/>
      <c r="C242" s="97"/>
      <c r="D242" s="97"/>
      <c r="E242" s="97"/>
      <c r="F242" s="97"/>
      <c r="G242" s="97"/>
      <c r="H242" s="97"/>
      <c r="I242" s="97"/>
      <c r="J242" s="97"/>
      <c r="K242" s="97"/>
      <c r="L242" s="97"/>
      <c r="M242" s="97"/>
      <c r="N242" s="97"/>
      <c r="O242" s="97"/>
      <c r="P242" s="97"/>
      <c r="Q242" s="97"/>
      <c r="R242" s="97"/>
    </row>
    <row r="243" spans="1:20">
      <c r="A243" s="97"/>
      <c r="B243" s="97"/>
      <c r="C243" s="97"/>
      <c r="D243" s="97"/>
      <c r="E243" s="97"/>
      <c r="F243" s="97"/>
      <c r="G243" s="97"/>
      <c r="H243" s="97"/>
      <c r="I243" s="97"/>
      <c r="J243" s="97"/>
      <c r="K243" s="97"/>
      <c r="L243" s="97"/>
      <c r="M243" s="97"/>
      <c r="N243" s="97"/>
      <c r="O243" s="97"/>
      <c r="P243" s="97"/>
      <c r="Q243" s="97"/>
      <c r="R243" s="97"/>
    </row>
    <row r="244" spans="1:20">
      <c r="A244" s="97"/>
      <c r="B244" s="97"/>
      <c r="C244" s="97"/>
      <c r="D244" s="97"/>
      <c r="E244" s="97"/>
      <c r="F244" s="97"/>
      <c r="G244" s="97"/>
      <c r="H244" s="97"/>
      <c r="I244" s="97"/>
      <c r="J244" s="97"/>
      <c r="K244" s="97"/>
      <c r="L244" s="97"/>
      <c r="M244" s="97"/>
      <c r="N244" s="97"/>
      <c r="O244" s="97"/>
      <c r="P244" s="97"/>
      <c r="Q244" s="97"/>
      <c r="R244" s="97"/>
    </row>
    <row r="245" spans="1:20">
      <c r="A245" s="97"/>
      <c r="B245" s="97"/>
      <c r="C245" s="97"/>
      <c r="D245" s="97"/>
      <c r="E245" s="97"/>
      <c r="F245" s="97"/>
      <c r="G245" s="97"/>
      <c r="H245" s="97"/>
      <c r="I245" s="97"/>
      <c r="J245" s="97"/>
      <c r="K245" s="97"/>
      <c r="L245" s="97"/>
      <c r="M245" s="97"/>
      <c r="N245" s="97"/>
      <c r="O245" s="97"/>
      <c r="P245" s="97"/>
      <c r="Q245" s="97"/>
      <c r="R245" s="97"/>
    </row>
    <row r="246" spans="1:20">
      <c r="A246" s="97"/>
      <c r="B246" s="97"/>
      <c r="C246" s="97"/>
      <c r="D246" s="97"/>
      <c r="E246" s="97"/>
      <c r="F246" s="97"/>
      <c r="G246" s="97"/>
      <c r="H246" s="97"/>
      <c r="I246" s="97"/>
      <c r="J246" s="97"/>
      <c r="K246" s="97"/>
      <c r="L246" s="97"/>
      <c r="M246" s="97"/>
      <c r="N246" s="97"/>
      <c r="O246" s="97"/>
      <c r="P246" s="97"/>
      <c r="Q246" s="97"/>
      <c r="R246" s="97"/>
    </row>
    <row r="247" spans="1:20">
      <c r="A247" s="97"/>
      <c r="B247" s="97"/>
      <c r="C247" s="97"/>
      <c r="D247" s="97"/>
      <c r="E247" s="97"/>
      <c r="F247" s="97"/>
      <c r="G247" s="97"/>
      <c r="H247" s="97"/>
      <c r="I247" s="97"/>
      <c r="J247" s="97"/>
      <c r="K247" s="97"/>
      <c r="L247" s="97"/>
      <c r="M247" s="97"/>
      <c r="N247" s="97"/>
      <c r="O247" s="97"/>
      <c r="P247" s="97"/>
      <c r="Q247" s="97"/>
      <c r="R247" s="97"/>
    </row>
    <row r="248" spans="1:20">
      <c r="A248" s="97"/>
      <c r="B248" s="97"/>
      <c r="C248" s="97"/>
      <c r="D248" s="97"/>
      <c r="E248" s="97"/>
      <c r="F248" s="97"/>
      <c r="G248" s="97"/>
      <c r="H248" s="97"/>
      <c r="I248" s="97"/>
      <c r="J248" s="97"/>
      <c r="K248" s="97"/>
      <c r="L248" s="97"/>
      <c r="M248" s="97"/>
      <c r="N248" s="97"/>
      <c r="O248" s="97"/>
      <c r="P248" s="97"/>
      <c r="Q248" s="97"/>
      <c r="R248" s="97"/>
    </row>
    <row r="249" spans="1:20">
      <c r="A249" s="97"/>
      <c r="B249" s="97"/>
      <c r="C249" s="97"/>
      <c r="D249" s="97"/>
      <c r="E249" s="97"/>
      <c r="F249" s="97"/>
      <c r="G249" s="97"/>
      <c r="H249" s="97"/>
      <c r="I249" s="97"/>
      <c r="J249" s="97"/>
      <c r="K249" s="97"/>
      <c r="L249" s="97"/>
      <c r="M249" s="97"/>
      <c r="N249" s="97"/>
      <c r="O249" s="97"/>
      <c r="P249" s="97"/>
      <c r="Q249" s="97"/>
      <c r="R249" s="97"/>
    </row>
    <row r="250" spans="1:20">
      <c r="A250" s="97"/>
      <c r="B250" s="97"/>
      <c r="C250" s="97"/>
      <c r="D250" s="97"/>
      <c r="E250" s="97"/>
      <c r="F250" s="97"/>
      <c r="G250" s="97"/>
      <c r="H250" s="97"/>
      <c r="I250" s="97"/>
      <c r="J250" s="97"/>
      <c r="K250" s="97"/>
      <c r="L250" s="97"/>
      <c r="M250" s="97"/>
      <c r="N250" s="97"/>
      <c r="O250" s="97"/>
      <c r="P250" s="97"/>
      <c r="Q250" s="97"/>
      <c r="R250" s="97"/>
    </row>
    <row r="251" spans="1:20">
      <c r="A251" s="97"/>
      <c r="B251" s="97"/>
      <c r="C251" s="97"/>
      <c r="D251" s="97"/>
      <c r="E251" s="97"/>
      <c r="F251" s="97"/>
      <c r="G251" s="97"/>
      <c r="H251" s="97"/>
      <c r="I251" s="97"/>
      <c r="J251" s="97"/>
      <c r="K251" s="97"/>
      <c r="L251" s="97"/>
      <c r="M251" s="97"/>
      <c r="N251" s="97"/>
      <c r="O251" s="97"/>
      <c r="P251" s="97"/>
      <c r="Q251" s="97"/>
      <c r="R251" s="97"/>
    </row>
    <row r="252" spans="1:20">
      <c r="A252" s="97"/>
      <c r="B252" s="97"/>
      <c r="C252" s="97"/>
      <c r="D252" s="97"/>
      <c r="E252" s="97"/>
      <c r="F252" s="97"/>
      <c r="G252" s="97"/>
      <c r="H252" s="97"/>
      <c r="I252" s="97"/>
      <c r="J252" s="97"/>
      <c r="K252" s="97"/>
      <c r="L252" s="97"/>
      <c r="M252" s="97"/>
      <c r="N252" s="97"/>
      <c r="O252" s="97"/>
      <c r="P252" s="97"/>
      <c r="Q252" s="97"/>
      <c r="R252" s="97"/>
    </row>
    <row r="253" spans="1:20">
      <c r="A253" s="97"/>
      <c r="B253" s="97"/>
      <c r="C253" s="97"/>
      <c r="D253" s="97"/>
      <c r="E253" s="97"/>
      <c r="F253" s="97"/>
      <c r="G253" s="97"/>
      <c r="H253" s="97"/>
      <c r="I253" s="97"/>
      <c r="J253" s="97"/>
      <c r="K253" s="97"/>
      <c r="L253" s="97"/>
      <c r="M253" s="97"/>
      <c r="N253" s="97"/>
      <c r="O253" s="97"/>
      <c r="P253" s="97"/>
      <c r="Q253" s="97"/>
      <c r="R253" s="97"/>
    </row>
    <row r="254" spans="1:20">
      <c r="A254" s="97"/>
      <c r="B254" s="97"/>
      <c r="C254" s="97"/>
      <c r="D254" s="97"/>
      <c r="E254" s="97"/>
      <c r="F254" s="97"/>
      <c r="G254" s="97"/>
      <c r="H254" s="97"/>
      <c r="I254" s="97"/>
      <c r="J254" s="97"/>
      <c r="K254" s="97"/>
      <c r="L254" s="97"/>
      <c r="M254" s="97"/>
      <c r="N254" s="97"/>
      <c r="O254" s="97"/>
      <c r="P254" s="97"/>
      <c r="Q254" s="97"/>
      <c r="R254" s="97"/>
    </row>
    <row r="255" spans="1:20">
      <c r="A255" s="97"/>
      <c r="B255" s="97"/>
      <c r="C255" s="97"/>
      <c r="D255" s="97"/>
      <c r="E255" s="97"/>
      <c r="F255" s="97"/>
      <c r="G255" s="97"/>
      <c r="H255" s="97"/>
      <c r="I255" s="97"/>
      <c r="J255" s="97"/>
      <c r="K255" s="97"/>
      <c r="L255" s="97"/>
      <c r="M255" s="97"/>
      <c r="N255" s="97"/>
      <c r="O255" s="97"/>
      <c r="P255" s="97"/>
      <c r="Q255" s="97"/>
      <c r="R255" s="97"/>
    </row>
    <row r="256" spans="1:20">
      <c r="A256" s="97"/>
      <c r="B256" s="97"/>
      <c r="C256" s="97"/>
      <c r="D256" s="97"/>
      <c r="E256" s="97"/>
      <c r="F256" s="97"/>
      <c r="G256" s="97"/>
      <c r="H256" s="97"/>
      <c r="I256" s="97"/>
      <c r="J256" s="97"/>
      <c r="K256" s="97"/>
      <c r="L256" s="97"/>
      <c r="M256" s="97"/>
      <c r="N256" s="97"/>
      <c r="O256" s="97"/>
      <c r="P256" s="97"/>
      <c r="Q256" s="97"/>
      <c r="R256" s="97"/>
    </row>
    <row r="257" spans="1:20">
      <c r="A257" s="97"/>
      <c r="B257" s="97"/>
      <c r="C257" s="97"/>
      <c r="D257" s="97"/>
      <c r="E257" s="97"/>
      <c r="F257" s="97"/>
      <c r="G257" s="97"/>
      <c r="H257" s="97"/>
      <c r="I257" s="97"/>
      <c r="J257" s="97"/>
      <c r="K257" s="97"/>
      <c r="L257" s="97"/>
      <c r="M257" s="97"/>
      <c r="N257" s="97"/>
      <c r="O257" s="97"/>
      <c r="P257" s="97"/>
      <c r="Q257" s="97"/>
      <c r="R257" s="97"/>
    </row>
    <row r="258" spans="1:20">
      <c r="A258" s="97"/>
      <c r="B258" s="97"/>
      <c r="C258" s="97"/>
      <c r="D258" s="97"/>
      <c r="E258" s="97"/>
      <c r="F258" s="97"/>
      <c r="G258" s="97"/>
      <c r="H258" s="97"/>
      <c r="I258" s="97"/>
      <c r="J258" s="97"/>
      <c r="K258" s="97"/>
      <c r="L258" s="97"/>
      <c r="M258" s="97"/>
      <c r="N258" s="97"/>
      <c r="O258" s="97"/>
      <c r="P258" s="97"/>
      <c r="Q258" s="97"/>
      <c r="R258" s="97"/>
    </row>
    <row r="259" spans="1:20">
      <c r="A259" s="97"/>
      <c r="B259" s="97"/>
      <c r="C259" s="97"/>
      <c r="D259" s="97"/>
      <c r="E259" s="97"/>
      <c r="F259" s="97"/>
      <c r="G259" s="97"/>
      <c r="H259" s="97"/>
      <c r="I259" s="97"/>
      <c r="J259" s="97"/>
      <c r="K259" s="97"/>
      <c r="L259" s="97"/>
      <c r="M259" s="97"/>
      <c r="N259" s="97"/>
      <c r="O259" s="97"/>
      <c r="P259" s="97"/>
      <c r="Q259" s="97"/>
      <c r="R259" s="97"/>
    </row>
    <row r="260" spans="1:20">
      <c r="A260" s="97"/>
      <c r="B260" s="97"/>
      <c r="C260" s="97"/>
      <c r="D260" s="97"/>
      <c r="E260" s="97"/>
      <c r="F260" s="97"/>
      <c r="G260" s="97"/>
      <c r="H260" s="97"/>
      <c r="I260" s="97"/>
      <c r="J260" s="97"/>
      <c r="K260" s="97"/>
      <c r="L260" s="97"/>
      <c r="M260" s="97"/>
      <c r="N260" s="97"/>
      <c r="O260" s="97"/>
      <c r="P260" s="97"/>
      <c r="Q260" s="97"/>
      <c r="R260" s="97"/>
    </row>
    <row r="261" spans="1:20">
      <c r="A261" s="97"/>
      <c r="B261" s="97"/>
      <c r="C261" s="97"/>
      <c r="D261" s="97"/>
      <c r="E261" s="97"/>
      <c r="F261" s="97"/>
      <c r="G261" s="97"/>
      <c r="H261" s="97"/>
      <c r="I261" s="97"/>
      <c r="J261" s="97"/>
      <c r="K261" s="97"/>
      <c r="L261" s="97"/>
      <c r="M261" s="97"/>
      <c r="N261" s="97"/>
      <c r="O261" s="97"/>
      <c r="P261" s="97"/>
      <c r="Q261" s="97"/>
      <c r="R261" s="97"/>
    </row>
    <row r="262" spans="1:20">
      <c r="A262" s="97"/>
      <c r="B262" s="97"/>
      <c r="C262" s="97"/>
      <c r="D262" s="97"/>
      <c r="E262" s="97"/>
      <c r="F262" s="97"/>
      <c r="G262" s="97"/>
      <c r="H262" s="97"/>
      <c r="I262" s="97"/>
      <c r="J262" s="97"/>
      <c r="K262" s="97"/>
      <c r="L262" s="97"/>
      <c r="M262" s="97"/>
      <c r="N262" s="97"/>
      <c r="O262" s="97"/>
      <c r="P262" s="97"/>
      <c r="Q262" s="97"/>
      <c r="R262" s="97"/>
    </row>
    <row r="263" spans="1:20">
      <c r="A263" s="97"/>
      <c r="B263" s="97"/>
      <c r="C263" s="97"/>
      <c r="D263" s="97"/>
      <c r="E263" s="97"/>
      <c r="F263" s="97"/>
      <c r="G263" s="97"/>
      <c r="H263" s="97"/>
      <c r="I263" s="97"/>
      <c r="J263" s="97"/>
      <c r="K263" s="97"/>
      <c r="L263" s="97"/>
      <c r="M263" s="97"/>
      <c r="N263" s="97"/>
      <c r="O263" s="97"/>
      <c r="P263" s="97"/>
      <c r="Q263" s="97"/>
      <c r="R263" s="97"/>
    </row>
    <row r="264" spans="1:20">
      <c r="A264" s="97"/>
      <c r="B264" s="97"/>
      <c r="C264" s="97"/>
      <c r="D264" s="97"/>
      <c r="E264" s="97"/>
      <c r="F264" s="97"/>
      <c r="G264" s="97"/>
      <c r="H264" s="97"/>
      <c r="I264" s="97"/>
      <c r="J264" s="97"/>
      <c r="K264" s="97"/>
      <c r="L264" s="97"/>
      <c r="M264" s="97"/>
      <c r="N264" s="97"/>
      <c r="O264" s="97"/>
      <c r="P264" s="97"/>
      <c r="Q264" s="97"/>
      <c r="R264" s="97"/>
    </row>
    <row r="265" spans="1:20" ht="15">
      <c r="A265" s="1291" t="str">
        <f>"Figure 2: Calibration coefficients for "&amp;Client!$B$29 &amp; " serial number " &amp; Client!$B$30 &amp; " versus HVL (mm Al)"</f>
        <v>Figure 2: Calibration coefficients for IBA FC65-G serial number 457 versus HVL (mm Al)</v>
      </c>
      <c r="B265" s="1291"/>
      <c r="C265" s="1291"/>
      <c r="D265" s="1291"/>
      <c r="E265" s="1291"/>
      <c r="F265" s="1291"/>
      <c r="G265" s="1291"/>
      <c r="H265" s="1291"/>
      <c r="I265" s="1291"/>
      <c r="J265" s="1291"/>
      <c r="K265" s="1291"/>
      <c r="L265" s="1291"/>
      <c r="M265" s="1291"/>
      <c r="N265" s="1291"/>
      <c r="O265" s="1291"/>
      <c r="P265" s="1291"/>
      <c r="Q265" s="1291"/>
      <c r="R265" s="1291"/>
      <c r="S265" s="1291"/>
      <c r="T265" s="1291"/>
    </row>
    <row r="266" spans="1:20">
      <c r="A266" s="97"/>
      <c r="B266" s="97"/>
      <c r="C266" s="97"/>
      <c r="D266" s="97"/>
      <c r="E266" s="97"/>
      <c r="F266" s="97"/>
      <c r="G266" s="97"/>
      <c r="H266" s="97"/>
      <c r="I266" s="97"/>
      <c r="J266" s="97"/>
      <c r="K266" s="97"/>
      <c r="L266" s="97"/>
      <c r="M266" s="97"/>
      <c r="N266" s="97"/>
      <c r="O266" s="97"/>
      <c r="P266" s="97"/>
      <c r="Q266" s="97"/>
      <c r="R266" s="97"/>
    </row>
    <row r="267" spans="1:20">
      <c r="A267" s="97"/>
      <c r="B267" s="97"/>
      <c r="C267" s="97"/>
      <c r="D267" s="97"/>
      <c r="E267" s="97"/>
      <c r="F267" s="97"/>
      <c r="G267" s="97"/>
      <c r="H267" s="97"/>
      <c r="I267" s="97"/>
      <c r="J267" s="97"/>
      <c r="K267" s="97"/>
      <c r="L267" s="97"/>
      <c r="M267" s="97"/>
      <c r="N267" s="97"/>
      <c r="O267" s="97"/>
      <c r="P267" s="97"/>
      <c r="Q267" s="97"/>
      <c r="R267" s="97"/>
    </row>
    <row r="268" spans="1:20">
      <c r="A268" s="97"/>
      <c r="B268" s="97"/>
      <c r="C268" s="97"/>
      <c r="D268" s="97"/>
      <c r="E268" s="97"/>
      <c r="F268" s="97"/>
      <c r="G268" s="97"/>
      <c r="H268" s="97"/>
      <c r="I268" s="97"/>
      <c r="J268" s="97"/>
      <c r="K268" s="97"/>
      <c r="L268" s="97"/>
      <c r="M268" s="97"/>
      <c r="N268" s="97"/>
      <c r="O268" s="97"/>
      <c r="P268" s="97"/>
      <c r="Q268" s="97"/>
      <c r="R268" s="97"/>
    </row>
    <row r="269" spans="1:20">
      <c r="A269" s="97"/>
      <c r="B269" s="97"/>
      <c r="C269" s="97"/>
      <c r="D269" s="97"/>
      <c r="E269" s="97"/>
      <c r="F269" s="97"/>
      <c r="G269" s="97"/>
      <c r="H269" s="97"/>
      <c r="I269" s="97"/>
      <c r="J269" s="97"/>
      <c r="K269" s="97"/>
      <c r="L269" s="97"/>
      <c r="M269" s="97"/>
      <c r="N269" s="97"/>
      <c r="O269" s="97"/>
      <c r="P269" s="97"/>
      <c r="Q269" s="97"/>
      <c r="R269" s="97"/>
    </row>
    <row r="270" spans="1:20">
      <c r="A270" s="97"/>
      <c r="B270" s="97"/>
      <c r="C270" s="97"/>
      <c r="D270" s="97"/>
      <c r="E270" s="97"/>
      <c r="F270" s="97"/>
      <c r="G270" s="97"/>
      <c r="H270" s="97"/>
      <c r="I270" s="97"/>
      <c r="J270" s="97"/>
      <c r="K270" s="97"/>
      <c r="L270" s="97"/>
      <c r="M270" s="97"/>
      <c r="N270" s="97"/>
      <c r="O270" s="97"/>
      <c r="P270" s="97"/>
      <c r="Q270" s="97"/>
      <c r="R270" s="97"/>
    </row>
    <row r="271" spans="1:20">
      <c r="A271" s="97"/>
      <c r="B271" s="97"/>
      <c r="C271" s="97"/>
      <c r="D271" s="97"/>
      <c r="E271" s="97"/>
      <c r="F271" s="97"/>
      <c r="G271" s="97"/>
      <c r="H271" s="97"/>
      <c r="I271" s="97"/>
      <c r="J271" s="97"/>
      <c r="K271" s="97"/>
      <c r="L271" s="97"/>
      <c r="M271" s="97"/>
      <c r="N271" s="97"/>
      <c r="O271" s="97"/>
      <c r="P271" s="97"/>
      <c r="Q271" s="97"/>
      <c r="R271" s="97"/>
    </row>
    <row r="272" spans="1:20">
      <c r="A272" s="97"/>
      <c r="B272" s="97"/>
      <c r="C272" s="97"/>
      <c r="D272" s="97"/>
      <c r="E272" s="97"/>
      <c r="F272" s="97"/>
      <c r="G272" s="97"/>
      <c r="H272" s="97"/>
      <c r="I272" s="97"/>
      <c r="J272" s="97"/>
      <c r="K272" s="97"/>
      <c r="L272" s="97"/>
      <c r="M272" s="97"/>
      <c r="N272" s="97"/>
      <c r="O272" s="97"/>
      <c r="P272" s="97"/>
      <c r="Q272" s="97"/>
      <c r="R272" s="97"/>
    </row>
    <row r="273" spans="1:18">
      <c r="A273" s="97"/>
      <c r="B273" s="97"/>
      <c r="C273" s="97"/>
      <c r="D273" s="97"/>
      <c r="E273" s="97"/>
      <c r="F273" s="97"/>
      <c r="G273" s="97"/>
      <c r="H273" s="97"/>
      <c r="I273" s="97"/>
      <c r="J273" s="97"/>
      <c r="K273" s="97"/>
      <c r="L273" s="97"/>
      <c r="M273" s="97"/>
      <c r="N273" s="97"/>
      <c r="O273" s="97"/>
      <c r="P273" s="97"/>
      <c r="Q273" s="97"/>
      <c r="R273" s="97"/>
    </row>
    <row r="274" spans="1:18">
      <c r="A274" s="97"/>
      <c r="B274" s="97"/>
      <c r="C274" s="97"/>
      <c r="D274" s="97"/>
      <c r="E274" s="97"/>
      <c r="F274" s="97"/>
      <c r="G274" s="97"/>
      <c r="H274" s="97"/>
      <c r="I274" s="97"/>
      <c r="J274" s="97"/>
      <c r="K274" s="97"/>
      <c r="L274" s="97"/>
      <c r="M274" s="97"/>
      <c r="N274" s="97"/>
      <c r="O274" s="97"/>
      <c r="P274" s="97"/>
      <c r="Q274" s="97"/>
      <c r="R274" s="97"/>
    </row>
    <row r="275" spans="1:18">
      <c r="A275" s="97"/>
      <c r="B275" s="97"/>
      <c r="C275" s="97"/>
      <c r="D275" s="97"/>
      <c r="E275" s="97"/>
      <c r="F275" s="97"/>
      <c r="G275" s="97"/>
      <c r="H275" s="97"/>
      <c r="I275" s="97"/>
      <c r="J275" s="97"/>
      <c r="K275" s="97"/>
      <c r="L275" s="97"/>
      <c r="M275" s="97"/>
      <c r="N275" s="97"/>
      <c r="O275" s="97"/>
      <c r="P275" s="97"/>
      <c r="Q275" s="97"/>
      <c r="R275" s="97"/>
    </row>
    <row r="276" spans="1:18">
      <c r="A276" s="97"/>
      <c r="B276" s="97"/>
      <c r="C276" s="97"/>
      <c r="D276" s="97"/>
      <c r="E276" s="97"/>
      <c r="F276" s="97"/>
      <c r="G276" s="97"/>
      <c r="H276" s="97"/>
      <c r="I276" s="97"/>
      <c r="J276" s="97"/>
      <c r="K276" s="97"/>
      <c r="L276" s="97"/>
      <c r="M276" s="97"/>
      <c r="N276" s="97"/>
      <c r="O276" s="97"/>
      <c r="P276" s="97"/>
      <c r="Q276" s="97"/>
      <c r="R276" s="97"/>
    </row>
    <row r="277" spans="1:18">
      <c r="A277" s="97"/>
      <c r="B277" s="97"/>
      <c r="C277" s="97"/>
      <c r="D277" s="97"/>
      <c r="E277" s="97"/>
      <c r="F277" s="97"/>
      <c r="G277" s="97"/>
      <c r="H277" s="97"/>
      <c r="I277" s="97"/>
      <c r="J277" s="97"/>
      <c r="K277" s="97"/>
      <c r="L277" s="97"/>
      <c r="M277" s="97"/>
      <c r="N277" s="97"/>
      <c r="O277" s="97"/>
      <c r="P277" s="97"/>
      <c r="Q277" s="97"/>
      <c r="R277" s="97"/>
    </row>
    <row r="278" spans="1:18">
      <c r="A278" s="97"/>
      <c r="B278" s="97"/>
      <c r="C278" s="97"/>
      <c r="D278" s="97"/>
      <c r="E278" s="97"/>
      <c r="F278" s="97"/>
      <c r="G278" s="97"/>
      <c r="H278" s="97"/>
      <c r="I278" s="97"/>
      <c r="J278" s="97"/>
      <c r="K278" s="97"/>
      <c r="L278" s="97"/>
      <c r="M278" s="97"/>
      <c r="N278" s="97"/>
      <c r="O278" s="97"/>
      <c r="P278" s="97"/>
      <c r="Q278" s="97"/>
      <c r="R278" s="97"/>
    </row>
    <row r="279" spans="1:18">
      <c r="A279" s="97"/>
      <c r="B279" s="97"/>
      <c r="C279" s="97"/>
      <c r="D279" s="97"/>
      <c r="E279" s="97"/>
      <c r="F279" s="97"/>
      <c r="G279" s="97"/>
      <c r="H279" s="97"/>
      <c r="I279" s="97"/>
      <c r="J279" s="97"/>
      <c r="K279" s="97"/>
      <c r="L279" s="97"/>
      <c r="M279" s="97"/>
      <c r="N279" s="97"/>
      <c r="O279" s="97"/>
      <c r="P279" s="97"/>
      <c r="Q279" s="97"/>
      <c r="R279" s="97"/>
    </row>
    <row r="280" spans="1:18">
      <c r="A280" s="97"/>
      <c r="B280" s="97"/>
      <c r="C280" s="97"/>
      <c r="D280" s="97"/>
      <c r="E280" s="97"/>
      <c r="F280" s="97"/>
      <c r="G280" s="97"/>
      <c r="H280" s="97"/>
      <c r="I280" s="97"/>
      <c r="J280" s="97"/>
      <c r="K280" s="97"/>
      <c r="L280" s="97"/>
      <c r="M280" s="97"/>
      <c r="N280" s="97"/>
      <c r="O280" s="97"/>
      <c r="P280" s="97"/>
      <c r="Q280" s="97"/>
      <c r="R280" s="97"/>
    </row>
    <row r="281" spans="1:18">
      <c r="A281" s="97"/>
      <c r="B281" s="97"/>
      <c r="C281" s="97"/>
      <c r="D281" s="97"/>
      <c r="E281" s="97"/>
      <c r="F281" s="97"/>
      <c r="G281" s="97"/>
      <c r="H281" s="97"/>
      <c r="I281" s="97"/>
      <c r="J281" s="97"/>
      <c r="K281" s="97"/>
      <c r="L281" s="97"/>
      <c r="M281" s="97"/>
      <c r="N281" s="97"/>
      <c r="O281" s="97"/>
      <c r="P281" s="97"/>
      <c r="Q281" s="97"/>
      <c r="R281" s="97"/>
    </row>
    <row r="282" spans="1:18">
      <c r="A282" s="97"/>
      <c r="B282" s="97"/>
      <c r="C282" s="97"/>
      <c r="D282" s="97"/>
      <c r="E282" s="97"/>
      <c r="F282" s="97"/>
      <c r="G282" s="97"/>
      <c r="H282" s="97"/>
      <c r="I282" s="97"/>
      <c r="J282" s="97"/>
      <c r="K282" s="97"/>
      <c r="L282" s="97"/>
      <c r="M282" s="97"/>
      <c r="N282" s="97"/>
      <c r="O282" s="97"/>
      <c r="P282" s="97"/>
      <c r="Q282" s="97"/>
      <c r="R282" s="97"/>
    </row>
    <row r="283" spans="1:18">
      <c r="A283" s="97"/>
      <c r="B283" s="97"/>
      <c r="C283" s="97"/>
      <c r="D283" s="97"/>
      <c r="E283" s="97"/>
      <c r="F283" s="97"/>
      <c r="G283" s="97"/>
      <c r="H283" s="97"/>
      <c r="I283" s="97"/>
      <c r="J283" s="97"/>
      <c r="K283" s="97"/>
      <c r="L283" s="97"/>
      <c r="M283" s="97"/>
      <c r="N283" s="97"/>
      <c r="O283" s="97"/>
      <c r="P283" s="97"/>
      <c r="Q283" s="97"/>
      <c r="R283" s="97"/>
    </row>
    <row r="284" spans="1:18">
      <c r="A284" s="97"/>
      <c r="B284" s="97"/>
      <c r="C284" s="97"/>
      <c r="D284" s="97"/>
      <c r="E284" s="97"/>
      <c r="F284" s="97"/>
      <c r="G284" s="97"/>
      <c r="H284" s="97"/>
      <c r="I284" s="97"/>
      <c r="J284" s="97"/>
      <c r="K284" s="97"/>
      <c r="L284" s="97"/>
      <c r="M284" s="97"/>
      <c r="N284" s="97"/>
      <c r="O284" s="97"/>
      <c r="P284" s="97"/>
      <c r="Q284" s="97"/>
      <c r="R284" s="97"/>
    </row>
    <row r="285" spans="1:18">
      <c r="A285" s="97"/>
      <c r="B285" s="97"/>
      <c r="C285" s="97"/>
      <c r="D285" s="97"/>
      <c r="E285" s="97"/>
      <c r="F285" s="97"/>
      <c r="G285" s="97"/>
      <c r="H285" s="97"/>
      <c r="I285" s="97"/>
      <c r="J285" s="97"/>
      <c r="K285" s="97"/>
      <c r="L285" s="97"/>
      <c r="M285" s="97"/>
      <c r="N285" s="97"/>
      <c r="O285" s="97"/>
      <c r="P285" s="97"/>
      <c r="Q285" s="97"/>
      <c r="R285" s="97"/>
    </row>
    <row r="286" spans="1:18">
      <c r="A286" s="97"/>
      <c r="B286" s="97"/>
      <c r="C286" s="97"/>
      <c r="D286" s="97"/>
      <c r="E286" s="97"/>
      <c r="F286" s="97"/>
      <c r="G286" s="97"/>
      <c r="H286" s="97"/>
      <c r="I286" s="97"/>
      <c r="J286" s="97"/>
      <c r="K286" s="97"/>
      <c r="L286" s="97"/>
      <c r="M286" s="97"/>
      <c r="N286" s="97"/>
      <c r="O286" s="97"/>
      <c r="P286" s="97"/>
      <c r="Q286" s="97"/>
      <c r="R286" s="97"/>
    </row>
    <row r="287" spans="1:18">
      <c r="A287" s="97"/>
      <c r="B287" s="97"/>
      <c r="C287" s="97"/>
      <c r="D287" s="97"/>
      <c r="E287" s="97"/>
      <c r="F287" s="97"/>
      <c r="G287" s="97"/>
      <c r="H287" s="97"/>
      <c r="I287" s="97"/>
      <c r="J287" s="97"/>
      <c r="K287" s="97"/>
      <c r="L287" s="97"/>
      <c r="M287" s="97"/>
      <c r="N287" s="97"/>
      <c r="O287" s="97"/>
      <c r="P287" s="97"/>
      <c r="Q287" s="97"/>
      <c r="R287" s="97"/>
    </row>
    <row r="288" spans="1:18">
      <c r="A288" s="97"/>
      <c r="B288" s="97"/>
      <c r="C288" s="97"/>
      <c r="D288" s="97"/>
      <c r="E288" s="97"/>
      <c r="F288" s="97"/>
      <c r="G288" s="97"/>
      <c r="H288" s="97"/>
      <c r="I288" s="97"/>
      <c r="J288" s="97"/>
      <c r="K288" s="97"/>
      <c r="L288" s="97"/>
      <c r="M288" s="97"/>
      <c r="N288" s="97"/>
      <c r="O288" s="97"/>
      <c r="P288" s="97"/>
      <c r="Q288" s="97"/>
      <c r="R288" s="97"/>
    </row>
    <row r="289" spans="1:20">
      <c r="A289" s="97"/>
      <c r="B289" s="97"/>
      <c r="C289" s="97"/>
      <c r="D289" s="97"/>
      <c r="E289" s="97"/>
      <c r="F289" s="97"/>
      <c r="G289" s="97"/>
      <c r="H289" s="97"/>
      <c r="I289" s="97"/>
      <c r="J289" s="97"/>
      <c r="K289" s="97"/>
      <c r="L289" s="97"/>
      <c r="M289" s="97"/>
      <c r="N289" s="97"/>
      <c r="O289" s="97"/>
      <c r="P289" s="97"/>
      <c r="Q289" s="97"/>
      <c r="R289" s="97"/>
    </row>
    <row r="290" spans="1:20">
      <c r="A290" s="97"/>
      <c r="B290" s="97"/>
      <c r="C290" s="97"/>
      <c r="D290" s="97"/>
      <c r="E290" s="97"/>
      <c r="F290" s="97"/>
      <c r="G290" s="97"/>
      <c r="H290" s="97"/>
      <c r="I290" s="97"/>
      <c r="J290" s="97"/>
      <c r="K290" s="97"/>
      <c r="L290" s="97"/>
      <c r="M290" s="97"/>
      <c r="N290" s="97"/>
      <c r="O290" s="97"/>
      <c r="P290" s="97"/>
      <c r="Q290" s="97"/>
      <c r="R290" s="97"/>
    </row>
    <row r="291" spans="1:20">
      <c r="A291" s="97"/>
      <c r="B291" s="97"/>
      <c r="C291" s="97"/>
      <c r="D291" s="97"/>
      <c r="E291" s="97"/>
      <c r="F291" s="97"/>
      <c r="G291" s="97"/>
      <c r="H291" s="97"/>
      <c r="I291" s="97"/>
      <c r="J291" s="97"/>
      <c r="K291" s="97"/>
      <c r="L291" s="97"/>
      <c r="M291" s="97"/>
      <c r="N291" s="97"/>
      <c r="O291" s="97"/>
      <c r="P291" s="97"/>
      <c r="Q291" s="97"/>
      <c r="R291" s="97"/>
    </row>
    <row r="292" spans="1:20" ht="15">
      <c r="A292" s="1291" t="str">
        <f>"Figure 3: Calibration coefficients for "&amp;Client!$B$29 &amp; " serial number " &amp; Client!$B$30 &amp; " versus HVL (mm Cu)"</f>
        <v>Figure 3: Calibration coefficients for IBA FC65-G serial number 457 versus HVL (mm Cu)</v>
      </c>
      <c r="B292" s="1291"/>
      <c r="C292" s="1291"/>
      <c r="D292" s="1291"/>
      <c r="E292" s="1291"/>
      <c r="F292" s="1291"/>
      <c r="G292" s="1291"/>
      <c r="H292" s="1291"/>
      <c r="I292" s="1291"/>
      <c r="J292" s="1291"/>
      <c r="K292" s="1291"/>
      <c r="L292" s="1291"/>
      <c r="M292" s="1291"/>
      <c r="N292" s="1291"/>
      <c r="O292" s="1291"/>
      <c r="P292" s="1291"/>
      <c r="Q292" s="1291"/>
      <c r="R292" s="1291"/>
      <c r="S292" s="1291"/>
      <c r="T292" s="1291"/>
    </row>
    <row r="293" spans="1:20">
      <c r="A293" s="97"/>
      <c r="B293" s="97"/>
      <c r="C293" s="97"/>
      <c r="D293" s="97"/>
      <c r="E293" s="97"/>
      <c r="F293" s="97"/>
      <c r="G293" s="97"/>
      <c r="H293" s="97"/>
      <c r="I293" s="97"/>
      <c r="J293" s="97"/>
      <c r="K293" s="97"/>
      <c r="L293" s="97"/>
      <c r="M293" s="97"/>
      <c r="N293" s="97"/>
      <c r="O293" s="97"/>
      <c r="P293" s="97"/>
      <c r="Q293" s="97"/>
      <c r="R293" s="97"/>
    </row>
    <row r="294" spans="1:20">
      <c r="A294" s="97"/>
      <c r="B294" s="97"/>
      <c r="C294" s="97"/>
      <c r="D294" s="97"/>
      <c r="E294" s="97"/>
      <c r="F294" s="97"/>
      <c r="G294" s="97"/>
      <c r="H294" s="97"/>
      <c r="I294" s="97"/>
      <c r="J294" s="97"/>
      <c r="K294" s="97"/>
      <c r="L294" s="97"/>
      <c r="M294" s="97"/>
      <c r="N294" s="97"/>
      <c r="O294" s="97"/>
      <c r="P294" s="97"/>
      <c r="Q294" s="97"/>
      <c r="R294" s="97"/>
    </row>
    <row r="296" spans="1:20">
      <c r="A296" s="97"/>
      <c r="B296" s="97"/>
      <c r="C296" s="97"/>
      <c r="D296" s="97"/>
      <c r="E296" s="97"/>
      <c r="F296" s="97"/>
      <c r="G296" s="97"/>
      <c r="H296" s="97"/>
      <c r="I296" s="97"/>
      <c r="J296" s="97"/>
      <c r="K296" s="97"/>
      <c r="L296" s="97"/>
      <c r="M296" s="97"/>
      <c r="N296" s="97"/>
      <c r="O296" s="97"/>
      <c r="P296" s="97"/>
      <c r="Q296" s="97"/>
      <c r="R296" s="97"/>
    </row>
    <row r="297" spans="1:20">
      <c r="A297" s="97"/>
      <c r="B297" s="97"/>
      <c r="C297" s="97"/>
      <c r="D297" s="97"/>
      <c r="E297" s="97"/>
      <c r="F297" s="97"/>
      <c r="G297" s="97"/>
      <c r="H297" s="97"/>
      <c r="I297" s="97"/>
      <c r="J297" s="97"/>
      <c r="K297" s="97"/>
      <c r="L297" s="97"/>
      <c r="M297" s="97"/>
      <c r="N297" s="97"/>
      <c r="O297" s="97"/>
      <c r="P297" s="97"/>
      <c r="Q297" s="97"/>
      <c r="R297" s="97"/>
    </row>
    <row r="298" spans="1:20">
      <c r="A298" s="97"/>
      <c r="B298" s="97"/>
      <c r="C298" s="97"/>
      <c r="D298" s="97"/>
      <c r="E298" s="97"/>
      <c r="F298" s="97"/>
      <c r="G298" s="97"/>
      <c r="H298" s="97"/>
      <c r="I298" s="97"/>
      <c r="J298" s="97"/>
      <c r="K298" s="97"/>
      <c r="L298" s="97"/>
      <c r="M298" s="97"/>
      <c r="N298" s="97"/>
      <c r="O298" s="97"/>
      <c r="P298" s="97"/>
      <c r="Q298" s="97"/>
      <c r="R298" s="97"/>
    </row>
    <row r="299" spans="1:20">
      <c r="A299" s="97"/>
      <c r="B299" s="97"/>
      <c r="C299" s="97"/>
      <c r="D299" s="97"/>
      <c r="E299" s="97"/>
      <c r="F299" s="97"/>
      <c r="G299" s="97"/>
      <c r="H299" s="97"/>
      <c r="I299" s="97"/>
      <c r="J299" s="97"/>
      <c r="K299" s="97"/>
      <c r="L299" s="97"/>
      <c r="M299" s="97"/>
      <c r="N299" s="97"/>
      <c r="O299" s="97"/>
      <c r="P299" s="97"/>
      <c r="Q299" s="97"/>
      <c r="R299" s="97"/>
    </row>
    <row r="300" spans="1:20" ht="19.5" customHeight="1">
      <c r="A300" s="97"/>
      <c r="B300" s="97"/>
      <c r="C300" s="97"/>
      <c r="D300" s="97"/>
      <c r="E300" s="97"/>
      <c r="F300" s="97"/>
      <c r="G300" s="97"/>
      <c r="H300" s="97"/>
      <c r="I300" s="97"/>
      <c r="J300" s="97"/>
      <c r="K300" s="97"/>
      <c r="L300" s="97"/>
      <c r="M300" s="97"/>
      <c r="N300" s="97"/>
      <c r="O300" s="97"/>
      <c r="P300" s="97"/>
      <c r="Q300" s="97"/>
      <c r="R300" s="97"/>
    </row>
    <row r="301" spans="1:20">
      <c r="A301" s="97"/>
      <c r="B301" s="97"/>
      <c r="C301" s="97"/>
      <c r="D301" s="97"/>
      <c r="E301" s="97"/>
      <c r="F301" s="97"/>
      <c r="G301" s="97"/>
      <c r="H301" s="97"/>
      <c r="I301" s="97"/>
      <c r="J301" s="97"/>
      <c r="K301" s="97"/>
      <c r="L301" s="97"/>
      <c r="M301" s="97"/>
      <c r="N301" s="97"/>
      <c r="O301" s="97"/>
      <c r="P301" s="97"/>
      <c r="Q301" s="97"/>
      <c r="R301" s="97"/>
    </row>
    <row r="302" spans="1:20" ht="13.5" thickBot="1">
      <c r="A302" s="97"/>
      <c r="B302" s="97"/>
      <c r="C302" s="97"/>
      <c r="D302" s="97"/>
      <c r="E302" s="97"/>
      <c r="F302" s="97"/>
      <c r="G302" s="97"/>
      <c r="H302" s="97"/>
      <c r="I302" s="97"/>
      <c r="J302" s="97"/>
      <c r="K302" s="97"/>
      <c r="L302" s="97"/>
      <c r="M302" s="97"/>
      <c r="N302" s="97"/>
      <c r="O302" s="97"/>
      <c r="P302" s="97"/>
      <c r="Q302" s="97"/>
      <c r="R302" s="97"/>
    </row>
    <row r="303" spans="1:20">
      <c r="A303" s="416" t="str">
        <f>"Calibration No.: "&amp;$T$13</f>
        <v>Calibration No.: CAL11957/03</v>
      </c>
      <c r="B303" s="417"/>
      <c r="C303" s="417"/>
      <c r="D303" s="417"/>
      <c r="E303" s="417"/>
      <c r="F303" s="417"/>
      <c r="G303" s="417"/>
      <c r="H303" s="417"/>
      <c r="I303" s="418" t="str">
        <f>$G$33</f>
        <v>7 July 2021</v>
      </c>
      <c r="J303" s="417"/>
      <c r="K303" s="417"/>
      <c r="L303" s="417"/>
      <c r="M303" s="417"/>
      <c r="N303" s="416" t="s">
        <v>360</v>
      </c>
      <c r="O303" s="419"/>
      <c r="P303" s="944"/>
      <c r="Q303" s="419"/>
      <c r="R303" s="419"/>
      <c r="S303" s="419"/>
      <c r="T303" s="419" t="s">
        <v>574</v>
      </c>
    </row>
    <row r="304" spans="1:20">
      <c r="A304" s="97"/>
      <c r="B304" s="97"/>
      <c r="C304" s="97"/>
      <c r="D304" s="97"/>
      <c r="E304" s="97"/>
      <c r="F304" s="97"/>
      <c r="G304" s="97"/>
      <c r="H304" s="97"/>
      <c r="I304" s="97"/>
      <c r="J304" s="97"/>
      <c r="K304" s="97"/>
      <c r="L304" s="97"/>
      <c r="M304" s="97"/>
      <c r="N304" s="97"/>
      <c r="O304" s="97"/>
      <c r="P304" s="97"/>
      <c r="Q304" s="97"/>
      <c r="R304" s="97"/>
    </row>
    <row r="305" spans="1:18">
      <c r="A305" s="97"/>
      <c r="B305" s="97"/>
      <c r="C305" s="97"/>
      <c r="D305" s="97"/>
      <c r="E305" s="97"/>
      <c r="F305" s="97"/>
      <c r="G305" s="97"/>
      <c r="H305" s="97"/>
      <c r="I305" s="97"/>
      <c r="J305" s="97"/>
      <c r="K305" s="97"/>
      <c r="L305" s="97"/>
      <c r="M305" s="97"/>
      <c r="N305" s="97"/>
      <c r="O305" s="97"/>
      <c r="P305" s="97"/>
      <c r="Q305" s="97"/>
      <c r="R305" s="97"/>
    </row>
    <row r="306" spans="1:18">
      <c r="A306" s="97"/>
      <c r="B306" s="97"/>
      <c r="C306" s="97"/>
      <c r="D306" s="97"/>
      <c r="E306" s="97"/>
      <c r="F306" s="97"/>
      <c r="G306" s="97"/>
      <c r="H306" s="97"/>
      <c r="I306" s="97"/>
      <c r="J306" s="97"/>
      <c r="K306" s="97"/>
      <c r="L306" s="97"/>
      <c r="M306" s="97"/>
      <c r="N306" s="97"/>
      <c r="O306" s="97"/>
      <c r="P306" s="97"/>
      <c r="Q306" s="97"/>
      <c r="R306" s="97"/>
    </row>
    <row r="307" spans="1:18">
      <c r="A307" s="97"/>
      <c r="B307" s="97"/>
      <c r="C307" s="97"/>
      <c r="D307" s="97"/>
      <c r="E307" s="97"/>
      <c r="F307" s="97"/>
      <c r="G307" s="97"/>
      <c r="H307" s="97"/>
      <c r="I307" s="97"/>
      <c r="J307" s="97"/>
      <c r="K307" s="97"/>
      <c r="L307" s="97"/>
      <c r="M307" s="97"/>
      <c r="N307" s="97"/>
      <c r="O307" s="97"/>
      <c r="P307" s="97"/>
      <c r="Q307" s="97"/>
      <c r="R307" s="97"/>
    </row>
    <row r="308" spans="1:18">
      <c r="A308" s="97"/>
      <c r="B308" s="97"/>
      <c r="C308" s="97"/>
      <c r="D308" s="97"/>
      <c r="E308" s="97"/>
      <c r="F308" s="97"/>
      <c r="G308" s="97"/>
      <c r="H308" s="97"/>
      <c r="I308" s="97"/>
      <c r="J308" s="97"/>
      <c r="K308" s="97"/>
      <c r="L308" s="97"/>
      <c r="M308" s="97"/>
      <c r="N308" s="97"/>
      <c r="O308" s="97"/>
      <c r="P308" s="97"/>
      <c r="Q308" s="97"/>
      <c r="R308" s="97"/>
    </row>
    <row r="309" spans="1:18">
      <c r="A309" s="97"/>
      <c r="B309" s="97"/>
      <c r="C309" s="97"/>
      <c r="D309" s="97"/>
      <c r="E309" s="97"/>
      <c r="F309" s="97"/>
      <c r="G309" s="97"/>
      <c r="H309" s="97"/>
      <c r="I309" s="97"/>
      <c r="J309" s="97"/>
      <c r="K309" s="97"/>
      <c r="L309" s="97"/>
      <c r="M309" s="97"/>
      <c r="N309" s="97"/>
      <c r="O309" s="97"/>
      <c r="P309" s="97"/>
      <c r="Q309" s="97"/>
      <c r="R309" s="97"/>
    </row>
    <row r="310" spans="1:18">
      <c r="A310" s="97"/>
      <c r="B310" s="97"/>
      <c r="C310" s="97"/>
      <c r="D310" s="97"/>
      <c r="E310" s="97"/>
      <c r="F310" s="97"/>
      <c r="G310" s="97"/>
      <c r="H310" s="97"/>
      <c r="I310" s="97"/>
      <c r="J310" s="97"/>
      <c r="K310" s="97"/>
      <c r="L310" s="97"/>
      <c r="M310" s="97"/>
      <c r="N310" s="97"/>
      <c r="O310" s="97"/>
      <c r="P310" s="97"/>
      <c r="Q310" s="97"/>
      <c r="R310" s="97"/>
    </row>
    <row r="311" spans="1:18">
      <c r="A311" s="97"/>
      <c r="B311" s="97"/>
      <c r="C311" s="97"/>
      <c r="D311" s="97"/>
      <c r="E311" s="97"/>
      <c r="F311" s="97"/>
      <c r="G311" s="97"/>
      <c r="H311" s="97"/>
      <c r="I311" s="97"/>
      <c r="J311" s="97"/>
      <c r="K311" s="97"/>
      <c r="L311" s="97"/>
      <c r="M311" s="97"/>
      <c r="N311" s="97"/>
      <c r="O311" s="97"/>
      <c r="P311" s="97"/>
      <c r="Q311" s="97"/>
      <c r="R311" s="97"/>
    </row>
    <row r="312" spans="1:18">
      <c r="A312" s="97"/>
      <c r="B312" s="97"/>
      <c r="C312" s="97"/>
      <c r="D312" s="97"/>
      <c r="E312" s="97"/>
      <c r="F312" s="97"/>
      <c r="G312" s="97"/>
      <c r="H312" s="97"/>
      <c r="I312" s="97"/>
      <c r="J312" s="97"/>
      <c r="K312" s="97"/>
      <c r="L312" s="97"/>
      <c r="M312" s="97"/>
      <c r="N312" s="97"/>
      <c r="O312" s="97"/>
      <c r="P312" s="97"/>
      <c r="Q312" s="97"/>
      <c r="R312" s="97"/>
    </row>
    <row r="313" spans="1:18">
      <c r="A313" s="97"/>
      <c r="B313" s="97"/>
      <c r="C313" s="97"/>
      <c r="D313" s="97"/>
      <c r="E313" s="97"/>
      <c r="F313" s="97"/>
      <c r="G313" s="97"/>
      <c r="H313" s="97"/>
      <c r="I313" s="97"/>
      <c r="J313" s="97"/>
      <c r="K313" s="97"/>
      <c r="L313" s="97"/>
      <c r="M313" s="97"/>
      <c r="N313" s="97"/>
      <c r="O313" s="97"/>
      <c r="P313" s="97"/>
      <c r="Q313" s="97"/>
      <c r="R313" s="97"/>
    </row>
    <row r="314" spans="1:18">
      <c r="A314" s="97"/>
      <c r="B314" s="97"/>
      <c r="C314" s="97"/>
      <c r="D314" s="97"/>
      <c r="E314" s="97"/>
      <c r="F314" s="97"/>
      <c r="G314" s="97"/>
      <c r="H314" s="97"/>
      <c r="I314" s="97"/>
      <c r="J314" s="97"/>
      <c r="K314" s="97"/>
      <c r="L314" s="97"/>
      <c r="M314" s="97"/>
      <c r="N314" s="97"/>
      <c r="O314" s="97"/>
      <c r="P314" s="97"/>
      <c r="Q314" s="97"/>
      <c r="R314" s="97"/>
    </row>
    <row r="315" spans="1:18">
      <c r="A315" s="97"/>
      <c r="B315" s="97"/>
      <c r="C315" s="97"/>
      <c r="D315" s="97"/>
      <c r="E315" s="97"/>
      <c r="F315" s="97"/>
      <c r="G315" s="97"/>
      <c r="H315" s="97"/>
      <c r="I315" s="97"/>
      <c r="J315" s="97"/>
      <c r="K315" s="97"/>
      <c r="L315" s="97"/>
      <c r="M315" s="97"/>
      <c r="N315" s="97"/>
      <c r="O315" s="97"/>
      <c r="P315" s="97"/>
      <c r="Q315" s="97"/>
      <c r="R315" s="97"/>
    </row>
    <row r="316" spans="1:18">
      <c r="A316" s="97"/>
      <c r="B316" s="97"/>
      <c r="C316" s="97"/>
      <c r="D316" s="97"/>
      <c r="E316" s="97"/>
      <c r="F316" s="97"/>
      <c r="G316" s="97"/>
      <c r="H316" s="97"/>
      <c r="I316" s="97"/>
      <c r="J316" s="97"/>
      <c r="K316" s="97"/>
      <c r="L316" s="97"/>
      <c r="M316" s="97"/>
      <c r="N316" s="97"/>
      <c r="O316" s="97"/>
      <c r="P316" s="97"/>
      <c r="Q316" s="97"/>
      <c r="R316" s="97"/>
    </row>
    <row r="317" spans="1:18">
      <c r="A317" s="97"/>
      <c r="B317" s="97"/>
      <c r="C317" s="97"/>
      <c r="D317" s="97"/>
      <c r="E317" s="97"/>
      <c r="F317" s="97"/>
      <c r="G317" s="97"/>
      <c r="H317" s="97"/>
      <c r="I317" s="97"/>
      <c r="J317" s="97"/>
      <c r="K317" s="97"/>
      <c r="L317" s="97"/>
      <c r="M317" s="97"/>
      <c r="N317" s="97"/>
      <c r="O317" s="97"/>
      <c r="P317" s="97"/>
      <c r="Q317" s="97"/>
      <c r="R317" s="97"/>
    </row>
    <row r="318" spans="1:18">
      <c r="A318" s="97"/>
      <c r="B318" s="97"/>
      <c r="C318" s="97"/>
      <c r="D318" s="97"/>
      <c r="E318" s="97"/>
      <c r="F318" s="97"/>
      <c r="G318" s="97"/>
      <c r="H318" s="97"/>
      <c r="I318" s="97"/>
      <c r="J318" s="97"/>
      <c r="K318" s="97"/>
      <c r="L318" s="97"/>
      <c r="M318" s="97"/>
      <c r="N318" s="97"/>
      <c r="O318" s="97"/>
      <c r="P318" s="97"/>
      <c r="Q318" s="97"/>
      <c r="R318" s="97"/>
    </row>
    <row r="319" spans="1:18">
      <c r="A319" s="97"/>
      <c r="B319" s="97"/>
      <c r="C319" s="97"/>
      <c r="D319" s="97"/>
      <c r="E319" s="97"/>
      <c r="F319" s="97"/>
      <c r="G319" s="97"/>
      <c r="H319" s="97"/>
      <c r="I319" s="97"/>
      <c r="J319" s="97"/>
      <c r="K319" s="97"/>
      <c r="L319" s="97"/>
      <c r="M319" s="97"/>
      <c r="N319" s="97"/>
      <c r="O319" s="97"/>
      <c r="P319" s="97"/>
      <c r="Q319" s="97"/>
      <c r="R319" s="97"/>
    </row>
    <row r="320" spans="1:18">
      <c r="A320" s="97"/>
      <c r="B320" s="97"/>
      <c r="C320" s="97"/>
      <c r="D320" s="97"/>
      <c r="E320" s="97"/>
      <c r="F320" s="97"/>
      <c r="G320" s="97"/>
      <c r="H320" s="97"/>
      <c r="I320" s="97"/>
      <c r="J320" s="97"/>
      <c r="K320" s="97"/>
      <c r="L320" s="97"/>
      <c r="M320" s="97"/>
      <c r="N320" s="97"/>
      <c r="O320" s="97"/>
      <c r="P320" s="97"/>
      <c r="Q320" s="97"/>
      <c r="R320" s="97"/>
    </row>
    <row r="321" spans="1:18">
      <c r="A321" s="97"/>
      <c r="B321" s="97"/>
      <c r="C321" s="97"/>
      <c r="D321" s="97"/>
      <c r="E321" s="97"/>
      <c r="F321" s="97"/>
      <c r="G321" s="97"/>
      <c r="H321" s="97"/>
      <c r="I321" s="97"/>
      <c r="J321" s="97"/>
      <c r="K321" s="97"/>
      <c r="L321" s="97"/>
      <c r="M321" s="97"/>
      <c r="N321" s="97"/>
      <c r="O321" s="97"/>
      <c r="P321" s="97"/>
      <c r="Q321" s="97"/>
      <c r="R321" s="97"/>
    </row>
    <row r="322" spans="1:18">
      <c r="A322" s="97"/>
      <c r="B322" s="97"/>
      <c r="C322" s="97"/>
      <c r="D322" s="97"/>
      <c r="E322" s="97"/>
      <c r="F322" s="97"/>
      <c r="G322" s="97"/>
      <c r="H322" s="97"/>
      <c r="I322" s="97"/>
      <c r="J322" s="97"/>
      <c r="K322" s="97"/>
      <c r="L322" s="97"/>
      <c r="M322" s="97"/>
      <c r="N322" s="97"/>
      <c r="O322" s="97"/>
      <c r="P322" s="97"/>
      <c r="Q322" s="97"/>
      <c r="R322" s="97"/>
    </row>
    <row r="323" spans="1:18">
      <c r="A323" s="97"/>
      <c r="B323" s="97"/>
      <c r="C323" s="97"/>
      <c r="D323" s="97"/>
      <c r="E323" s="97"/>
      <c r="F323" s="97"/>
      <c r="G323" s="97"/>
      <c r="H323" s="97"/>
      <c r="I323" s="97"/>
      <c r="J323" s="97"/>
      <c r="K323" s="97"/>
      <c r="L323" s="97"/>
      <c r="M323" s="97"/>
      <c r="N323" s="97"/>
      <c r="O323" s="97"/>
      <c r="P323" s="97"/>
      <c r="Q323" s="97"/>
      <c r="R323" s="97"/>
    </row>
    <row r="324" spans="1:18">
      <c r="A324" s="97"/>
      <c r="B324" s="97"/>
      <c r="C324" s="97"/>
      <c r="D324" s="97"/>
      <c r="E324" s="97"/>
      <c r="F324" s="97"/>
      <c r="G324" s="97"/>
      <c r="H324" s="97"/>
      <c r="I324" s="97"/>
      <c r="J324" s="97"/>
      <c r="K324" s="97"/>
      <c r="L324" s="97"/>
      <c r="M324" s="97"/>
      <c r="N324" s="97"/>
      <c r="O324" s="97"/>
      <c r="P324" s="97"/>
      <c r="Q324" s="97"/>
      <c r="R324" s="97"/>
    </row>
    <row r="325" spans="1:18">
      <c r="A325" s="97"/>
      <c r="B325" s="97"/>
      <c r="C325" s="97"/>
      <c r="D325" s="97"/>
      <c r="E325" s="97"/>
      <c r="F325" s="97"/>
      <c r="G325" s="97"/>
      <c r="H325" s="97"/>
      <c r="I325" s="97"/>
      <c r="J325" s="97"/>
      <c r="K325" s="97"/>
      <c r="L325" s="97"/>
      <c r="M325" s="97"/>
      <c r="N325" s="97"/>
      <c r="O325" s="97"/>
      <c r="P325" s="97"/>
      <c r="Q325" s="97"/>
      <c r="R325" s="97"/>
    </row>
    <row r="326" spans="1:18">
      <c r="A326" s="97"/>
      <c r="B326" s="97"/>
      <c r="C326" s="97"/>
      <c r="D326" s="97"/>
      <c r="E326" s="97"/>
      <c r="F326" s="97"/>
      <c r="G326" s="97"/>
      <c r="H326" s="97"/>
      <c r="I326" s="97"/>
      <c r="J326" s="97"/>
      <c r="K326" s="97"/>
      <c r="L326" s="97"/>
      <c r="M326" s="97"/>
      <c r="N326" s="97"/>
      <c r="O326" s="97"/>
      <c r="P326" s="97"/>
      <c r="Q326" s="97"/>
      <c r="R326" s="97"/>
    </row>
    <row r="327" spans="1:18">
      <c r="A327" s="97"/>
      <c r="B327" s="97"/>
      <c r="C327" s="97"/>
      <c r="D327" s="97"/>
      <c r="E327" s="97"/>
      <c r="F327" s="97"/>
      <c r="G327" s="97"/>
      <c r="H327" s="97"/>
      <c r="I327" s="97"/>
      <c r="J327" s="97"/>
      <c r="K327" s="97"/>
      <c r="L327" s="97"/>
      <c r="M327" s="97"/>
      <c r="N327" s="97"/>
      <c r="O327" s="97"/>
      <c r="P327" s="97"/>
      <c r="Q327" s="97"/>
      <c r="R327" s="97"/>
    </row>
    <row r="328" spans="1:18">
      <c r="A328" s="97"/>
      <c r="B328" s="97"/>
      <c r="C328" s="97"/>
      <c r="D328" s="97"/>
      <c r="E328" s="97"/>
      <c r="F328" s="97"/>
      <c r="G328" s="97"/>
      <c r="H328" s="97"/>
      <c r="I328" s="97"/>
      <c r="J328" s="97"/>
      <c r="K328" s="97"/>
      <c r="L328" s="97"/>
      <c r="M328" s="97"/>
      <c r="N328" s="97"/>
      <c r="O328" s="97"/>
      <c r="P328" s="97"/>
      <c r="Q328" s="97"/>
      <c r="R328" s="97"/>
    </row>
    <row r="329" spans="1:18">
      <c r="A329" s="97"/>
      <c r="B329" s="97"/>
      <c r="C329" s="97"/>
      <c r="D329" s="97"/>
      <c r="E329" s="97"/>
      <c r="F329" s="97"/>
      <c r="G329" s="97"/>
      <c r="H329" s="97"/>
      <c r="I329" s="97"/>
      <c r="J329" s="97"/>
      <c r="K329" s="97"/>
      <c r="L329" s="97"/>
      <c r="M329" s="97"/>
      <c r="N329" s="97"/>
      <c r="O329" s="97"/>
      <c r="P329" s="97"/>
      <c r="Q329" s="97"/>
      <c r="R329" s="97"/>
    </row>
    <row r="330" spans="1:18">
      <c r="A330" s="97"/>
      <c r="B330" s="97"/>
      <c r="C330" s="97"/>
      <c r="D330" s="97"/>
      <c r="E330" s="97"/>
      <c r="F330" s="97"/>
      <c r="G330" s="97"/>
      <c r="H330" s="97"/>
      <c r="I330" s="97"/>
      <c r="J330" s="97"/>
      <c r="K330" s="97"/>
      <c r="L330" s="97"/>
      <c r="M330" s="97"/>
      <c r="N330" s="97"/>
      <c r="O330" s="97"/>
      <c r="P330" s="97"/>
      <c r="Q330" s="97"/>
      <c r="R330" s="97"/>
    </row>
    <row r="331" spans="1:18">
      <c r="A331" s="97"/>
      <c r="B331" s="97"/>
      <c r="C331" s="97"/>
      <c r="D331" s="97"/>
      <c r="E331" s="97"/>
      <c r="F331" s="97"/>
      <c r="G331" s="97"/>
      <c r="H331" s="97"/>
      <c r="I331" s="97"/>
      <c r="J331" s="97"/>
      <c r="K331" s="97"/>
      <c r="L331" s="97"/>
      <c r="M331" s="97"/>
      <c r="N331" s="97"/>
      <c r="O331" s="97"/>
      <c r="P331" s="97"/>
      <c r="Q331" s="97"/>
      <c r="R331" s="97"/>
    </row>
    <row r="332" spans="1:18">
      <c r="A332" s="97"/>
      <c r="B332" s="97"/>
      <c r="C332" s="97"/>
      <c r="D332" s="97"/>
      <c r="E332" s="97"/>
      <c r="F332" s="97"/>
      <c r="G332" s="97"/>
      <c r="H332" s="97"/>
      <c r="I332" s="97"/>
      <c r="J332" s="97"/>
      <c r="K332" s="97"/>
      <c r="L332" s="97"/>
      <c r="M332" s="97"/>
      <c r="N332" s="97"/>
      <c r="O332" s="97"/>
      <c r="P332" s="97"/>
      <c r="Q332" s="97"/>
      <c r="R332" s="97"/>
    </row>
    <row r="333" spans="1:18">
      <c r="A333" s="97"/>
      <c r="B333" s="97"/>
      <c r="C333" s="97"/>
      <c r="D333" s="97"/>
      <c r="E333" s="97"/>
      <c r="F333" s="97"/>
      <c r="G333" s="97"/>
      <c r="H333" s="97"/>
      <c r="I333" s="97"/>
      <c r="J333" s="97"/>
      <c r="K333" s="97"/>
      <c r="L333" s="97"/>
      <c r="M333" s="97"/>
      <c r="N333" s="97"/>
      <c r="O333" s="97"/>
      <c r="P333" s="97"/>
      <c r="Q333" s="97"/>
      <c r="R333" s="97"/>
    </row>
    <row r="334" spans="1:18">
      <c r="A334" s="97"/>
      <c r="B334" s="97"/>
      <c r="C334" s="97"/>
      <c r="D334" s="97"/>
      <c r="E334" s="97"/>
      <c r="F334" s="97"/>
      <c r="G334" s="97"/>
      <c r="H334" s="97"/>
      <c r="I334" s="97"/>
      <c r="J334" s="97"/>
      <c r="K334" s="97"/>
      <c r="L334" s="97"/>
      <c r="M334" s="97"/>
      <c r="N334" s="97"/>
      <c r="O334" s="97"/>
      <c r="P334" s="97"/>
      <c r="Q334" s="97"/>
      <c r="R334" s="97"/>
    </row>
    <row r="335" spans="1:18">
      <c r="A335" s="97"/>
      <c r="B335" s="97"/>
      <c r="C335" s="97"/>
      <c r="D335" s="97"/>
      <c r="E335" s="97"/>
      <c r="F335" s="97"/>
      <c r="G335" s="97"/>
      <c r="H335" s="97"/>
      <c r="I335" s="97"/>
      <c r="J335" s="97"/>
      <c r="K335" s="97"/>
      <c r="L335" s="97"/>
      <c r="M335" s="97"/>
      <c r="N335" s="97"/>
      <c r="O335" s="97"/>
      <c r="P335" s="97"/>
      <c r="Q335" s="97"/>
      <c r="R335" s="97"/>
    </row>
    <row r="336" spans="1:18">
      <c r="A336" s="97"/>
      <c r="B336" s="97"/>
      <c r="C336" s="97"/>
      <c r="D336" s="97"/>
      <c r="E336" s="97"/>
      <c r="F336" s="97"/>
      <c r="G336" s="97"/>
      <c r="H336" s="97"/>
      <c r="I336" s="97"/>
      <c r="J336" s="97"/>
      <c r="K336" s="97"/>
      <c r="L336" s="97"/>
      <c r="M336" s="97"/>
      <c r="N336" s="97"/>
      <c r="O336" s="97"/>
      <c r="P336" s="97"/>
      <c r="Q336" s="97"/>
      <c r="R336" s="97"/>
    </row>
    <row r="337" spans="1:18">
      <c r="A337" s="97"/>
      <c r="B337" s="97"/>
      <c r="C337" s="97"/>
      <c r="D337" s="97"/>
      <c r="E337" s="97"/>
      <c r="F337" s="97"/>
      <c r="G337" s="97"/>
      <c r="H337" s="97"/>
      <c r="I337" s="97"/>
      <c r="J337" s="97"/>
      <c r="K337" s="97"/>
      <c r="L337" s="97"/>
      <c r="M337" s="97"/>
      <c r="N337" s="97"/>
      <c r="O337" s="97"/>
      <c r="P337" s="97"/>
      <c r="Q337" s="97"/>
      <c r="R337" s="97"/>
    </row>
    <row r="338" spans="1:18">
      <c r="A338" s="97"/>
      <c r="B338" s="97"/>
      <c r="C338" s="97"/>
      <c r="D338" s="97"/>
      <c r="E338" s="97"/>
      <c r="F338" s="97"/>
      <c r="G338" s="97"/>
      <c r="H338" s="97"/>
      <c r="I338" s="97"/>
      <c r="J338" s="97"/>
      <c r="K338" s="97"/>
      <c r="L338" s="97"/>
      <c r="M338" s="97"/>
      <c r="N338" s="97"/>
      <c r="O338" s="97"/>
      <c r="P338" s="97"/>
      <c r="Q338" s="97"/>
      <c r="R338" s="97"/>
    </row>
    <row r="339" spans="1:18">
      <c r="A339" s="97"/>
      <c r="B339" s="97"/>
      <c r="C339" s="97"/>
      <c r="D339" s="97"/>
      <c r="E339" s="97"/>
      <c r="F339" s="97"/>
      <c r="G339" s="97"/>
      <c r="H339" s="97"/>
      <c r="I339" s="97"/>
      <c r="J339" s="97"/>
      <c r="K339" s="97"/>
      <c r="L339" s="97"/>
      <c r="M339" s="97"/>
      <c r="N339" s="97"/>
      <c r="O339" s="97"/>
      <c r="P339" s="97"/>
      <c r="Q339" s="97"/>
      <c r="R339" s="97"/>
    </row>
    <row r="340" spans="1:18">
      <c r="A340" s="97"/>
      <c r="B340" s="97"/>
      <c r="C340" s="97"/>
      <c r="D340" s="97"/>
      <c r="E340" s="97"/>
      <c r="F340" s="97"/>
      <c r="G340" s="97"/>
      <c r="H340" s="97"/>
      <c r="I340" s="97"/>
      <c r="J340" s="97"/>
      <c r="K340" s="97"/>
      <c r="L340" s="97"/>
      <c r="M340" s="97"/>
      <c r="N340" s="97"/>
      <c r="O340" s="97"/>
      <c r="P340" s="97"/>
      <c r="Q340" s="97"/>
      <c r="R340" s="97"/>
    </row>
    <row r="341" spans="1:18">
      <c r="A341" s="97"/>
      <c r="B341" s="97"/>
      <c r="C341" s="97"/>
      <c r="D341" s="97"/>
      <c r="E341" s="97"/>
      <c r="F341" s="97"/>
      <c r="G341" s="97"/>
      <c r="H341" s="97"/>
      <c r="I341" s="97"/>
      <c r="J341" s="97"/>
      <c r="K341" s="97"/>
      <c r="L341" s="97"/>
      <c r="M341" s="97"/>
      <c r="N341" s="97"/>
      <c r="O341" s="97"/>
      <c r="P341" s="97"/>
      <c r="Q341" s="97"/>
      <c r="R341" s="97"/>
    </row>
    <row r="342" spans="1:18">
      <c r="A342" s="97"/>
      <c r="B342" s="97"/>
      <c r="C342" s="97"/>
      <c r="D342" s="97"/>
      <c r="E342" s="97"/>
      <c r="F342" s="97"/>
      <c r="G342" s="97"/>
      <c r="H342" s="97"/>
      <c r="I342" s="97"/>
      <c r="J342" s="97"/>
      <c r="K342" s="97"/>
      <c r="L342" s="97"/>
      <c r="M342" s="97"/>
      <c r="N342" s="97"/>
      <c r="O342" s="97"/>
      <c r="P342" s="97"/>
      <c r="Q342" s="97"/>
      <c r="R342" s="97"/>
    </row>
    <row r="343" spans="1:18">
      <c r="A343" s="97"/>
      <c r="B343" s="97"/>
      <c r="C343" s="97"/>
      <c r="D343" s="97"/>
      <c r="E343" s="97"/>
      <c r="F343" s="97"/>
      <c r="G343" s="97"/>
      <c r="H343" s="97"/>
      <c r="I343" s="97"/>
      <c r="J343" s="97"/>
      <c r="K343" s="97"/>
      <c r="L343" s="97"/>
      <c r="M343" s="97"/>
      <c r="N343" s="97"/>
      <c r="O343" s="97"/>
      <c r="P343" s="97"/>
      <c r="Q343" s="97"/>
      <c r="R343" s="97"/>
    </row>
    <row r="344" spans="1:18">
      <c r="A344" s="97"/>
      <c r="B344" s="97"/>
      <c r="C344" s="97"/>
      <c r="D344" s="97"/>
      <c r="E344" s="97"/>
      <c r="F344" s="97"/>
      <c r="G344" s="97"/>
      <c r="H344" s="97"/>
      <c r="I344" s="97"/>
      <c r="J344" s="97"/>
      <c r="K344" s="97"/>
      <c r="L344" s="97"/>
      <c r="M344" s="97"/>
      <c r="N344" s="97"/>
      <c r="O344" s="97"/>
      <c r="P344" s="97"/>
      <c r="Q344" s="97"/>
      <c r="R344" s="97"/>
    </row>
    <row r="345" spans="1:18">
      <c r="A345" s="97"/>
      <c r="B345" s="97"/>
      <c r="C345" s="97"/>
      <c r="D345" s="97"/>
      <c r="E345" s="97"/>
      <c r="F345" s="97"/>
      <c r="G345" s="97"/>
      <c r="H345" s="97"/>
      <c r="I345" s="97"/>
      <c r="J345" s="97"/>
      <c r="K345" s="97"/>
      <c r="L345" s="97"/>
      <c r="M345" s="97"/>
      <c r="N345" s="97"/>
      <c r="O345" s="97"/>
      <c r="P345" s="97"/>
      <c r="Q345" s="97"/>
      <c r="R345" s="97"/>
    </row>
    <row r="346" spans="1:18">
      <c r="A346" s="97"/>
      <c r="B346" s="97"/>
      <c r="C346" s="97"/>
      <c r="D346" s="97"/>
      <c r="E346" s="97"/>
      <c r="F346" s="97"/>
      <c r="G346" s="97"/>
      <c r="H346" s="97"/>
      <c r="I346" s="97"/>
      <c r="J346" s="97"/>
      <c r="K346" s="97"/>
      <c r="L346" s="97"/>
      <c r="M346" s="97"/>
      <c r="N346" s="97"/>
      <c r="O346" s="97"/>
      <c r="P346" s="97"/>
      <c r="Q346" s="97"/>
      <c r="R346" s="97"/>
    </row>
    <row r="347" spans="1:18">
      <c r="A347" s="97"/>
      <c r="B347" s="97"/>
      <c r="C347" s="97"/>
      <c r="D347" s="97"/>
      <c r="E347" s="97"/>
      <c r="F347" s="97"/>
      <c r="G347" s="97"/>
      <c r="H347" s="97"/>
      <c r="I347" s="97"/>
      <c r="J347" s="97"/>
      <c r="K347" s="97"/>
      <c r="L347" s="97"/>
      <c r="M347" s="97"/>
      <c r="N347" s="97"/>
      <c r="O347" s="97"/>
      <c r="P347" s="97"/>
      <c r="Q347" s="97"/>
      <c r="R347" s="97"/>
    </row>
    <row r="348" spans="1:18">
      <c r="A348" s="97"/>
      <c r="B348" s="97"/>
      <c r="C348" s="97"/>
      <c r="D348" s="97"/>
      <c r="E348" s="97"/>
      <c r="F348" s="97"/>
      <c r="G348" s="97"/>
      <c r="H348" s="97"/>
      <c r="I348" s="97"/>
      <c r="J348" s="97"/>
      <c r="K348" s="97"/>
      <c r="L348" s="97"/>
      <c r="M348" s="97"/>
      <c r="N348" s="97"/>
      <c r="O348" s="97"/>
      <c r="P348" s="97"/>
      <c r="Q348" s="97"/>
      <c r="R348" s="97"/>
    </row>
    <row r="349" spans="1:18">
      <c r="A349" s="97"/>
      <c r="B349" s="97"/>
      <c r="C349" s="97"/>
      <c r="D349" s="97"/>
      <c r="E349" s="97"/>
      <c r="F349" s="97"/>
      <c r="G349" s="97"/>
      <c r="H349" s="97"/>
      <c r="I349" s="97"/>
      <c r="J349" s="97"/>
      <c r="K349" s="97"/>
      <c r="L349" s="97"/>
      <c r="M349" s="97"/>
      <c r="N349" s="97"/>
      <c r="O349" s="97"/>
      <c r="P349" s="97"/>
      <c r="Q349" s="97"/>
      <c r="R349" s="97"/>
    </row>
    <row r="350" spans="1:18">
      <c r="A350" s="97"/>
      <c r="B350" s="97"/>
      <c r="C350" s="97"/>
      <c r="D350" s="97"/>
      <c r="E350" s="97"/>
      <c r="F350" s="97"/>
      <c r="G350" s="97"/>
      <c r="H350" s="97"/>
      <c r="I350" s="97"/>
      <c r="J350" s="97"/>
      <c r="K350" s="97"/>
      <c r="L350" s="97"/>
      <c r="M350" s="97"/>
      <c r="N350" s="97"/>
      <c r="O350" s="97"/>
      <c r="P350" s="97"/>
      <c r="Q350" s="97"/>
      <c r="R350" s="97"/>
    </row>
    <row r="351" spans="1:18">
      <c r="A351" s="97"/>
      <c r="B351" s="97"/>
      <c r="C351" s="97"/>
      <c r="D351" s="97"/>
      <c r="E351" s="97"/>
      <c r="F351" s="97"/>
      <c r="G351" s="97"/>
      <c r="H351" s="97"/>
      <c r="I351" s="97"/>
      <c r="J351" s="97"/>
      <c r="K351" s="97"/>
      <c r="L351" s="97"/>
      <c r="M351" s="97"/>
      <c r="N351" s="97"/>
      <c r="O351" s="97"/>
      <c r="P351" s="97"/>
      <c r="Q351" s="97"/>
      <c r="R351" s="97"/>
    </row>
    <row r="352" spans="1:18">
      <c r="A352" s="97"/>
      <c r="B352" s="97"/>
      <c r="C352" s="97"/>
      <c r="D352" s="97"/>
      <c r="E352" s="97"/>
      <c r="F352" s="97"/>
      <c r="G352" s="97"/>
      <c r="H352" s="97"/>
      <c r="I352" s="97"/>
      <c r="J352" s="97"/>
      <c r="K352" s="97"/>
      <c r="L352" s="97"/>
      <c r="M352" s="97"/>
      <c r="N352" s="97"/>
      <c r="O352" s="97"/>
      <c r="P352" s="97"/>
      <c r="Q352" s="97"/>
      <c r="R352" s="97"/>
    </row>
    <row r="353" spans="1:18">
      <c r="A353" s="97"/>
      <c r="B353" s="97"/>
      <c r="C353" s="97"/>
      <c r="D353" s="97"/>
      <c r="E353" s="97"/>
      <c r="F353" s="97"/>
      <c r="G353" s="97"/>
      <c r="H353" s="97"/>
      <c r="I353" s="97"/>
      <c r="J353" s="97"/>
      <c r="K353" s="97"/>
      <c r="L353" s="97"/>
      <c r="M353" s="97"/>
      <c r="N353" s="97"/>
      <c r="O353" s="97"/>
      <c r="P353" s="97"/>
      <c r="Q353" s="97"/>
      <c r="R353" s="97"/>
    </row>
    <row r="354" spans="1:18">
      <c r="A354" s="97"/>
      <c r="B354" s="97"/>
      <c r="C354" s="97"/>
      <c r="D354" s="97"/>
      <c r="E354" s="97"/>
      <c r="F354" s="97"/>
      <c r="G354" s="97"/>
      <c r="H354" s="97"/>
      <c r="I354" s="97"/>
      <c r="J354" s="97"/>
      <c r="K354" s="97"/>
      <c r="L354" s="97"/>
      <c r="M354" s="97"/>
      <c r="N354" s="97"/>
      <c r="O354" s="97"/>
      <c r="P354" s="97"/>
      <c r="Q354" s="97"/>
      <c r="R354" s="97"/>
    </row>
    <row r="355" spans="1:18">
      <c r="A355" s="97"/>
      <c r="B355" s="97"/>
      <c r="C355" s="97"/>
      <c r="D355" s="97"/>
      <c r="E355" s="97"/>
      <c r="F355" s="97"/>
      <c r="G355" s="97"/>
      <c r="H355" s="97"/>
      <c r="I355" s="97"/>
      <c r="J355" s="97"/>
      <c r="K355" s="97"/>
      <c r="L355" s="97"/>
      <c r="M355" s="97"/>
      <c r="N355" s="97"/>
      <c r="O355" s="97"/>
      <c r="P355" s="97"/>
      <c r="Q355" s="97"/>
      <c r="R355" s="97"/>
    </row>
    <row r="356" spans="1:18">
      <c r="A356" s="97"/>
      <c r="B356" s="97"/>
      <c r="C356" s="97"/>
      <c r="D356" s="97"/>
      <c r="E356" s="97"/>
      <c r="F356" s="97"/>
      <c r="G356" s="97"/>
      <c r="H356" s="97"/>
      <c r="I356" s="97"/>
      <c r="J356" s="97"/>
      <c r="K356" s="97"/>
      <c r="L356" s="97"/>
      <c r="M356" s="97"/>
      <c r="N356" s="97"/>
      <c r="O356" s="97"/>
      <c r="P356" s="97"/>
      <c r="Q356" s="97"/>
      <c r="R356" s="97"/>
    </row>
    <row r="357" spans="1:18">
      <c r="A357" s="97"/>
      <c r="B357" s="97"/>
      <c r="C357" s="97"/>
      <c r="D357" s="97"/>
      <c r="E357" s="97"/>
      <c r="F357" s="97"/>
      <c r="G357" s="97"/>
      <c r="H357" s="97"/>
      <c r="I357" s="97"/>
      <c r="J357" s="97"/>
      <c r="K357" s="97"/>
      <c r="L357" s="97"/>
      <c r="M357" s="97"/>
      <c r="N357" s="97"/>
      <c r="O357" s="97"/>
      <c r="P357" s="97"/>
      <c r="Q357" s="97"/>
      <c r="R357" s="97"/>
    </row>
    <row r="358" spans="1:18">
      <c r="A358" s="97"/>
      <c r="B358" s="97"/>
      <c r="C358" s="97"/>
      <c r="D358" s="97"/>
      <c r="E358" s="97"/>
      <c r="F358" s="97"/>
      <c r="G358" s="97"/>
      <c r="H358" s="97"/>
      <c r="I358" s="97"/>
      <c r="J358" s="97"/>
      <c r="K358" s="97"/>
      <c r="L358" s="97"/>
      <c r="M358" s="97"/>
      <c r="N358" s="97"/>
      <c r="O358" s="97"/>
      <c r="P358" s="97"/>
      <c r="Q358" s="97"/>
      <c r="R358" s="97"/>
    </row>
    <row r="359" spans="1:18">
      <c r="A359" s="97"/>
      <c r="B359" s="97"/>
      <c r="C359" s="97"/>
      <c r="D359" s="97"/>
      <c r="E359" s="97"/>
      <c r="F359" s="97"/>
      <c r="G359" s="97"/>
      <c r="H359" s="97"/>
      <c r="I359" s="97"/>
      <c r="J359" s="97"/>
      <c r="K359" s="97"/>
      <c r="L359" s="97"/>
      <c r="M359" s="97"/>
      <c r="N359" s="97"/>
      <c r="O359" s="97"/>
      <c r="P359" s="97"/>
      <c r="Q359" s="97"/>
      <c r="R359" s="97"/>
    </row>
    <row r="360" spans="1:18">
      <c r="A360" s="97"/>
      <c r="B360" s="97"/>
      <c r="C360" s="97"/>
      <c r="D360" s="97"/>
      <c r="E360" s="97"/>
      <c r="F360" s="97"/>
      <c r="G360" s="97"/>
      <c r="H360" s="97"/>
      <c r="I360" s="97"/>
      <c r="J360" s="97"/>
      <c r="K360" s="97"/>
      <c r="L360" s="97"/>
      <c r="M360" s="97"/>
      <c r="N360" s="97"/>
      <c r="O360" s="97"/>
      <c r="P360" s="97"/>
      <c r="Q360" s="97"/>
      <c r="R360" s="97"/>
    </row>
    <row r="361" spans="1:18">
      <c r="A361" s="97"/>
      <c r="B361" s="97"/>
      <c r="C361" s="97"/>
      <c r="D361" s="97"/>
      <c r="E361" s="97"/>
      <c r="F361" s="97"/>
      <c r="G361" s="97"/>
      <c r="H361" s="97"/>
      <c r="I361" s="97"/>
      <c r="J361" s="97"/>
      <c r="K361" s="97"/>
      <c r="L361" s="97"/>
      <c r="M361" s="97"/>
      <c r="N361" s="97"/>
      <c r="O361" s="97"/>
      <c r="P361" s="97"/>
      <c r="Q361" s="97"/>
      <c r="R361" s="97"/>
    </row>
    <row r="362" spans="1:18">
      <c r="A362" s="97"/>
      <c r="B362" s="97"/>
      <c r="C362" s="97"/>
      <c r="D362" s="97"/>
      <c r="E362" s="97"/>
      <c r="F362" s="97"/>
      <c r="G362" s="97"/>
      <c r="H362" s="97"/>
      <c r="I362" s="97"/>
      <c r="J362" s="97"/>
      <c r="K362" s="97"/>
      <c r="L362" s="97"/>
      <c r="M362" s="97"/>
      <c r="N362" s="97"/>
      <c r="O362" s="97"/>
      <c r="P362" s="97"/>
      <c r="Q362" s="97"/>
      <c r="R362" s="97"/>
    </row>
    <row r="363" spans="1:18">
      <c r="A363" s="97"/>
      <c r="B363" s="97"/>
      <c r="C363" s="97"/>
      <c r="D363" s="97"/>
      <c r="E363" s="97"/>
      <c r="F363" s="97"/>
      <c r="G363" s="97"/>
      <c r="H363" s="97"/>
      <c r="I363" s="97"/>
      <c r="J363" s="97"/>
      <c r="K363" s="97"/>
      <c r="L363" s="97"/>
      <c r="M363" s="97"/>
      <c r="N363" s="97"/>
      <c r="O363" s="97"/>
      <c r="P363" s="97"/>
      <c r="Q363" s="97"/>
      <c r="R363" s="97"/>
    </row>
    <row r="364" spans="1:18">
      <c r="A364" s="97"/>
      <c r="B364" s="97"/>
      <c r="C364" s="97"/>
      <c r="D364" s="97"/>
      <c r="E364" s="97"/>
      <c r="F364" s="97"/>
      <c r="G364" s="97"/>
      <c r="H364" s="97"/>
      <c r="I364" s="97"/>
      <c r="J364" s="97"/>
      <c r="K364" s="97"/>
      <c r="L364" s="97"/>
      <c r="M364" s="97"/>
      <c r="N364" s="97"/>
      <c r="O364" s="97"/>
      <c r="P364" s="97"/>
      <c r="Q364" s="97"/>
      <c r="R364" s="97"/>
    </row>
    <row r="365" spans="1:18">
      <c r="A365" s="97"/>
      <c r="B365" s="97"/>
      <c r="C365" s="97"/>
      <c r="D365" s="97"/>
      <c r="E365" s="97"/>
      <c r="F365" s="97"/>
      <c r="G365" s="97"/>
      <c r="H365" s="97"/>
      <c r="I365" s="97"/>
      <c r="J365" s="97"/>
      <c r="K365" s="97"/>
      <c r="L365" s="97"/>
      <c r="M365" s="97"/>
      <c r="N365" s="97"/>
      <c r="O365" s="97"/>
      <c r="P365" s="97"/>
      <c r="Q365" s="97"/>
      <c r="R365" s="97"/>
    </row>
    <row r="366" spans="1:18">
      <c r="A366" s="97"/>
      <c r="B366" s="97"/>
      <c r="C366" s="97"/>
      <c r="D366" s="97"/>
      <c r="E366" s="97"/>
      <c r="F366" s="97"/>
      <c r="G366" s="97"/>
      <c r="H366" s="97"/>
      <c r="I366" s="97"/>
      <c r="J366" s="97"/>
      <c r="K366" s="97"/>
      <c r="L366" s="97"/>
      <c r="M366" s="97"/>
      <c r="N366" s="97"/>
      <c r="O366" s="97"/>
      <c r="P366" s="97"/>
      <c r="Q366" s="97"/>
      <c r="R366" s="97"/>
    </row>
    <row r="367" spans="1:18">
      <c r="A367" s="97"/>
      <c r="B367" s="97"/>
      <c r="C367" s="97"/>
      <c r="D367" s="97"/>
      <c r="E367" s="97"/>
      <c r="F367" s="97"/>
      <c r="G367" s="97"/>
      <c r="H367" s="97"/>
      <c r="I367" s="97"/>
      <c r="J367" s="97"/>
      <c r="K367" s="97"/>
      <c r="L367" s="97"/>
      <c r="M367" s="97"/>
      <c r="N367" s="97"/>
      <c r="O367" s="97"/>
      <c r="P367" s="97"/>
      <c r="Q367" s="97"/>
      <c r="R367" s="97"/>
    </row>
    <row r="368" spans="1:18">
      <c r="A368" s="97"/>
      <c r="B368" s="97"/>
      <c r="C368" s="97"/>
      <c r="D368" s="97"/>
      <c r="E368" s="97"/>
      <c r="F368" s="97"/>
      <c r="G368" s="97"/>
      <c r="H368" s="97"/>
      <c r="I368" s="97"/>
      <c r="J368" s="97"/>
      <c r="K368" s="97"/>
      <c r="L368" s="97"/>
      <c r="M368" s="97"/>
      <c r="N368" s="97"/>
      <c r="O368" s="97"/>
      <c r="P368" s="97"/>
      <c r="Q368" s="97"/>
      <c r="R368" s="97"/>
    </row>
    <row r="369" spans="1:18">
      <c r="A369" s="97"/>
      <c r="B369" s="97"/>
      <c r="C369" s="97"/>
      <c r="D369" s="97"/>
      <c r="E369" s="97"/>
      <c r="F369" s="97"/>
      <c r="G369" s="97"/>
      <c r="H369" s="97"/>
      <c r="I369" s="97"/>
      <c r="J369" s="97"/>
      <c r="K369" s="97"/>
      <c r="L369" s="97"/>
      <c r="M369" s="97"/>
      <c r="N369" s="97"/>
      <c r="O369" s="97"/>
      <c r="P369" s="97"/>
      <c r="Q369" s="97"/>
      <c r="R369" s="97"/>
    </row>
    <row r="370" spans="1:18">
      <c r="A370" s="97"/>
      <c r="B370" s="97"/>
      <c r="C370" s="97"/>
      <c r="D370" s="97"/>
      <c r="E370" s="97"/>
      <c r="F370" s="97"/>
      <c r="G370" s="97"/>
      <c r="H370" s="97"/>
      <c r="I370" s="97"/>
      <c r="J370" s="97"/>
      <c r="K370" s="97"/>
      <c r="L370" s="97"/>
      <c r="M370" s="97"/>
      <c r="N370" s="97"/>
      <c r="O370" s="97"/>
      <c r="P370" s="97"/>
      <c r="Q370" s="97"/>
      <c r="R370" s="97"/>
    </row>
    <row r="371" spans="1:18">
      <c r="A371" s="97"/>
      <c r="B371" s="97"/>
      <c r="C371" s="97"/>
      <c r="D371" s="97"/>
      <c r="E371" s="97"/>
      <c r="F371" s="97"/>
      <c r="G371" s="97"/>
      <c r="H371" s="97"/>
      <c r="I371" s="97"/>
      <c r="J371" s="97"/>
      <c r="K371" s="97"/>
      <c r="L371" s="97"/>
      <c r="M371" s="97"/>
      <c r="N371" s="97"/>
      <c r="O371" s="97"/>
      <c r="P371" s="97"/>
      <c r="Q371" s="97"/>
      <c r="R371" s="97"/>
    </row>
    <row r="372" spans="1:18">
      <c r="A372" s="97"/>
      <c r="B372" s="97"/>
      <c r="C372" s="97"/>
      <c r="D372" s="97"/>
      <c r="E372" s="97"/>
      <c r="F372" s="97"/>
      <c r="G372" s="97"/>
      <c r="H372" s="97"/>
      <c r="I372" s="97"/>
      <c r="J372" s="97"/>
      <c r="K372" s="97"/>
      <c r="L372" s="97"/>
      <c r="M372" s="97"/>
      <c r="N372" s="97"/>
      <c r="O372" s="97"/>
      <c r="P372" s="97"/>
      <c r="Q372" s="97"/>
      <c r="R372" s="97"/>
    </row>
    <row r="373" spans="1:18">
      <c r="A373" s="97"/>
      <c r="B373" s="97"/>
      <c r="C373" s="97"/>
      <c r="D373" s="97"/>
      <c r="E373" s="97"/>
      <c r="F373" s="97"/>
      <c r="G373" s="97"/>
      <c r="H373" s="97"/>
      <c r="I373" s="97"/>
      <c r="J373" s="97"/>
      <c r="K373" s="97"/>
      <c r="L373" s="97"/>
      <c r="M373" s="97"/>
      <c r="N373" s="97"/>
      <c r="O373" s="97"/>
      <c r="P373" s="97"/>
      <c r="Q373" s="97"/>
      <c r="R373" s="97"/>
    </row>
    <row r="374" spans="1:18">
      <c r="A374" s="97"/>
      <c r="B374" s="97"/>
      <c r="C374" s="97"/>
      <c r="D374" s="97"/>
      <c r="E374" s="97"/>
      <c r="F374" s="97"/>
      <c r="G374" s="97"/>
      <c r="H374" s="97"/>
      <c r="I374" s="97"/>
      <c r="J374" s="97"/>
      <c r="K374" s="97"/>
      <c r="L374" s="97"/>
      <c r="M374" s="97"/>
      <c r="N374" s="97"/>
      <c r="O374" s="97"/>
      <c r="P374" s="97"/>
      <c r="Q374" s="97"/>
      <c r="R374" s="97"/>
    </row>
    <row r="375" spans="1:18">
      <c r="A375" s="97"/>
      <c r="B375" s="97"/>
      <c r="C375" s="97"/>
      <c r="D375" s="97"/>
      <c r="E375" s="97"/>
      <c r="F375" s="97"/>
      <c r="G375" s="97"/>
      <c r="H375" s="97"/>
      <c r="I375" s="97"/>
      <c r="J375" s="97"/>
      <c r="K375" s="97"/>
      <c r="L375" s="97"/>
      <c r="M375" s="97"/>
      <c r="N375" s="97"/>
      <c r="O375" s="97"/>
      <c r="P375" s="97"/>
      <c r="Q375" s="97"/>
      <c r="R375" s="97"/>
    </row>
    <row r="376" spans="1:18">
      <c r="A376" s="97"/>
      <c r="B376" s="97"/>
      <c r="C376" s="97"/>
      <c r="D376" s="97"/>
      <c r="E376" s="97"/>
      <c r="F376" s="97"/>
      <c r="G376" s="97"/>
      <c r="H376" s="97"/>
      <c r="I376" s="97"/>
      <c r="J376" s="97"/>
      <c r="K376" s="97"/>
      <c r="L376" s="97"/>
      <c r="M376" s="97"/>
      <c r="N376" s="97"/>
      <c r="O376" s="97"/>
      <c r="P376" s="97"/>
      <c r="Q376" s="97"/>
      <c r="R376" s="97"/>
    </row>
    <row r="377" spans="1:18">
      <c r="A377" s="97"/>
      <c r="B377" s="97"/>
      <c r="C377" s="97"/>
      <c r="D377" s="97"/>
      <c r="E377" s="97"/>
      <c r="F377" s="97"/>
      <c r="G377" s="97"/>
      <c r="H377" s="97"/>
      <c r="I377" s="97"/>
      <c r="J377" s="97"/>
      <c r="K377" s="97"/>
      <c r="L377" s="97"/>
      <c r="M377" s="97"/>
      <c r="N377" s="97"/>
      <c r="O377" s="97"/>
      <c r="P377" s="97"/>
      <c r="Q377" s="97"/>
      <c r="R377" s="97"/>
    </row>
    <row r="378" spans="1:18">
      <c r="A378" s="97"/>
      <c r="B378" s="97"/>
      <c r="C378" s="97"/>
      <c r="D378" s="97"/>
      <c r="E378" s="97"/>
      <c r="F378" s="97"/>
      <c r="G378" s="97"/>
      <c r="H378" s="97"/>
      <c r="I378" s="97"/>
      <c r="J378" s="97"/>
      <c r="K378" s="97"/>
      <c r="L378" s="97"/>
      <c r="M378" s="97"/>
      <c r="N378" s="97"/>
      <c r="O378" s="97"/>
      <c r="P378" s="97"/>
      <c r="Q378" s="97"/>
      <c r="R378" s="97"/>
    </row>
    <row r="379" spans="1:18">
      <c r="A379" s="97"/>
      <c r="B379" s="97"/>
      <c r="C379" s="97"/>
      <c r="D379" s="97"/>
      <c r="E379" s="97"/>
      <c r="F379" s="97"/>
      <c r="G379" s="97"/>
      <c r="H379" s="97"/>
      <c r="I379" s="97"/>
      <c r="J379" s="97"/>
      <c r="K379" s="97"/>
      <c r="L379" s="97"/>
      <c r="M379" s="97"/>
      <c r="N379" s="97"/>
      <c r="O379" s="97"/>
      <c r="P379" s="97"/>
      <c r="Q379" s="97"/>
      <c r="R379" s="97"/>
    </row>
    <row r="380" spans="1:18">
      <c r="A380" s="97"/>
      <c r="B380" s="97"/>
      <c r="C380" s="97"/>
      <c r="D380" s="97"/>
      <c r="E380" s="97"/>
      <c r="F380" s="97"/>
      <c r="G380" s="97"/>
      <c r="H380" s="97"/>
      <c r="I380" s="97"/>
      <c r="J380" s="97"/>
      <c r="K380" s="97"/>
      <c r="L380" s="97"/>
      <c r="M380" s="97"/>
      <c r="N380" s="97"/>
      <c r="O380" s="97"/>
      <c r="P380" s="97"/>
      <c r="Q380" s="97"/>
      <c r="R380" s="97"/>
    </row>
    <row r="381" spans="1:18">
      <c r="A381" s="97"/>
      <c r="B381" s="97"/>
      <c r="C381" s="97"/>
      <c r="D381" s="97"/>
      <c r="E381" s="97"/>
      <c r="F381" s="97"/>
      <c r="G381" s="97"/>
      <c r="H381" s="97"/>
      <c r="I381" s="97"/>
      <c r="J381" s="97"/>
      <c r="K381" s="97"/>
      <c r="L381" s="97"/>
      <c r="M381" s="97"/>
      <c r="N381" s="97"/>
      <c r="O381" s="97"/>
      <c r="P381" s="97"/>
      <c r="Q381" s="97"/>
      <c r="R381" s="97"/>
    </row>
    <row r="382" spans="1:18">
      <c r="A382" s="97"/>
      <c r="B382" s="97"/>
      <c r="C382" s="97"/>
      <c r="D382" s="97"/>
      <c r="E382" s="97"/>
      <c r="F382" s="97"/>
      <c r="G382" s="97"/>
      <c r="H382" s="97"/>
      <c r="I382" s="97"/>
      <c r="J382" s="97"/>
      <c r="K382" s="97"/>
      <c r="L382" s="97"/>
      <c r="M382" s="97"/>
      <c r="N382" s="97"/>
      <c r="O382" s="97"/>
      <c r="P382" s="97"/>
      <c r="Q382" s="97"/>
      <c r="R382" s="97"/>
    </row>
    <row r="383" spans="1:18">
      <c r="A383" s="97"/>
      <c r="B383" s="97"/>
      <c r="C383" s="97"/>
      <c r="D383" s="97"/>
      <c r="E383" s="97"/>
      <c r="F383" s="97"/>
      <c r="G383" s="97"/>
      <c r="H383" s="97"/>
      <c r="I383" s="97"/>
      <c r="J383" s="97"/>
      <c r="K383" s="97"/>
      <c r="L383" s="97"/>
      <c r="M383" s="97"/>
      <c r="N383" s="97"/>
      <c r="O383" s="97"/>
      <c r="P383" s="97"/>
      <c r="Q383" s="97"/>
      <c r="R383" s="97"/>
    </row>
    <row r="384" spans="1:18">
      <c r="A384" s="97"/>
      <c r="B384" s="97"/>
      <c r="C384" s="97"/>
      <c r="D384" s="97"/>
      <c r="E384" s="97"/>
      <c r="F384" s="97"/>
      <c r="G384" s="97"/>
      <c r="H384" s="97"/>
      <c r="I384" s="97"/>
      <c r="J384" s="97"/>
      <c r="K384" s="97"/>
      <c r="L384" s="97"/>
      <c r="M384" s="97"/>
      <c r="N384" s="97"/>
      <c r="O384" s="97"/>
      <c r="P384" s="97"/>
      <c r="Q384" s="97"/>
      <c r="R384" s="97"/>
    </row>
    <row r="385" spans="1:18">
      <c r="A385" s="97"/>
      <c r="B385" s="97"/>
      <c r="C385" s="97"/>
      <c r="D385" s="97"/>
      <c r="E385" s="97"/>
      <c r="F385" s="97"/>
      <c r="G385" s="97"/>
      <c r="H385" s="97"/>
      <c r="I385" s="97"/>
      <c r="J385" s="97"/>
      <c r="K385" s="97"/>
      <c r="L385" s="97"/>
      <c r="M385" s="97"/>
      <c r="N385" s="97"/>
      <c r="O385" s="97"/>
      <c r="P385" s="97"/>
      <c r="Q385" s="97"/>
      <c r="R385" s="97"/>
    </row>
    <row r="386" spans="1:18">
      <c r="A386" s="97"/>
      <c r="B386" s="97"/>
      <c r="C386" s="97"/>
      <c r="D386" s="97"/>
      <c r="E386" s="97"/>
      <c r="F386" s="97"/>
      <c r="G386" s="97"/>
      <c r="H386" s="97"/>
      <c r="I386" s="97"/>
      <c r="J386" s="97"/>
      <c r="K386" s="97"/>
      <c r="L386" s="97"/>
      <c r="M386" s="97"/>
      <c r="N386" s="97"/>
      <c r="O386" s="97"/>
      <c r="P386" s="97"/>
      <c r="Q386" s="97"/>
      <c r="R386" s="97"/>
    </row>
    <row r="387" spans="1:18">
      <c r="A387" s="97"/>
      <c r="B387" s="97"/>
      <c r="C387" s="97"/>
      <c r="D387" s="97"/>
      <c r="E387" s="97"/>
      <c r="F387" s="97"/>
      <c r="G387" s="97"/>
      <c r="H387" s="97"/>
      <c r="I387" s="97"/>
      <c r="J387" s="97"/>
      <c r="K387" s="97"/>
      <c r="L387" s="97"/>
      <c r="M387" s="97"/>
      <c r="N387" s="97"/>
      <c r="O387" s="97"/>
      <c r="P387" s="97"/>
      <c r="Q387" s="97"/>
      <c r="R387" s="97"/>
    </row>
    <row r="388" spans="1:18">
      <c r="A388" s="97"/>
      <c r="B388" s="97"/>
      <c r="C388" s="97"/>
      <c r="D388" s="97"/>
      <c r="E388" s="97"/>
      <c r="F388" s="97"/>
      <c r="G388" s="97"/>
      <c r="H388" s="97"/>
      <c r="I388" s="97"/>
      <c r="J388" s="97"/>
      <c r="K388" s="97"/>
      <c r="L388" s="97"/>
      <c r="M388" s="97"/>
      <c r="N388" s="97"/>
      <c r="O388" s="97"/>
      <c r="P388" s="97"/>
      <c r="Q388" s="97"/>
      <c r="R388" s="97"/>
    </row>
    <row r="389" spans="1:18">
      <c r="A389" s="97"/>
      <c r="B389" s="97"/>
      <c r="C389" s="97"/>
      <c r="D389" s="97"/>
      <c r="E389" s="97"/>
      <c r="F389" s="97"/>
      <c r="G389" s="97"/>
      <c r="H389" s="97"/>
      <c r="I389" s="97"/>
      <c r="J389" s="97"/>
      <c r="K389" s="97"/>
      <c r="L389" s="97"/>
      <c r="M389" s="97"/>
      <c r="N389" s="97"/>
      <c r="O389" s="97"/>
      <c r="P389" s="97"/>
      <c r="Q389" s="97"/>
      <c r="R389" s="97"/>
    </row>
    <row r="390" spans="1:18">
      <c r="A390" s="97"/>
      <c r="B390" s="97"/>
      <c r="C390" s="97"/>
      <c r="D390" s="97"/>
      <c r="E390" s="97"/>
      <c r="F390" s="97"/>
      <c r="G390" s="97"/>
      <c r="H390" s="97"/>
      <c r="I390" s="97"/>
      <c r="J390" s="97"/>
      <c r="K390" s="97"/>
      <c r="L390" s="97"/>
      <c r="M390" s="97"/>
      <c r="N390" s="97"/>
      <c r="O390" s="97"/>
      <c r="P390" s="97"/>
      <c r="Q390" s="97"/>
      <c r="R390" s="97"/>
    </row>
    <row r="391" spans="1:18">
      <c r="A391" s="97"/>
      <c r="B391" s="97"/>
      <c r="C391" s="97"/>
      <c r="D391" s="97"/>
      <c r="E391" s="97"/>
      <c r="F391" s="97"/>
      <c r="G391" s="97"/>
      <c r="H391" s="97"/>
      <c r="I391" s="97"/>
      <c r="J391" s="97"/>
      <c r="K391" s="97"/>
      <c r="L391" s="97"/>
      <c r="M391" s="97"/>
      <c r="N391" s="97"/>
      <c r="O391" s="97"/>
      <c r="P391" s="97"/>
      <c r="Q391" s="97"/>
      <c r="R391" s="97"/>
    </row>
    <row r="392" spans="1:18">
      <c r="A392" s="97"/>
      <c r="B392" s="97"/>
      <c r="C392" s="97"/>
      <c r="D392" s="97"/>
      <c r="E392" s="97"/>
      <c r="F392" s="97"/>
      <c r="G392" s="97"/>
      <c r="H392" s="97"/>
      <c r="I392" s="97"/>
      <c r="J392" s="97"/>
      <c r="K392" s="97"/>
      <c r="L392" s="97"/>
      <c r="M392" s="97"/>
      <c r="N392" s="97"/>
      <c r="O392" s="97"/>
      <c r="P392" s="97"/>
      <c r="Q392" s="97"/>
      <c r="R392" s="97"/>
    </row>
    <row r="393" spans="1:18">
      <c r="A393" s="97"/>
      <c r="B393" s="97"/>
      <c r="C393" s="97"/>
      <c r="D393" s="97"/>
      <c r="E393" s="97"/>
      <c r="F393" s="97"/>
      <c r="G393" s="97"/>
      <c r="H393" s="97"/>
      <c r="I393" s="97"/>
      <c r="J393" s="97"/>
      <c r="K393" s="97"/>
      <c r="L393" s="97"/>
      <c r="M393" s="97"/>
      <c r="N393" s="97"/>
      <c r="O393" s="97"/>
      <c r="P393" s="97"/>
      <c r="Q393" s="97"/>
      <c r="R393" s="97"/>
    </row>
    <row r="394" spans="1:18">
      <c r="A394" s="97"/>
      <c r="B394" s="97"/>
      <c r="C394" s="97"/>
      <c r="D394" s="97"/>
      <c r="E394" s="97"/>
      <c r="F394" s="97"/>
      <c r="G394" s="97"/>
      <c r="H394" s="97"/>
      <c r="I394" s="97"/>
      <c r="J394" s="97"/>
      <c r="K394" s="97"/>
      <c r="L394" s="97"/>
      <c r="M394" s="97"/>
      <c r="N394" s="97"/>
      <c r="O394" s="97"/>
      <c r="P394" s="97"/>
      <c r="Q394" s="97"/>
      <c r="R394" s="97"/>
    </row>
    <row r="395" spans="1:18">
      <c r="A395" s="97"/>
      <c r="B395" s="97"/>
      <c r="C395" s="97"/>
      <c r="D395" s="97"/>
      <c r="E395" s="97"/>
      <c r="F395" s="97"/>
      <c r="G395" s="97"/>
      <c r="H395" s="97"/>
      <c r="I395" s="97"/>
      <c r="J395" s="97"/>
      <c r="K395" s="97"/>
      <c r="L395" s="97"/>
      <c r="M395" s="97"/>
      <c r="N395" s="97"/>
      <c r="O395" s="97"/>
      <c r="P395" s="97"/>
      <c r="Q395" s="97"/>
      <c r="R395" s="97"/>
    </row>
    <row r="396" spans="1:18">
      <c r="A396" s="97"/>
      <c r="B396" s="97"/>
      <c r="C396" s="97"/>
      <c r="D396" s="97"/>
      <c r="E396" s="97"/>
      <c r="F396" s="97"/>
      <c r="G396" s="97"/>
      <c r="H396" s="97"/>
      <c r="I396" s="97"/>
      <c r="J396" s="97"/>
      <c r="K396" s="97"/>
      <c r="L396" s="97"/>
      <c r="M396" s="97"/>
      <c r="N396" s="97"/>
      <c r="O396" s="97"/>
      <c r="P396" s="97"/>
      <c r="Q396" s="97"/>
      <c r="R396" s="97"/>
    </row>
    <row r="397" spans="1:18">
      <c r="A397" s="97"/>
      <c r="B397" s="97"/>
      <c r="C397" s="97"/>
      <c r="D397" s="97"/>
      <c r="E397" s="97"/>
      <c r="F397" s="97"/>
      <c r="G397" s="97"/>
      <c r="H397" s="97"/>
      <c r="I397" s="97"/>
      <c r="J397" s="97"/>
      <c r="K397" s="97"/>
      <c r="L397" s="97"/>
      <c r="M397" s="97"/>
      <c r="N397" s="97"/>
      <c r="O397" s="97"/>
      <c r="P397" s="97"/>
      <c r="Q397" s="97"/>
      <c r="R397" s="97"/>
    </row>
    <row r="398" spans="1:18">
      <c r="A398" s="97"/>
      <c r="B398" s="97"/>
      <c r="C398" s="97"/>
      <c r="D398" s="97"/>
      <c r="E398" s="97"/>
      <c r="F398" s="97"/>
      <c r="G398" s="97"/>
      <c r="H398" s="97"/>
      <c r="I398" s="97"/>
      <c r="J398" s="97"/>
      <c r="K398" s="97"/>
      <c r="L398" s="97"/>
      <c r="M398" s="97"/>
      <c r="N398" s="97"/>
      <c r="O398" s="97"/>
      <c r="P398" s="97"/>
      <c r="Q398" s="97"/>
      <c r="R398" s="97"/>
    </row>
    <row r="399" spans="1:18">
      <c r="A399" s="97"/>
      <c r="B399" s="97"/>
      <c r="C399" s="97"/>
      <c r="D399" s="97"/>
      <c r="E399" s="97"/>
      <c r="F399" s="97"/>
      <c r="G399" s="97"/>
      <c r="H399" s="97"/>
      <c r="I399" s="97"/>
      <c r="J399" s="97"/>
      <c r="K399" s="97"/>
      <c r="L399" s="97"/>
      <c r="M399" s="97"/>
      <c r="N399" s="97"/>
      <c r="O399" s="97"/>
      <c r="P399" s="97"/>
      <c r="Q399" s="97"/>
      <c r="R399" s="97"/>
    </row>
    <row r="400" spans="1:18">
      <c r="A400" s="97"/>
      <c r="B400" s="97"/>
      <c r="C400" s="97"/>
      <c r="D400" s="97"/>
      <c r="E400" s="97"/>
      <c r="F400" s="97"/>
      <c r="G400" s="97"/>
      <c r="H400" s="97"/>
      <c r="I400" s="97"/>
      <c r="J400" s="97"/>
      <c r="K400" s="97"/>
      <c r="L400" s="97"/>
      <c r="M400" s="97"/>
      <c r="N400" s="97"/>
      <c r="O400" s="97"/>
      <c r="P400" s="97"/>
      <c r="Q400" s="97"/>
      <c r="R400" s="97"/>
    </row>
    <row r="401" spans="1:18">
      <c r="A401" s="97"/>
      <c r="B401" s="97"/>
      <c r="C401" s="97"/>
      <c r="D401" s="97"/>
      <c r="E401" s="97"/>
      <c r="F401" s="97"/>
      <c r="G401" s="97"/>
      <c r="H401" s="97"/>
      <c r="I401" s="97"/>
      <c r="J401" s="97"/>
      <c r="K401" s="97"/>
      <c r="L401" s="97"/>
      <c r="M401" s="97"/>
      <c r="N401" s="97"/>
      <c r="O401" s="97"/>
      <c r="P401" s="97"/>
      <c r="Q401" s="97"/>
      <c r="R401" s="97"/>
    </row>
    <row r="402" spans="1:18">
      <c r="A402" s="97"/>
      <c r="B402" s="97"/>
      <c r="C402" s="97"/>
      <c r="D402" s="97"/>
      <c r="E402" s="97"/>
      <c r="F402" s="97"/>
      <c r="G402" s="97"/>
      <c r="H402" s="97"/>
      <c r="I402" s="97"/>
      <c r="J402" s="97"/>
      <c r="K402" s="97"/>
      <c r="L402" s="97"/>
      <c r="M402" s="97"/>
      <c r="N402" s="97"/>
      <c r="O402" s="97"/>
      <c r="P402" s="97"/>
      <c r="Q402" s="97"/>
      <c r="R402" s="97"/>
    </row>
    <row r="403" spans="1:18">
      <c r="A403" s="97"/>
      <c r="B403" s="97"/>
      <c r="C403" s="97"/>
      <c r="D403" s="97"/>
      <c r="E403" s="97"/>
      <c r="F403" s="97"/>
      <c r="G403" s="97"/>
      <c r="H403" s="97"/>
      <c r="I403" s="97"/>
      <c r="J403" s="97"/>
      <c r="K403" s="97"/>
      <c r="L403" s="97"/>
      <c r="M403" s="97"/>
      <c r="N403" s="97"/>
      <c r="O403" s="97"/>
      <c r="P403" s="97"/>
      <c r="Q403" s="97"/>
      <c r="R403" s="97"/>
    </row>
    <row r="404" spans="1:18">
      <c r="A404" s="97"/>
      <c r="B404" s="97"/>
      <c r="C404" s="97"/>
      <c r="D404" s="97"/>
      <c r="E404" s="97"/>
      <c r="F404" s="97"/>
      <c r="G404" s="97"/>
      <c r="H404" s="97"/>
      <c r="I404" s="97"/>
      <c r="J404" s="97"/>
      <c r="K404" s="97"/>
      <c r="L404" s="97"/>
      <c r="M404" s="97"/>
      <c r="N404" s="97"/>
      <c r="O404" s="97"/>
      <c r="P404" s="97"/>
      <c r="Q404" s="97"/>
      <c r="R404" s="97"/>
    </row>
    <row r="405" spans="1:18">
      <c r="A405" s="97"/>
      <c r="B405" s="97"/>
      <c r="C405" s="97"/>
      <c r="D405" s="97"/>
      <c r="E405" s="97"/>
      <c r="F405" s="97"/>
      <c r="G405" s="97"/>
      <c r="H405" s="97"/>
      <c r="I405" s="97"/>
      <c r="J405" s="97"/>
      <c r="K405" s="97"/>
      <c r="L405" s="97"/>
      <c r="M405" s="97"/>
      <c r="N405" s="97"/>
      <c r="O405" s="97"/>
      <c r="P405" s="97"/>
      <c r="Q405" s="97"/>
      <c r="R405" s="97"/>
    </row>
    <row r="406" spans="1:18">
      <c r="A406" s="97"/>
      <c r="B406" s="97"/>
      <c r="C406" s="97"/>
      <c r="D406" s="97"/>
      <c r="E406" s="97"/>
      <c r="F406" s="97"/>
      <c r="G406" s="97"/>
      <c r="H406" s="97"/>
      <c r="I406" s="97"/>
      <c r="J406" s="97"/>
      <c r="K406" s="97"/>
      <c r="L406" s="97"/>
      <c r="M406" s="97"/>
      <c r="N406" s="97"/>
      <c r="O406" s="97"/>
      <c r="P406" s="97"/>
      <c r="Q406" s="97"/>
      <c r="R406" s="97"/>
    </row>
    <row r="407" spans="1:18">
      <c r="A407" s="97"/>
      <c r="B407" s="97"/>
      <c r="C407" s="97"/>
      <c r="D407" s="97"/>
      <c r="E407" s="97"/>
      <c r="F407" s="97"/>
      <c r="G407" s="97"/>
      <c r="H407" s="97"/>
      <c r="I407" s="97"/>
      <c r="J407" s="97"/>
      <c r="K407" s="97"/>
      <c r="L407" s="97"/>
      <c r="M407" s="97"/>
      <c r="N407" s="97"/>
      <c r="O407" s="97"/>
      <c r="P407" s="97"/>
      <c r="Q407" s="97"/>
      <c r="R407" s="97"/>
    </row>
    <row r="408" spans="1:18">
      <c r="A408" s="97"/>
      <c r="B408" s="97"/>
      <c r="C408" s="97"/>
      <c r="D408" s="97"/>
      <c r="E408" s="97"/>
      <c r="F408" s="97"/>
      <c r="G408" s="97"/>
      <c r="H408" s="97"/>
      <c r="I408" s="97"/>
      <c r="J408" s="97"/>
      <c r="K408" s="97"/>
      <c r="L408" s="97"/>
      <c r="M408" s="97"/>
      <c r="N408" s="97"/>
      <c r="O408" s="97"/>
      <c r="P408" s="97"/>
      <c r="Q408" s="97"/>
      <c r="R408" s="97"/>
    </row>
    <row r="409" spans="1:18">
      <c r="A409" s="97"/>
      <c r="B409" s="97"/>
      <c r="C409" s="97"/>
      <c r="D409" s="97"/>
      <c r="E409" s="97"/>
      <c r="F409" s="97"/>
      <c r="G409" s="97"/>
      <c r="H409" s="97"/>
      <c r="I409" s="97"/>
      <c r="J409" s="97"/>
      <c r="K409" s="97"/>
      <c r="L409" s="97"/>
      <c r="M409" s="97"/>
      <c r="N409" s="97"/>
      <c r="O409" s="97"/>
      <c r="P409" s="97"/>
      <c r="Q409" s="97"/>
      <c r="R409" s="97"/>
    </row>
    <row r="410" spans="1:18">
      <c r="A410" s="97"/>
      <c r="B410" s="97"/>
      <c r="C410" s="97"/>
      <c r="D410" s="97"/>
      <c r="E410" s="97"/>
      <c r="F410" s="97"/>
      <c r="G410" s="97"/>
      <c r="H410" s="97"/>
      <c r="I410" s="97"/>
      <c r="J410" s="97"/>
      <c r="K410" s="97"/>
      <c r="L410" s="97"/>
      <c r="M410" s="97"/>
      <c r="N410" s="97"/>
      <c r="O410" s="97"/>
      <c r="P410" s="97"/>
      <c r="Q410" s="97"/>
      <c r="R410" s="97"/>
    </row>
    <row r="411" spans="1:18">
      <c r="A411" s="97"/>
      <c r="B411" s="97"/>
      <c r="C411" s="97"/>
      <c r="D411" s="97"/>
      <c r="E411" s="97"/>
      <c r="F411" s="97"/>
      <c r="G411" s="97"/>
      <c r="H411" s="97"/>
      <c r="I411" s="97"/>
      <c r="J411" s="97"/>
      <c r="K411" s="97"/>
      <c r="L411" s="97"/>
      <c r="M411" s="97"/>
      <c r="N411" s="97"/>
      <c r="O411" s="97"/>
      <c r="P411" s="97"/>
      <c r="Q411" s="97"/>
      <c r="R411" s="97"/>
    </row>
    <row r="412" spans="1:18">
      <c r="A412" s="97"/>
      <c r="B412" s="97"/>
      <c r="C412" s="97"/>
      <c r="D412" s="97"/>
      <c r="E412" s="97"/>
      <c r="F412" s="97"/>
      <c r="G412" s="97"/>
      <c r="H412" s="97"/>
      <c r="I412" s="97"/>
      <c r="J412" s="97"/>
      <c r="K412" s="97"/>
      <c r="L412" s="97"/>
      <c r="M412" s="97"/>
      <c r="N412" s="97"/>
      <c r="O412" s="97"/>
      <c r="P412" s="97"/>
      <c r="Q412" s="97"/>
      <c r="R412" s="97"/>
    </row>
    <row r="413" spans="1:18">
      <c r="A413" s="97"/>
      <c r="B413" s="97"/>
      <c r="C413" s="97"/>
      <c r="D413" s="97"/>
      <c r="E413" s="97"/>
      <c r="F413" s="97"/>
      <c r="G413" s="97"/>
      <c r="H413" s="97"/>
      <c r="I413" s="97"/>
      <c r="J413" s="97"/>
      <c r="K413" s="97"/>
      <c r="L413" s="97"/>
      <c r="M413" s="97"/>
      <c r="N413" s="97"/>
      <c r="O413" s="97"/>
      <c r="P413" s="97"/>
      <c r="Q413" s="97"/>
      <c r="R413" s="97"/>
    </row>
  </sheetData>
  <mergeCells count="811">
    <mergeCell ref="A265:T265"/>
    <mergeCell ref="A292:T292"/>
    <mergeCell ref="Q214:R214"/>
    <mergeCell ref="S214:T214"/>
    <mergeCell ref="A15:T15"/>
    <mergeCell ref="Q213:R213"/>
    <mergeCell ref="S213:T213"/>
    <mergeCell ref="A214:B214"/>
    <mergeCell ref="C214:D214"/>
    <mergeCell ref="E214:F214"/>
    <mergeCell ref="G214:H214"/>
    <mergeCell ref="I214:J214"/>
    <mergeCell ref="K214:L214"/>
    <mergeCell ref="M214:N214"/>
    <mergeCell ref="O214:P214"/>
    <mergeCell ref="S212:T212"/>
    <mergeCell ref="A213:B213"/>
    <mergeCell ref="C213:D213"/>
    <mergeCell ref="E213:F213"/>
    <mergeCell ref="G213:H213"/>
    <mergeCell ref="I213:J213"/>
    <mergeCell ref="K213:L213"/>
    <mergeCell ref="M213:N213"/>
    <mergeCell ref="O213:P213"/>
    <mergeCell ref="A7:T7"/>
    <mergeCell ref="A8:T8"/>
    <mergeCell ref="A9:T9"/>
    <mergeCell ref="A10:T10"/>
    <mergeCell ref="A59:T59"/>
    <mergeCell ref="A16:T16"/>
    <mergeCell ref="A17:T17"/>
    <mergeCell ref="B89:T89"/>
    <mergeCell ref="O39:R39"/>
    <mergeCell ref="T29:T41"/>
    <mergeCell ref="A212:B212"/>
    <mergeCell ref="C212:D212"/>
    <mergeCell ref="E212:F212"/>
    <mergeCell ref="G212:H212"/>
    <mergeCell ref="I212:J212"/>
    <mergeCell ref="K212:L212"/>
    <mergeCell ref="M212:N212"/>
    <mergeCell ref="O212:P212"/>
    <mergeCell ref="Q212:R212"/>
    <mergeCell ref="S210:T210"/>
    <mergeCell ref="A211:B211"/>
    <mergeCell ref="C211:D211"/>
    <mergeCell ref="E211:F211"/>
    <mergeCell ref="G211:H211"/>
    <mergeCell ref="I211:J211"/>
    <mergeCell ref="K211:L211"/>
    <mergeCell ref="M211:N211"/>
    <mergeCell ref="O211:P211"/>
    <mergeCell ref="Q211:R211"/>
    <mergeCell ref="S211:T211"/>
    <mergeCell ref="A210:B210"/>
    <mergeCell ref="C210:D210"/>
    <mergeCell ref="E210:F210"/>
    <mergeCell ref="G210:H210"/>
    <mergeCell ref="I210:J210"/>
    <mergeCell ref="K210:L210"/>
    <mergeCell ref="M210:N210"/>
    <mergeCell ref="O210:P210"/>
    <mergeCell ref="Q210:R210"/>
    <mergeCell ref="S208:T208"/>
    <mergeCell ref="A209:B209"/>
    <mergeCell ref="C209:D209"/>
    <mergeCell ref="E209:F209"/>
    <mergeCell ref="G209:H209"/>
    <mergeCell ref="I209:J209"/>
    <mergeCell ref="K209:L209"/>
    <mergeCell ref="M209:N209"/>
    <mergeCell ref="O209:P209"/>
    <mergeCell ref="Q209:R209"/>
    <mergeCell ref="S209:T209"/>
    <mergeCell ref="A208:B208"/>
    <mergeCell ref="C208:D208"/>
    <mergeCell ref="E208:F208"/>
    <mergeCell ref="G208:H208"/>
    <mergeCell ref="I208:J208"/>
    <mergeCell ref="K208:L208"/>
    <mergeCell ref="M208:N208"/>
    <mergeCell ref="O208:P208"/>
    <mergeCell ref="Q208:R208"/>
    <mergeCell ref="S206:T206"/>
    <mergeCell ref="A207:B207"/>
    <mergeCell ref="C207:D207"/>
    <mergeCell ref="E207:F207"/>
    <mergeCell ref="G207:H207"/>
    <mergeCell ref="I207:J207"/>
    <mergeCell ref="K207:L207"/>
    <mergeCell ref="M207:N207"/>
    <mergeCell ref="O207:P207"/>
    <mergeCell ref="Q207:R207"/>
    <mergeCell ref="S207:T207"/>
    <mergeCell ref="A206:B206"/>
    <mergeCell ref="C206:D206"/>
    <mergeCell ref="E206:F206"/>
    <mergeCell ref="G206:H206"/>
    <mergeCell ref="I206:J206"/>
    <mergeCell ref="K206:L206"/>
    <mergeCell ref="M206:N206"/>
    <mergeCell ref="O206:P206"/>
    <mergeCell ref="Q206:R206"/>
    <mergeCell ref="S204:T204"/>
    <mergeCell ref="A205:B205"/>
    <mergeCell ref="C205:D205"/>
    <mergeCell ref="E205:F205"/>
    <mergeCell ref="G205:H205"/>
    <mergeCell ref="I205:J205"/>
    <mergeCell ref="K205:L205"/>
    <mergeCell ref="M205:N205"/>
    <mergeCell ref="O205:P205"/>
    <mergeCell ref="Q205:R205"/>
    <mergeCell ref="S205:T205"/>
    <mergeCell ref="A204:B204"/>
    <mergeCell ref="C204:D204"/>
    <mergeCell ref="E204:F204"/>
    <mergeCell ref="G204:H204"/>
    <mergeCell ref="I204:J204"/>
    <mergeCell ref="K204:L204"/>
    <mergeCell ref="M204:N204"/>
    <mergeCell ref="O204:P204"/>
    <mergeCell ref="Q204:R204"/>
    <mergeCell ref="S202:T202"/>
    <mergeCell ref="A203:B203"/>
    <mergeCell ref="C203:D203"/>
    <mergeCell ref="E203:F203"/>
    <mergeCell ref="G203:H203"/>
    <mergeCell ref="I203:J203"/>
    <mergeCell ref="K203:L203"/>
    <mergeCell ref="M203:N203"/>
    <mergeCell ref="O203:P203"/>
    <mergeCell ref="Q203:R203"/>
    <mergeCell ref="S203:T203"/>
    <mergeCell ref="A202:B202"/>
    <mergeCell ref="C202:D202"/>
    <mergeCell ref="E202:F202"/>
    <mergeCell ref="G202:H202"/>
    <mergeCell ref="I202:J202"/>
    <mergeCell ref="K202:L202"/>
    <mergeCell ref="M202:N202"/>
    <mergeCell ref="O202:P202"/>
    <mergeCell ref="Q202:R202"/>
    <mergeCell ref="S200:T200"/>
    <mergeCell ref="A201:B201"/>
    <mergeCell ref="C201:D201"/>
    <mergeCell ref="E201:F201"/>
    <mergeCell ref="G201:H201"/>
    <mergeCell ref="I201:J201"/>
    <mergeCell ref="K201:L201"/>
    <mergeCell ref="M201:N201"/>
    <mergeCell ref="O201:P201"/>
    <mergeCell ref="Q201:R201"/>
    <mergeCell ref="S201:T201"/>
    <mergeCell ref="A200:B200"/>
    <mergeCell ref="C200:D200"/>
    <mergeCell ref="E200:F200"/>
    <mergeCell ref="G200:H200"/>
    <mergeCell ref="I200:J200"/>
    <mergeCell ref="K200:L200"/>
    <mergeCell ref="M200:N200"/>
    <mergeCell ref="O200:P200"/>
    <mergeCell ref="Q200:R200"/>
    <mergeCell ref="S198:T198"/>
    <mergeCell ref="A199:B199"/>
    <mergeCell ref="C199:D199"/>
    <mergeCell ref="E199:F199"/>
    <mergeCell ref="G199:H199"/>
    <mergeCell ref="I199:J199"/>
    <mergeCell ref="K199:L199"/>
    <mergeCell ref="M199:N199"/>
    <mergeCell ref="O199:P199"/>
    <mergeCell ref="Q199:R199"/>
    <mergeCell ref="S199:T199"/>
    <mergeCell ref="A198:B198"/>
    <mergeCell ref="C198:D198"/>
    <mergeCell ref="E198:F198"/>
    <mergeCell ref="G198:H198"/>
    <mergeCell ref="I198:J198"/>
    <mergeCell ref="K198:L198"/>
    <mergeCell ref="M198:N198"/>
    <mergeCell ref="O198:P198"/>
    <mergeCell ref="Q198:R198"/>
    <mergeCell ref="S196:T196"/>
    <mergeCell ref="A197:B197"/>
    <mergeCell ref="C197:D197"/>
    <mergeCell ref="E197:F197"/>
    <mergeCell ref="G197:H197"/>
    <mergeCell ref="I197:J197"/>
    <mergeCell ref="K197:L197"/>
    <mergeCell ref="M197:N197"/>
    <mergeCell ref="O197:P197"/>
    <mergeCell ref="Q197:R197"/>
    <mergeCell ref="S197:T197"/>
    <mergeCell ref="A196:B196"/>
    <mergeCell ref="C196:D196"/>
    <mergeCell ref="E196:F196"/>
    <mergeCell ref="G196:H196"/>
    <mergeCell ref="I196:J196"/>
    <mergeCell ref="K196:L196"/>
    <mergeCell ref="M196:N196"/>
    <mergeCell ref="O196:P196"/>
    <mergeCell ref="Q196:R196"/>
    <mergeCell ref="S194:T194"/>
    <mergeCell ref="A195:B195"/>
    <mergeCell ref="C195:D195"/>
    <mergeCell ref="E195:F195"/>
    <mergeCell ref="G195:H195"/>
    <mergeCell ref="I195:J195"/>
    <mergeCell ref="K195:L195"/>
    <mergeCell ref="M195:N195"/>
    <mergeCell ref="O195:P195"/>
    <mergeCell ref="Q195:R195"/>
    <mergeCell ref="S195:T195"/>
    <mergeCell ref="A194:B194"/>
    <mergeCell ref="C194:D194"/>
    <mergeCell ref="E194:F194"/>
    <mergeCell ref="G194:H194"/>
    <mergeCell ref="I194:J194"/>
    <mergeCell ref="K194:L194"/>
    <mergeCell ref="M194:N194"/>
    <mergeCell ref="O194:P194"/>
    <mergeCell ref="Q194:R194"/>
    <mergeCell ref="S184:T184"/>
    <mergeCell ref="A193:B193"/>
    <mergeCell ref="C193:D193"/>
    <mergeCell ref="E193:F193"/>
    <mergeCell ref="G193:H193"/>
    <mergeCell ref="I193:J193"/>
    <mergeCell ref="K193:L193"/>
    <mergeCell ref="M193:N193"/>
    <mergeCell ref="O193:P193"/>
    <mergeCell ref="Q193:R193"/>
    <mergeCell ref="S193:T193"/>
    <mergeCell ref="A184:B184"/>
    <mergeCell ref="C184:D184"/>
    <mergeCell ref="E184:F184"/>
    <mergeCell ref="G184:H184"/>
    <mergeCell ref="I184:J184"/>
    <mergeCell ref="K184:L184"/>
    <mergeCell ref="M184:N184"/>
    <mergeCell ref="O184:P184"/>
    <mergeCell ref="Q184:R184"/>
    <mergeCell ref="S191:T191"/>
    <mergeCell ref="A191:B191"/>
    <mergeCell ref="C191:D191"/>
    <mergeCell ref="E191:F191"/>
    <mergeCell ref="S182:T182"/>
    <mergeCell ref="A183:B183"/>
    <mergeCell ref="C183:D183"/>
    <mergeCell ref="E183:F183"/>
    <mergeCell ref="G183:H183"/>
    <mergeCell ref="I183:J183"/>
    <mergeCell ref="K183:L183"/>
    <mergeCell ref="M183:N183"/>
    <mergeCell ref="O183:P183"/>
    <mergeCell ref="Q183:R183"/>
    <mergeCell ref="S183:T183"/>
    <mergeCell ref="A182:B182"/>
    <mergeCell ref="C182:D182"/>
    <mergeCell ref="E182:F182"/>
    <mergeCell ref="G182:H182"/>
    <mergeCell ref="I182:J182"/>
    <mergeCell ref="K182:L182"/>
    <mergeCell ref="M182:N182"/>
    <mergeCell ref="O182:P182"/>
    <mergeCell ref="Q182:R182"/>
    <mergeCell ref="S180:T180"/>
    <mergeCell ref="A181:B181"/>
    <mergeCell ref="C181:D181"/>
    <mergeCell ref="E181:F181"/>
    <mergeCell ref="G181:H181"/>
    <mergeCell ref="I181:J181"/>
    <mergeCell ref="K181:L181"/>
    <mergeCell ref="M181:N181"/>
    <mergeCell ref="O181:P181"/>
    <mergeCell ref="Q181:R181"/>
    <mergeCell ref="S181:T181"/>
    <mergeCell ref="A180:B180"/>
    <mergeCell ref="C180:D180"/>
    <mergeCell ref="E180:F180"/>
    <mergeCell ref="G180:H180"/>
    <mergeCell ref="I180:J180"/>
    <mergeCell ref="K180:L180"/>
    <mergeCell ref="M180:N180"/>
    <mergeCell ref="O180:P180"/>
    <mergeCell ref="Q180:R180"/>
    <mergeCell ref="S178:T178"/>
    <mergeCell ref="A179:B179"/>
    <mergeCell ref="C179:D179"/>
    <mergeCell ref="E179:F179"/>
    <mergeCell ref="G179:H179"/>
    <mergeCell ref="I179:J179"/>
    <mergeCell ref="K179:L179"/>
    <mergeCell ref="M179:N179"/>
    <mergeCell ref="O179:P179"/>
    <mergeCell ref="Q179:R179"/>
    <mergeCell ref="S179:T179"/>
    <mergeCell ref="A178:B178"/>
    <mergeCell ref="C178:D178"/>
    <mergeCell ref="E178:F178"/>
    <mergeCell ref="G178:H178"/>
    <mergeCell ref="I178:J178"/>
    <mergeCell ref="K178:L178"/>
    <mergeCell ref="M178:N178"/>
    <mergeCell ref="O178:P178"/>
    <mergeCell ref="Q178:R178"/>
    <mergeCell ref="S176:T176"/>
    <mergeCell ref="A177:B177"/>
    <mergeCell ref="C177:D177"/>
    <mergeCell ref="E177:F177"/>
    <mergeCell ref="G177:H177"/>
    <mergeCell ref="I177:J177"/>
    <mergeCell ref="K177:L177"/>
    <mergeCell ref="M177:N177"/>
    <mergeCell ref="O177:P177"/>
    <mergeCell ref="Q177:R177"/>
    <mergeCell ref="S177:T177"/>
    <mergeCell ref="A176:B176"/>
    <mergeCell ref="C176:D176"/>
    <mergeCell ref="E176:F176"/>
    <mergeCell ref="G176:H176"/>
    <mergeCell ref="I176:J176"/>
    <mergeCell ref="K176:L176"/>
    <mergeCell ref="M176:N176"/>
    <mergeCell ref="O176:P176"/>
    <mergeCell ref="Q176:R176"/>
    <mergeCell ref="S174:T174"/>
    <mergeCell ref="A175:B175"/>
    <mergeCell ref="C175:D175"/>
    <mergeCell ref="E175:F175"/>
    <mergeCell ref="G175:H175"/>
    <mergeCell ref="I175:J175"/>
    <mergeCell ref="K175:L175"/>
    <mergeCell ref="M175:N175"/>
    <mergeCell ref="O175:P175"/>
    <mergeCell ref="Q175:R175"/>
    <mergeCell ref="S175:T175"/>
    <mergeCell ref="A174:B174"/>
    <mergeCell ref="C174:D174"/>
    <mergeCell ref="E174:F174"/>
    <mergeCell ref="G174:H174"/>
    <mergeCell ref="I174:J174"/>
    <mergeCell ref="K174:L174"/>
    <mergeCell ref="M174:N174"/>
    <mergeCell ref="O174:P174"/>
    <mergeCell ref="Q174:R174"/>
    <mergeCell ref="S172:T172"/>
    <mergeCell ref="A173:B173"/>
    <mergeCell ref="C173:D173"/>
    <mergeCell ref="E173:F173"/>
    <mergeCell ref="G173:H173"/>
    <mergeCell ref="I173:J173"/>
    <mergeCell ref="K173:L173"/>
    <mergeCell ref="M173:N173"/>
    <mergeCell ref="O173:P173"/>
    <mergeCell ref="Q173:R173"/>
    <mergeCell ref="S173:T173"/>
    <mergeCell ref="A172:B172"/>
    <mergeCell ref="C172:D172"/>
    <mergeCell ref="E172:F172"/>
    <mergeCell ref="G172:H172"/>
    <mergeCell ref="I172:J172"/>
    <mergeCell ref="K172:L172"/>
    <mergeCell ref="M172:N172"/>
    <mergeCell ref="O172:P172"/>
    <mergeCell ref="Q172:R172"/>
    <mergeCell ref="S170:T170"/>
    <mergeCell ref="A171:B171"/>
    <mergeCell ref="C171:D171"/>
    <mergeCell ref="E171:F171"/>
    <mergeCell ref="G171:H171"/>
    <mergeCell ref="I171:J171"/>
    <mergeCell ref="K171:L171"/>
    <mergeCell ref="M171:N171"/>
    <mergeCell ref="O171:P171"/>
    <mergeCell ref="Q171:R171"/>
    <mergeCell ref="S171:T171"/>
    <mergeCell ref="A170:B170"/>
    <mergeCell ref="C170:D170"/>
    <mergeCell ref="E170:F170"/>
    <mergeCell ref="G170:H170"/>
    <mergeCell ref="I170:J170"/>
    <mergeCell ref="K170:L170"/>
    <mergeCell ref="M170:N170"/>
    <mergeCell ref="O170:P170"/>
    <mergeCell ref="Q170:R170"/>
    <mergeCell ref="S168:T168"/>
    <mergeCell ref="A169:B169"/>
    <mergeCell ref="C169:D169"/>
    <mergeCell ref="E169:F169"/>
    <mergeCell ref="G169:H169"/>
    <mergeCell ref="I169:J169"/>
    <mergeCell ref="K169:L169"/>
    <mergeCell ref="M169:N169"/>
    <mergeCell ref="O169:P169"/>
    <mergeCell ref="Q169:R169"/>
    <mergeCell ref="S169:T169"/>
    <mergeCell ref="A168:B168"/>
    <mergeCell ref="C168:D168"/>
    <mergeCell ref="E168:F168"/>
    <mergeCell ref="G168:H168"/>
    <mergeCell ref="I168:J168"/>
    <mergeCell ref="K168:L168"/>
    <mergeCell ref="M168:N168"/>
    <mergeCell ref="O168:P168"/>
    <mergeCell ref="Q168:R168"/>
    <mergeCell ref="A166:B166"/>
    <mergeCell ref="C166:D166"/>
    <mergeCell ref="E166:F166"/>
    <mergeCell ref="G166:H166"/>
    <mergeCell ref="I166:J166"/>
    <mergeCell ref="K166:L166"/>
    <mergeCell ref="A165:B165"/>
    <mergeCell ref="C165:D165"/>
    <mergeCell ref="Q166:R166"/>
    <mergeCell ref="Q165:R165"/>
    <mergeCell ref="S165:T165"/>
    <mergeCell ref="E165:F165"/>
    <mergeCell ref="G165:H165"/>
    <mergeCell ref="I165:J165"/>
    <mergeCell ref="K165:L165"/>
    <mergeCell ref="M163:N163"/>
    <mergeCell ref="O163:P163"/>
    <mergeCell ref="S164:T164"/>
    <mergeCell ref="M165:N165"/>
    <mergeCell ref="O165:P165"/>
    <mergeCell ref="Q164:R164"/>
    <mergeCell ref="S163:T163"/>
    <mergeCell ref="A159:B159"/>
    <mergeCell ref="C159:D159"/>
    <mergeCell ref="E159:F159"/>
    <mergeCell ref="G159:H159"/>
    <mergeCell ref="I159:J159"/>
    <mergeCell ref="K159:L159"/>
    <mergeCell ref="M159:N159"/>
    <mergeCell ref="O159:P159"/>
    <mergeCell ref="Q159:R159"/>
    <mergeCell ref="A160:B160"/>
    <mergeCell ref="C160:D160"/>
    <mergeCell ref="E160:F160"/>
    <mergeCell ref="G160:H160"/>
    <mergeCell ref="I160:J160"/>
    <mergeCell ref="K160:L160"/>
    <mergeCell ref="M160:N160"/>
    <mergeCell ref="O160:P160"/>
    <mergeCell ref="Q160:R160"/>
    <mergeCell ref="A149:B149"/>
    <mergeCell ref="C149:D149"/>
    <mergeCell ref="E149:F149"/>
    <mergeCell ref="A148:B148"/>
    <mergeCell ref="C148:D148"/>
    <mergeCell ref="E148:F148"/>
    <mergeCell ref="S154:T154"/>
    <mergeCell ref="A153:B153"/>
    <mergeCell ref="C153:D153"/>
    <mergeCell ref="E153:F153"/>
    <mergeCell ref="G153:H153"/>
    <mergeCell ref="I153:J153"/>
    <mergeCell ref="K153:L153"/>
    <mergeCell ref="A154:B154"/>
    <mergeCell ref="C154:D154"/>
    <mergeCell ref="E154:F154"/>
    <mergeCell ref="G154:H154"/>
    <mergeCell ref="I154:J154"/>
    <mergeCell ref="K154:L154"/>
    <mergeCell ref="M154:N154"/>
    <mergeCell ref="O154:P154"/>
    <mergeCell ref="Q154:R154"/>
    <mergeCell ref="A150:B150"/>
    <mergeCell ref="C150:D150"/>
    <mergeCell ref="E150:F150"/>
    <mergeCell ref="G150:H150"/>
    <mergeCell ref="I150:J150"/>
    <mergeCell ref="K150:L150"/>
    <mergeCell ref="M150:N150"/>
    <mergeCell ref="O150:P150"/>
    <mergeCell ref="Q150:R150"/>
    <mergeCell ref="S145:T145"/>
    <mergeCell ref="S147:T147"/>
    <mergeCell ref="O146:P146"/>
    <mergeCell ref="Q146:R146"/>
    <mergeCell ref="S146:T146"/>
    <mergeCell ref="G149:H149"/>
    <mergeCell ref="I149:J149"/>
    <mergeCell ref="K149:L149"/>
    <mergeCell ref="G146:H146"/>
    <mergeCell ref="I146:J146"/>
    <mergeCell ref="K146:L146"/>
    <mergeCell ref="G148:H148"/>
    <mergeCell ref="I148:J148"/>
    <mergeCell ref="K148:L148"/>
    <mergeCell ref="M148:N148"/>
    <mergeCell ref="O148:P148"/>
    <mergeCell ref="M149:N149"/>
    <mergeCell ref="A147:B147"/>
    <mergeCell ref="C147:D147"/>
    <mergeCell ref="E147:F147"/>
    <mergeCell ref="G147:H147"/>
    <mergeCell ref="I147:J147"/>
    <mergeCell ref="K147:L147"/>
    <mergeCell ref="M147:N147"/>
    <mergeCell ref="O147:P147"/>
    <mergeCell ref="Q147:R147"/>
    <mergeCell ref="A145:B145"/>
    <mergeCell ref="C145:D145"/>
    <mergeCell ref="E145:F145"/>
    <mergeCell ref="G145:H145"/>
    <mergeCell ref="I145:J145"/>
    <mergeCell ref="K145:L145"/>
    <mergeCell ref="M145:N145"/>
    <mergeCell ref="O145:P145"/>
    <mergeCell ref="Q145:R145"/>
    <mergeCell ref="A146:B146"/>
    <mergeCell ref="C146:D146"/>
    <mergeCell ref="E146:F146"/>
    <mergeCell ref="S134:T134"/>
    <mergeCell ref="A143:B143"/>
    <mergeCell ref="C143:D143"/>
    <mergeCell ref="E143:F143"/>
    <mergeCell ref="G143:H143"/>
    <mergeCell ref="I143:J143"/>
    <mergeCell ref="K143:L143"/>
    <mergeCell ref="M143:N143"/>
    <mergeCell ref="O143:P143"/>
    <mergeCell ref="Q143:R143"/>
    <mergeCell ref="S143:T143"/>
    <mergeCell ref="A134:B134"/>
    <mergeCell ref="C134:D134"/>
    <mergeCell ref="E134:F134"/>
    <mergeCell ref="G134:H134"/>
    <mergeCell ref="I134:J134"/>
    <mergeCell ref="K134:L134"/>
    <mergeCell ref="M134:N134"/>
    <mergeCell ref="O134:P134"/>
    <mergeCell ref="Q134:R134"/>
    <mergeCell ref="M146:N146"/>
    <mergeCell ref="S132:T132"/>
    <mergeCell ref="A133:B133"/>
    <mergeCell ref="C133:D133"/>
    <mergeCell ref="E133:F133"/>
    <mergeCell ref="G133:H133"/>
    <mergeCell ref="I133:J133"/>
    <mergeCell ref="K133:L133"/>
    <mergeCell ref="M133:N133"/>
    <mergeCell ref="O133:P133"/>
    <mergeCell ref="Q133:R133"/>
    <mergeCell ref="S133:T133"/>
    <mergeCell ref="A132:B132"/>
    <mergeCell ref="C132:D132"/>
    <mergeCell ref="E132:F132"/>
    <mergeCell ref="G132:H132"/>
    <mergeCell ref="I132:J132"/>
    <mergeCell ref="K132:L132"/>
    <mergeCell ref="M132:N132"/>
    <mergeCell ref="O132:P132"/>
    <mergeCell ref="Q132:R132"/>
    <mergeCell ref="S130:T130"/>
    <mergeCell ref="A131:B131"/>
    <mergeCell ref="C131:D131"/>
    <mergeCell ref="E131:F131"/>
    <mergeCell ref="G131:H131"/>
    <mergeCell ref="I131:J131"/>
    <mergeCell ref="K131:L131"/>
    <mergeCell ref="M131:N131"/>
    <mergeCell ref="O131:P131"/>
    <mergeCell ref="Q131:R131"/>
    <mergeCell ref="S131:T131"/>
    <mergeCell ref="A130:B130"/>
    <mergeCell ref="C130:D130"/>
    <mergeCell ref="E130:F130"/>
    <mergeCell ref="G130:H130"/>
    <mergeCell ref="I130:J130"/>
    <mergeCell ref="K130:L130"/>
    <mergeCell ref="M130:N130"/>
    <mergeCell ref="O130:P130"/>
    <mergeCell ref="Q130:R130"/>
    <mergeCell ref="S128:T128"/>
    <mergeCell ref="A129:B129"/>
    <mergeCell ref="C129:D129"/>
    <mergeCell ref="E129:F129"/>
    <mergeCell ref="G129:H129"/>
    <mergeCell ref="I129:J129"/>
    <mergeCell ref="K129:L129"/>
    <mergeCell ref="M129:N129"/>
    <mergeCell ref="O129:P129"/>
    <mergeCell ref="Q129:R129"/>
    <mergeCell ref="S129:T129"/>
    <mergeCell ref="A128:B128"/>
    <mergeCell ref="C128:D128"/>
    <mergeCell ref="E128:F128"/>
    <mergeCell ref="G128:H128"/>
    <mergeCell ref="I128:J128"/>
    <mergeCell ref="K128:L128"/>
    <mergeCell ref="M128:N128"/>
    <mergeCell ref="O128:P128"/>
    <mergeCell ref="Q128:R128"/>
    <mergeCell ref="S126:T126"/>
    <mergeCell ref="A127:B127"/>
    <mergeCell ref="C127:D127"/>
    <mergeCell ref="E127:F127"/>
    <mergeCell ref="G127:H127"/>
    <mergeCell ref="I127:J127"/>
    <mergeCell ref="K127:L127"/>
    <mergeCell ref="M127:N127"/>
    <mergeCell ref="O127:P127"/>
    <mergeCell ref="Q127:R127"/>
    <mergeCell ref="S127:T127"/>
    <mergeCell ref="A126:B126"/>
    <mergeCell ref="C126:D126"/>
    <mergeCell ref="E126:F126"/>
    <mergeCell ref="G126:H126"/>
    <mergeCell ref="I126:J126"/>
    <mergeCell ref="K126:L126"/>
    <mergeCell ref="M126:N126"/>
    <mergeCell ref="O126:P126"/>
    <mergeCell ref="Q126:R126"/>
    <mergeCell ref="S124:T124"/>
    <mergeCell ref="A125:B125"/>
    <mergeCell ref="C125:D125"/>
    <mergeCell ref="E125:F125"/>
    <mergeCell ref="G125:H125"/>
    <mergeCell ref="I125:J125"/>
    <mergeCell ref="K125:L125"/>
    <mergeCell ref="M125:N125"/>
    <mergeCell ref="O125:P125"/>
    <mergeCell ref="Q125:R125"/>
    <mergeCell ref="S125:T125"/>
    <mergeCell ref="A237:T237"/>
    <mergeCell ref="K122:L122"/>
    <mergeCell ref="M122:N122"/>
    <mergeCell ref="O122:P122"/>
    <mergeCell ref="B75:T75"/>
    <mergeCell ref="B78:T78"/>
    <mergeCell ref="B79:T79"/>
    <mergeCell ref="B82:Q82"/>
    <mergeCell ref="B85:Q85"/>
    <mergeCell ref="Q191:R191"/>
    <mergeCell ref="B92:T92"/>
    <mergeCell ref="A122:B122"/>
    <mergeCell ref="C122:D122"/>
    <mergeCell ref="E122:F122"/>
    <mergeCell ref="G122:H122"/>
    <mergeCell ref="I122:J122"/>
    <mergeCell ref="A103:T103"/>
    <mergeCell ref="Q122:R122"/>
    <mergeCell ref="S122:T122"/>
    <mergeCell ref="A124:B124"/>
    <mergeCell ref="C124:D124"/>
    <mergeCell ref="E124:F124"/>
    <mergeCell ref="G124:H124"/>
    <mergeCell ref="I124:J124"/>
    <mergeCell ref="O149:P149"/>
    <mergeCell ref="Q149:R149"/>
    <mergeCell ref="S149:T149"/>
    <mergeCell ref="Q148:R148"/>
    <mergeCell ref="S148:T148"/>
    <mergeCell ref="Q151:R151"/>
    <mergeCell ref="I152:J152"/>
    <mergeCell ref="K152:L152"/>
    <mergeCell ref="M152:N152"/>
    <mergeCell ref="O152:P152"/>
    <mergeCell ref="Q152:R152"/>
    <mergeCell ref="S152:T152"/>
    <mergeCell ref="S150:T150"/>
    <mergeCell ref="S151:T151"/>
    <mergeCell ref="M162:N162"/>
    <mergeCell ref="O162:P162"/>
    <mergeCell ref="Q162:R162"/>
    <mergeCell ref="S162:T162"/>
    <mergeCell ref="O151:P151"/>
    <mergeCell ref="G191:H191"/>
    <mergeCell ref="I191:J191"/>
    <mergeCell ref="K191:L191"/>
    <mergeCell ref="M191:N191"/>
    <mergeCell ref="O191:P191"/>
    <mergeCell ref="O157:P157"/>
    <mergeCell ref="Q157:R157"/>
    <mergeCell ref="S157:T157"/>
    <mergeCell ref="K158:L158"/>
    <mergeCell ref="M158:N158"/>
    <mergeCell ref="O158:P158"/>
    <mergeCell ref="Q158:R158"/>
    <mergeCell ref="S158:T158"/>
    <mergeCell ref="K157:L157"/>
    <mergeCell ref="M157:N157"/>
    <mergeCell ref="S159:T159"/>
    <mergeCell ref="S160:T160"/>
    <mergeCell ref="M167:N167"/>
    <mergeCell ref="O167:P167"/>
    <mergeCell ref="Q167:R167"/>
    <mergeCell ref="S167:T167"/>
    <mergeCell ref="M164:N164"/>
    <mergeCell ref="O164:P164"/>
    <mergeCell ref="A155:B155"/>
    <mergeCell ref="C155:D155"/>
    <mergeCell ref="E155:F155"/>
    <mergeCell ref="G155:H155"/>
    <mergeCell ref="I155:J155"/>
    <mergeCell ref="K155:L155"/>
    <mergeCell ref="M155:N155"/>
    <mergeCell ref="O155:P155"/>
    <mergeCell ref="Q163:R163"/>
    <mergeCell ref="Q155:R155"/>
    <mergeCell ref="S155:T155"/>
    <mergeCell ref="S161:T161"/>
    <mergeCell ref="A164:B164"/>
    <mergeCell ref="C164:D164"/>
    <mergeCell ref="E164:F164"/>
    <mergeCell ref="G164:H164"/>
    <mergeCell ref="I164:J164"/>
    <mergeCell ref="K164:L164"/>
    <mergeCell ref="M156:N156"/>
    <mergeCell ref="O156:P156"/>
    <mergeCell ref="A152:B152"/>
    <mergeCell ref="C152:D152"/>
    <mergeCell ref="E152:F152"/>
    <mergeCell ref="G152:H152"/>
    <mergeCell ref="M153:N153"/>
    <mergeCell ref="O153:P153"/>
    <mergeCell ref="Q153:R153"/>
    <mergeCell ref="S153:T153"/>
    <mergeCell ref="A151:B151"/>
    <mergeCell ref="C151:D151"/>
    <mergeCell ref="E151:F151"/>
    <mergeCell ref="G151:H151"/>
    <mergeCell ref="I151:J151"/>
    <mergeCell ref="K151:L151"/>
    <mergeCell ref="M151:N151"/>
    <mergeCell ref="Q156:R156"/>
    <mergeCell ref="S156:T156"/>
    <mergeCell ref="A161:B161"/>
    <mergeCell ref="C161:D161"/>
    <mergeCell ref="E161:F161"/>
    <mergeCell ref="G161:H161"/>
    <mergeCell ref="I161:J161"/>
    <mergeCell ref="K161:L161"/>
    <mergeCell ref="A157:B157"/>
    <mergeCell ref="C157:D157"/>
    <mergeCell ref="E157:F157"/>
    <mergeCell ref="K156:L156"/>
    <mergeCell ref="A156:B156"/>
    <mergeCell ref="C156:D156"/>
    <mergeCell ref="E156:F156"/>
    <mergeCell ref="G156:H156"/>
    <mergeCell ref="I156:J156"/>
    <mergeCell ref="A158:B158"/>
    <mergeCell ref="C158:D158"/>
    <mergeCell ref="E158:F158"/>
    <mergeCell ref="G158:H158"/>
    <mergeCell ref="I158:J158"/>
    <mergeCell ref="G157:H157"/>
    <mergeCell ref="I157:J157"/>
    <mergeCell ref="S166:T166"/>
    <mergeCell ref="A167:B167"/>
    <mergeCell ref="C167:D167"/>
    <mergeCell ref="E167:F167"/>
    <mergeCell ref="G167:H167"/>
    <mergeCell ref="I167:J167"/>
    <mergeCell ref="K167:L167"/>
    <mergeCell ref="M161:N161"/>
    <mergeCell ref="O161:P161"/>
    <mergeCell ref="Q161:R161"/>
    <mergeCell ref="A162:B162"/>
    <mergeCell ref="C162:D162"/>
    <mergeCell ref="E162:F162"/>
    <mergeCell ref="G162:H162"/>
    <mergeCell ref="I162:J162"/>
    <mergeCell ref="K162:L162"/>
    <mergeCell ref="A163:B163"/>
    <mergeCell ref="C163:D163"/>
    <mergeCell ref="E163:F163"/>
    <mergeCell ref="G163:H163"/>
    <mergeCell ref="I163:J163"/>
    <mergeCell ref="K163:L163"/>
    <mergeCell ref="M166:N166"/>
    <mergeCell ref="O166:P166"/>
    <mergeCell ref="S123:T123"/>
    <mergeCell ref="A144:B144"/>
    <mergeCell ref="C144:D144"/>
    <mergeCell ref="E144:F144"/>
    <mergeCell ref="G144:H144"/>
    <mergeCell ref="I144:J144"/>
    <mergeCell ref="K144:L144"/>
    <mergeCell ref="M144:N144"/>
    <mergeCell ref="O144:P144"/>
    <mergeCell ref="Q144:R144"/>
    <mergeCell ref="S144:T144"/>
    <mergeCell ref="A123:B123"/>
    <mergeCell ref="C123:D123"/>
    <mergeCell ref="E123:F123"/>
    <mergeCell ref="G123:H123"/>
    <mergeCell ref="I123:J123"/>
    <mergeCell ref="K123:L123"/>
    <mergeCell ref="M123:N123"/>
    <mergeCell ref="O123:P123"/>
    <mergeCell ref="Q123:R123"/>
    <mergeCell ref="K124:L124"/>
    <mergeCell ref="M124:N124"/>
    <mergeCell ref="O124:P124"/>
    <mergeCell ref="Q124:R124"/>
    <mergeCell ref="S192:T192"/>
    <mergeCell ref="A192:B192"/>
    <mergeCell ref="C192:D192"/>
    <mergeCell ref="E192:F192"/>
    <mergeCell ref="G192:H192"/>
    <mergeCell ref="I192:J192"/>
    <mergeCell ref="K192:L192"/>
    <mergeCell ref="M192:N192"/>
    <mergeCell ref="O192:P192"/>
    <mergeCell ref="Q192:R192"/>
  </mergeCells>
  <pageMargins left="0.62992125984251968" right="0.62992125984251968" top="0.35433070866141736" bottom="0.35433070866141736" header="0.31496062992125984" footer="0.31496062992125984"/>
  <pageSetup paperSize="9"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pageSetUpPr fitToPage="1"/>
  </sheetPr>
  <dimension ref="A1:V38"/>
  <sheetViews>
    <sheetView showGridLines="0" zoomScale="90" zoomScaleNormal="90" workbookViewId="0">
      <selection activeCell="D15" sqref="D15"/>
    </sheetView>
  </sheetViews>
  <sheetFormatPr defaultColWidth="9.140625" defaultRowHeight="12.75"/>
  <cols>
    <col min="1" max="1" width="13.85546875" style="323" customWidth="1"/>
    <col min="2" max="2" width="9.140625" style="56"/>
    <col min="3" max="4" width="8.7109375" style="56" customWidth="1"/>
    <col min="5" max="5" width="9.5703125" style="56" customWidth="1"/>
    <col min="6" max="6" width="7.85546875" style="56" customWidth="1"/>
    <col min="7" max="7" width="9.5703125" style="56" customWidth="1"/>
    <col min="8" max="8" width="7.85546875" style="56" customWidth="1"/>
    <col min="9" max="9" width="9.28515625" style="56" customWidth="1"/>
    <col min="10" max="10" width="7.85546875" style="56" customWidth="1"/>
    <col min="11" max="11" width="1.85546875" style="56" customWidth="1"/>
    <col min="12" max="12" width="9.85546875" style="56" customWidth="1"/>
    <col min="13" max="13" width="9.7109375" style="56" customWidth="1"/>
    <col min="14" max="14" width="9.140625" style="56"/>
    <col min="15" max="15" width="1.85546875" style="56" customWidth="1"/>
    <col min="16" max="17" width="9.140625" style="56"/>
    <col min="18" max="18" width="1.5703125" style="56" customWidth="1"/>
    <col min="19" max="19" width="11.42578125" style="56" customWidth="1"/>
    <col min="20" max="20" width="11.28515625" style="56" customWidth="1"/>
    <col min="21" max="16384" width="9.140625" style="56"/>
  </cols>
  <sheetData>
    <row r="1" spans="1:22" s="511" customFormat="1" ht="15.75">
      <c r="A1" s="510" t="s">
        <v>523</v>
      </c>
      <c r="E1" s="56"/>
      <c r="G1" s="56"/>
      <c r="P1" s="57" t="str">
        <f>Intro!D4</f>
        <v>IRC-FORM-2100J (ARPANSA-FORM-1856)</v>
      </c>
    </row>
    <row r="2" spans="1:22" s="511" customFormat="1" ht="12.75" customHeight="1">
      <c r="A2" s="513"/>
      <c r="P2" s="59" t="str">
        <f>Intro!D5</f>
        <v>23-Production</v>
      </c>
      <c r="R2" s="69"/>
      <c r="V2" s="434" t="s">
        <v>825</v>
      </c>
    </row>
    <row r="3" spans="1:22" s="69" customFormat="1">
      <c r="A3" s="514" t="str">
        <f>Client!B5</f>
        <v>CAL11957</v>
      </c>
      <c r="B3" s="515" t="str">
        <f>Client!B6</f>
        <v>De-identified for distribution</v>
      </c>
      <c r="C3" s="517"/>
      <c r="D3" s="517"/>
      <c r="E3" s="517"/>
      <c r="F3" s="517"/>
      <c r="G3" s="517"/>
      <c r="H3" s="518"/>
      <c r="P3" s="59" t="str">
        <f>Intro!B10</f>
        <v>Validated: Note yet</v>
      </c>
      <c r="V3" s="434" t="s">
        <v>826</v>
      </c>
    </row>
    <row r="4" spans="1:22">
      <c r="A4" s="188" t="s">
        <v>27</v>
      </c>
      <c r="B4" s="1341" t="e">
        <f ca="1">Client!AU2</f>
        <v>#N/A</v>
      </c>
      <c r="C4" s="1342"/>
      <c r="E4" s="70"/>
      <c r="G4" s="70"/>
    </row>
    <row r="5" spans="1:22">
      <c r="A5" s="56" t="s">
        <v>28</v>
      </c>
      <c r="B5" s="1339">
        <f>Client!B58</f>
        <v>0</v>
      </c>
      <c r="C5" s="1340"/>
      <c r="D5" s="70"/>
      <c r="F5" s="929" t="s">
        <v>1364</v>
      </c>
      <c r="G5" s="634" t="s">
        <v>826</v>
      </c>
      <c r="L5" s="907" t="s">
        <v>1383</v>
      </c>
      <c r="M5" s="941">
        <f>COUNTA(D12,E12,G12,I12)</f>
        <v>0</v>
      </c>
      <c r="O5" s="929" t="s">
        <v>446</v>
      </c>
      <c r="P5" s="1229"/>
      <c r="Q5" s="1230"/>
      <c r="R5" s="1230"/>
      <c r="S5" s="1230"/>
      <c r="T5" s="1231"/>
    </row>
    <row r="6" spans="1:22" ht="6" customHeight="1"/>
    <row r="7" spans="1:22">
      <c r="D7" s="520" t="s">
        <v>70</v>
      </c>
      <c r="E7" s="520"/>
      <c r="F7" s="521"/>
      <c r="G7" s="520"/>
      <c r="H7" s="521"/>
      <c r="I7" s="521"/>
      <c r="J7" s="522"/>
      <c r="L7" s="541"/>
      <c r="M7" s="542" t="s">
        <v>47</v>
      </c>
      <c r="N7" s="519"/>
      <c r="P7" s="520" t="s">
        <v>71</v>
      </c>
      <c r="Q7" s="522"/>
      <c r="S7" s="520" t="s">
        <v>156</v>
      </c>
      <c r="T7" s="522"/>
      <c r="V7" s="311" t="s">
        <v>524</v>
      </c>
    </row>
    <row r="8" spans="1:22">
      <c r="D8" s="523" t="str">
        <f>A3</f>
        <v>CAL11957</v>
      </c>
      <c r="E8" s="524"/>
      <c r="F8" s="524"/>
      <c r="G8" s="524"/>
      <c r="H8" s="524"/>
      <c r="I8" s="524"/>
      <c r="J8" s="525"/>
      <c r="L8" s="543"/>
      <c r="M8" s="544" t="str">
        <f>A3</f>
        <v>CAL11957</v>
      </c>
      <c r="N8" s="545"/>
      <c r="P8" s="1226"/>
      <c r="Q8" s="1227"/>
      <c r="S8" s="1226"/>
      <c r="T8" s="1227"/>
      <c r="V8" s="289" t="s">
        <v>525</v>
      </c>
    </row>
    <row r="9" spans="1:22">
      <c r="A9" s="288" t="s">
        <v>35</v>
      </c>
      <c r="B9" s="288" t="s">
        <v>36</v>
      </c>
      <c r="C9" s="288" t="s">
        <v>40</v>
      </c>
      <c r="D9" s="288" t="s">
        <v>84</v>
      </c>
      <c r="E9" s="288" t="s">
        <v>84</v>
      </c>
      <c r="F9" s="288" t="s">
        <v>23</v>
      </c>
      <c r="G9" s="288" t="s">
        <v>84</v>
      </c>
      <c r="H9" s="288" t="s">
        <v>23</v>
      </c>
      <c r="I9" s="288" t="s">
        <v>84</v>
      </c>
      <c r="J9" s="288" t="s">
        <v>23</v>
      </c>
      <c r="L9" s="288" t="s">
        <v>37</v>
      </c>
      <c r="M9" s="288" t="s">
        <v>37</v>
      </c>
      <c r="N9" s="288" t="s">
        <v>37</v>
      </c>
      <c r="P9" s="288" t="s">
        <v>37</v>
      </c>
      <c r="Q9" s="527" t="s">
        <v>23</v>
      </c>
      <c r="S9" s="288" t="s">
        <v>37</v>
      </c>
      <c r="T9" s="527" t="s">
        <v>44</v>
      </c>
      <c r="V9" s="325" t="s">
        <v>38</v>
      </c>
    </row>
    <row r="10" spans="1:22">
      <c r="A10" s="289"/>
      <c r="B10" s="289"/>
      <c r="C10" s="289"/>
      <c r="D10" s="35">
        <v>1</v>
      </c>
      <c r="E10" s="35">
        <v>2</v>
      </c>
      <c r="F10" s="289" t="str">
        <f>E10&amp;" - "&amp;D10</f>
        <v>2 - 1</v>
      </c>
      <c r="G10" s="35">
        <v>3</v>
      </c>
      <c r="H10" s="289" t="str">
        <f>G10&amp;" - "&amp;D10</f>
        <v>3 - 1</v>
      </c>
      <c r="I10" s="35">
        <v>4</v>
      </c>
      <c r="J10" s="289" t="str">
        <f>I10&amp;" - "&amp;D10</f>
        <v>4 - 1</v>
      </c>
      <c r="L10" s="289"/>
      <c r="M10" s="289"/>
      <c r="N10" s="289"/>
      <c r="P10" s="289"/>
      <c r="Q10" s="528" t="s">
        <v>94</v>
      </c>
      <c r="S10" s="289"/>
      <c r="T10" s="528" t="s">
        <v>95</v>
      </c>
      <c r="V10" s="288"/>
    </row>
    <row r="11" spans="1:22">
      <c r="A11" s="334"/>
      <c r="B11" s="334"/>
      <c r="C11" s="334" t="s">
        <v>41</v>
      </c>
      <c r="D11" s="334" t="s">
        <v>0</v>
      </c>
      <c r="E11" s="334" t="s">
        <v>0</v>
      </c>
      <c r="F11" s="334" t="s">
        <v>38</v>
      </c>
      <c r="G11" s="334" t="s">
        <v>0</v>
      </c>
      <c r="H11" s="334" t="s">
        <v>38</v>
      </c>
      <c r="I11" s="334" t="s">
        <v>0</v>
      </c>
      <c r="J11" s="334" t="s">
        <v>38</v>
      </c>
      <c r="L11" s="334" t="s">
        <v>48</v>
      </c>
      <c r="M11" s="334" t="s">
        <v>46</v>
      </c>
      <c r="N11" s="334" t="s">
        <v>0</v>
      </c>
      <c r="P11" s="334" t="s">
        <v>0</v>
      </c>
      <c r="Q11" s="529" t="s">
        <v>38</v>
      </c>
      <c r="S11" s="334" t="s">
        <v>0</v>
      </c>
      <c r="T11" s="529" t="s">
        <v>38</v>
      </c>
      <c r="V11" s="289"/>
    </row>
    <row r="12" spans="1:22">
      <c r="A12" s="334" t="s">
        <v>85</v>
      </c>
      <c r="B12" s="334">
        <v>20</v>
      </c>
      <c r="C12" s="546">
        <v>10.715034633700199</v>
      </c>
      <c r="D12" s="37"/>
      <c r="E12" s="37"/>
      <c r="F12" s="298" t="str">
        <f t="shared" ref="F12:F19" si="0">IF(E12="","",(E12-$D12)/$D12*100)</f>
        <v/>
      </c>
      <c r="G12" s="37"/>
      <c r="H12" s="298" t="str">
        <f t="shared" ref="H12:H19" si="1">IF(G12="","",(G12-$D12)/$D12*100)</f>
        <v/>
      </c>
      <c r="I12" s="37"/>
      <c r="J12" s="298" t="str">
        <f t="shared" ref="J12:J19" si="2">IF(I12="","",(I12-$D12)/$D12*100)</f>
        <v/>
      </c>
      <c r="L12" s="286" t="str">
        <f>IF(N12="","",N12/33.97)</f>
        <v/>
      </c>
      <c r="M12" s="286" t="str">
        <f>IF(N12="","",L12/0.258)</f>
        <v/>
      </c>
      <c r="N12" s="298" t="str">
        <f>IF(D12="","",AVERAGE(D12:E12,G12,I12))</f>
        <v/>
      </c>
      <c r="P12" s="37"/>
      <c r="Q12" s="292" t="str">
        <f t="shared" ref="Q12:Q19" si="3">IF(P12="","",(N12-P12)/P12*100)</f>
        <v/>
      </c>
      <c r="S12" s="37"/>
      <c r="T12" s="292" t="str">
        <f t="shared" ref="T12:T19" si="4">IF(S12="","",(N12-S12)/S12*100)</f>
        <v/>
      </c>
      <c r="V12" s="37">
        <v>2</v>
      </c>
    </row>
    <row r="13" spans="1:22">
      <c r="A13" s="334" t="s">
        <v>86</v>
      </c>
      <c r="B13" s="334">
        <v>30</v>
      </c>
      <c r="C13" s="546">
        <v>13.045582615844445</v>
      </c>
      <c r="D13" s="37"/>
      <c r="E13" s="37"/>
      <c r="F13" s="298" t="str">
        <f t="shared" si="0"/>
        <v/>
      </c>
      <c r="G13" s="37"/>
      <c r="H13" s="298" t="str">
        <f t="shared" si="1"/>
        <v/>
      </c>
      <c r="I13" s="37"/>
      <c r="J13" s="298" t="str">
        <f t="shared" si="2"/>
        <v/>
      </c>
      <c r="L13" s="286" t="str">
        <f t="shared" ref="L13:L19" si="5">IF(N13="","",N13/33.97)</f>
        <v/>
      </c>
      <c r="M13" s="286" t="str">
        <f t="shared" ref="M13:M19" si="6">IF(N13="","",L13/0.258)</f>
        <v/>
      </c>
      <c r="N13" s="298" t="str">
        <f t="shared" ref="N13:N19" si="7">IF(D13="","",AVERAGE(D13:E13,G13,I13))</f>
        <v/>
      </c>
      <c r="P13" s="37"/>
      <c r="Q13" s="292" t="str">
        <f t="shared" si="3"/>
        <v/>
      </c>
      <c r="S13" s="37"/>
      <c r="T13" s="292" t="str">
        <f t="shared" si="4"/>
        <v/>
      </c>
      <c r="V13" s="37">
        <v>2</v>
      </c>
    </row>
    <row r="14" spans="1:22">
      <c r="A14" s="334" t="s">
        <v>87</v>
      </c>
      <c r="B14" s="334">
        <v>37</v>
      </c>
      <c r="C14" s="546">
        <v>15.536348350319368</v>
      </c>
      <c r="D14" s="37"/>
      <c r="E14" s="37"/>
      <c r="F14" s="298" t="str">
        <f t="shared" si="0"/>
        <v/>
      </c>
      <c r="G14" s="37"/>
      <c r="H14" s="298" t="str">
        <f t="shared" si="1"/>
        <v/>
      </c>
      <c r="I14" s="37"/>
      <c r="J14" s="298" t="str">
        <f t="shared" si="2"/>
        <v/>
      </c>
      <c r="L14" s="286" t="str">
        <f t="shared" si="5"/>
        <v/>
      </c>
      <c r="M14" s="286" t="str">
        <f t="shared" si="6"/>
        <v/>
      </c>
      <c r="N14" s="298" t="str">
        <f t="shared" si="7"/>
        <v/>
      </c>
      <c r="P14" s="37"/>
      <c r="Q14" s="292" t="str">
        <f t="shared" si="3"/>
        <v/>
      </c>
      <c r="S14" s="37"/>
      <c r="T14" s="292" t="str">
        <f t="shared" si="4"/>
        <v/>
      </c>
      <c r="V14" s="37">
        <v>2</v>
      </c>
    </row>
    <row r="15" spans="1:22">
      <c r="A15" s="334" t="s">
        <v>88</v>
      </c>
      <c r="B15" s="334">
        <v>45</v>
      </c>
      <c r="C15" s="546">
        <v>18.073668611174138</v>
      </c>
      <c r="D15" s="37"/>
      <c r="E15" s="37"/>
      <c r="F15" s="298" t="str">
        <f t="shared" si="0"/>
        <v/>
      </c>
      <c r="G15" s="37"/>
      <c r="H15" s="298" t="str">
        <f t="shared" si="1"/>
        <v/>
      </c>
      <c r="I15" s="37"/>
      <c r="J15" s="298" t="str">
        <f t="shared" si="2"/>
        <v/>
      </c>
      <c r="L15" s="286" t="str">
        <f t="shared" si="5"/>
        <v/>
      </c>
      <c r="M15" s="286" t="str">
        <f t="shared" si="6"/>
        <v/>
      </c>
      <c r="N15" s="298" t="str">
        <f t="shared" si="7"/>
        <v/>
      </c>
      <c r="P15" s="37"/>
      <c r="Q15" s="292" t="str">
        <f t="shared" si="3"/>
        <v/>
      </c>
      <c r="S15" s="37"/>
      <c r="T15" s="292" t="str">
        <f t="shared" si="4"/>
        <v/>
      </c>
      <c r="V15" s="37">
        <v>2</v>
      </c>
    </row>
    <row r="16" spans="1:22">
      <c r="A16" s="334" t="s">
        <v>89</v>
      </c>
      <c r="B16" s="334">
        <v>55</v>
      </c>
      <c r="C16" s="546">
        <v>20.944048859773055</v>
      </c>
      <c r="D16" s="37"/>
      <c r="E16" s="37"/>
      <c r="F16" s="298" t="str">
        <f t="shared" si="0"/>
        <v/>
      </c>
      <c r="G16" s="37"/>
      <c r="H16" s="298" t="str">
        <f t="shared" si="1"/>
        <v/>
      </c>
      <c r="I16" s="37"/>
      <c r="J16" s="298" t="str">
        <f t="shared" si="2"/>
        <v/>
      </c>
      <c r="L16" s="286" t="str">
        <f t="shared" si="5"/>
        <v/>
      </c>
      <c r="M16" s="286" t="str">
        <f t="shared" si="6"/>
        <v/>
      </c>
      <c r="N16" s="298" t="str">
        <f t="shared" si="7"/>
        <v/>
      </c>
      <c r="P16" s="37"/>
      <c r="Q16" s="292" t="str">
        <f t="shared" si="3"/>
        <v/>
      </c>
      <c r="S16" s="37"/>
      <c r="T16" s="292" t="str">
        <f t="shared" si="4"/>
        <v/>
      </c>
      <c r="V16" s="37">
        <v>2</v>
      </c>
    </row>
    <row r="17" spans="1:22">
      <c r="A17" s="334" t="s">
        <v>90</v>
      </c>
      <c r="B17" s="334">
        <v>70</v>
      </c>
      <c r="C17" s="546">
        <v>24.888652342138169</v>
      </c>
      <c r="D17" s="37"/>
      <c r="E17" s="37"/>
      <c r="F17" s="298" t="str">
        <f t="shared" si="0"/>
        <v/>
      </c>
      <c r="G17" s="37"/>
      <c r="H17" s="298" t="str">
        <f t="shared" si="1"/>
        <v/>
      </c>
      <c r="I17" s="37"/>
      <c r="J17" s="298" t="str">
        <f t="shared" si="2"/>
        <v/>
      </c>
      <c r="L17" s="286" t="str">
        <f t="shared" si="5"/>
        <v/>
      </c>
      <c r="M17" s="286" t="str">
        <f t="shared" si="6"/>
        <v/>
      </c>
      <c r="N17" s="298" t="str">
        <f t="shared" si="7"/>
        <v/>
      </c>
      <c r="P17" s="37"/>
      <c r="Q17" s="292" t="str">
        <f t="shared" si="3"/>
        <v/>
      </c>
      <c r="S17" s="37"/>
      <c r="T17" s="292" t="str">
        <f t="shared" si="4"/>
        <v/>
      </c>
      <c r="V17" s="37">
        <v>2</v>
      </c>
    </row>
    <row r="18" spans="1:22">
      <c r="A18" s="334" t="s">
        <v>91</v>
      </c>
      <c r="B18" s="334">
        <v>100</v>
      </c>
      <c r="C18" s="546">
        <v>30.042011022245948</v>
      </c>
      <c r="D18" s="37"/>
      <c r="E18" s="37"/>
      <c r="F18" s="298" t="str">
        <f t="shared" si="0"/>
        <v/>
      </c>
      <c r="G18" s="37"/>
      <c r="H18" s="298" t="str">
        <f t="shared" si="1"/>
        <v/>
      </c>
      <c r="I18" s="37"/>
      <c r="J18" s="298" t="str">
        <f t="shared" si="2"/>
        <v/>
      </c>
      <c r="L18" s="286" t="str">
        <f t="shared" si="5"/>
        <v/>
      </c>
      <c r="M18" s="286" t="str">
        <f t="shared" si="6"/>
        <v/>
      </c>
      <c r="N18" s="298" t="str">
        <f t="shared" si="7"/>
        <v/>
      </c>
      <c r="P18" s="37"/>
      <c r="Q18" s="292" t="str">
        <f t="shared" si="3"/>
        <v/>
      </c>
      <c r="S18" s="37"/>
      <c r="T18" s="292" t="str">
        <f t="shared" si="4"/>
        <v/>
      </c>
      <c r="V18" s="37">
        <v>2</v>
      </c>
    </row>
    <row r="19" spans="1:22">
      <c r="A19" s="334" t="s">
        <v>92</v>
      </c>
      <c r="B19" s="334">
        <v>100</v>
      </c>
      <c r="C19" s="546">
        <v>49</v>
      </c>
      <c r="D19" s="37"/>
      <c r="E19" s="37"/>
      <c r="F19" s="298" t="str">
        <f t="shared" si="0"/>
        <v/>
      </c>
      <c r="G19" s="37"/>
      <c r="H19" s="298" t="str">
        <f t="shared" si="1"/>
        <v/>
      </c>
      <c r="I19" s="37"/>
      <c r="J19" s="298" t="str">
        <f t="shared" si="2"/>
        <v/>
      </c>
      <c r="L19" s="286" t="str">
        <f t="shared" si="5"/>
        <v/>
      </c>
      <c r="M19" s="286" t="str">
        <f t="shared" si="6"/>
        <v/>
      </c>
      <c r="N19" s="298" t="str">
        <f t="shared" si="7"/>
        <v/>
      </c>
      <c r="P19" s="37"/>
      <c r="Q19" s="292" t="str">
        <f t="shared" si="3"/>
        <v/>
      </c>
      <c r="S19" s="37"/>
      <c r="T19" s="292" t="str">
        <f t="shared" si="4"/>
        <v/>
      </c>
      <c r="V19" s="37">
        <v>2</v>
      </c>
    </row>
    <row r="20" spans="1:22" ht="3.75" customHeight="1"/>
    <row r="21" spans="1:22">
      <c r="C21" s="984" t="s">
        <v>20</v>
      </c>
      <c r="D21" s="982"/>
      <c r="E21" s="1002"/>
      <c r="G21" s="982"/>
      <c r="I21" s="982"/>
      <c r="L21" s="907" t="s">
        <v>1447</v>
      </c>
    </row>
    <row r="22" spans="1:22">
      <c r="L22" s="978" t="str">
        <f>IF(MIN(D21,E21,G21,I21)&lt;30000,"",MIN(D21,E21,G21,I21))</f>
        <v/>
      </c>
      <c r="Q22" s="929" t="s">
        <v>1466</v>
      </c>
      <c r="S22" s="634" t="s">
        <v>826</v>
      </c>
    </row>
    <row r="23" spans="1:22">
      <c r="L23" s="978" t="str">
        <f>IF(MAX(D21,E21,G21,I21)&lt;30000,"",MAX(D21,E21,G21,I21))</f>
        <v/>
      </c>
    </row>
    <row r="27" spans="1:22">
      <c r="Q27" s="70" t="s">
        <v>151</v>
      </c>
      <c r="S27" s="547">
        <f>INT(MIN(D12:D19,E12:E19,G12:G19,I12:I19,P12:P19,S12:S19)*0.98)</f>
        <v>0</v>
      </c>
    </row>
    <row r="28" spans="1:22">
      <c r="Q28" s="70" t="s">
        <v>152</v>
      </c>
      <c r="S28" s="37">
        <f>MAX(D12:D19,E12:E19,G12:G19,I12:I19,P12:P19,S12:S19)*1.02</f>
        <v>0</v>
      </c>
    </row>
    <row r="33" spans="17:18">
      <c r="Q33" s="56" t="s">
        <v>45</v>
      </c>
      <c r="R33" s="56" t="str">
        <f>A3&amp; " Set "&amp;D10</f>
        <v>CAL11957 Set 1</v>
      </c>
    </row>
    <row r="34" spans="17:18">
      <c r="R34" s="56" t="str">
        <f>A3&amp; " Set "&amp;E10</f>
        <v>CAL11957 Set 2</v>
      </c>
    </row>
    <row r="35" spans="17:18">
      <c r="R35" s="56" t="str">
        <f>A3&amp; " Set "&amp;G10</f>
        <v>CAL11957 Set 3</v>
      </c>
    </row>
    <row r="36" spans="17:18">
      <c r="R36" s="56" t="str">
        <f>A3&amp; " Set "&amp;I10</f>
        <v>CAL11957 Set 4</v>
      </c>
    </row>
    <row r="37" spans="17:18">
      <c r="R37" s="56" t="str">
        <f>"Previous ("&amp;P8&amp;")"</f>
        <v>Previous ()</v>
      </c>
    </row>
    <row r="38" spans="17:18">
      <c r="R38" s="56" t="str">
        <f>"QA chamber "&amp;S8</f>
        <v xml:space="preserve">QA chamber </v>
      </c>
    </row>
  </sheetData>
  <sheetProtection sheet="1" objects="1" scenarios="1"/>
  <mergeCells count="5">
    <mergeCell ref="B5:C5"/>
    <mergeCell ref="P8:Q8"/>
    <mergeCell ref="S8:T8"/>
    <mergeCell ref="B4:C4"/>
    <mergeCell ref="P5:T5"/>
  </mergeCells>
  <phoneticPr fontId="2" type="noConversion"/>
  <conditionalFormatting sqref="G5">
    <cfRule type="cellIs" dxfId="69" priority="4" operator="equal">
      <formula>"Yes"</formula>
    </cfRule>
    <cfRule type="cellIs" dxfId="68" priority="5" operator="notEqual">
      <formula>"Yes"</formula>
    </cfRule>
  </conditionalFormatting>
  <dataValidations count="1">
    <dataValidation type="list" allowBlank="1" showInputMessage="1" showErrorMessage="1" sqref="G5 S22" xr:uid="{00000000-0002-0000-0C00-000000000000}">
      <formula1>$V$2:$V$3</formula1>
    </dataValidation>
  </dataValidations>
  <pageMargins left="0.75" right="0.75" top="1" bottom="1" header="0.5" footer="0.5"/>
  <pageSetup paperSize="9" scale="71" orientation="landscape" verticalDpi="2" r:id="rId1"/>
  <headerFooter alignWithMargins="0">
    <oddFooter>&amp;L&amp;8&amp;D    &amp;Z&amp;F&amp;R&amp;8&amp;A</oddFooter>
  </headerFooter>
  <drawing r:id="rId2"/>
  <legacyDrawing r:id="rId3"/>
  <controls>
    <mc:AlternateContent xmlns:mc="http://schemas.openxmlformats.org/markup-compatibility/2006">
      <mc:Choice Requires="x14">
        <control shapeId="6146" r:id="rId4" name="CommandButton1">
          <controlPr defaultSize="0" autoLine="0" r:id="rId5">
            <anchor moveWithCells="1">
              <from>
                <xdr:col>16</xdr:col>
                <xdr:colOff>161925</xdr:colOff>
                <xdr:row>23</xdr:row>
                <xdr:rowOff>57150</xdr:rowOff>
              </from>
              <to>
                <xdr:col>19</xdr:col>
                <xdr:colOff>47625</xdr:colOff>
                <xdr:row>25</xdr:row>
                <xdr:rowOff>104775</xdr:rowOff>
              </to>
            </anchor>
          </controlPr>
        </control>
      </mc:Choice>
      <mc:Fallback>
        <control shapeId="6146" r:id="rId4" name="CommandButton1"/>
      </mc:Fallback>
    </mc:AlternateContent>
    <mc:AlternateContent xmlns:mc="http://schemas.openxmlformats.org/markup-compatibility/2006">
      <mc:Choice Requires="x14">
        <control shapeId="6147" r:id="rId6" name="Button 3">
          <controlPr defaultSize="0" print="0" autoFill="0" autoPict="0" macro="[0]!Button3_Click">
            <anchor moveWithCells="1" sizeWithCells="1">
              <from>
                <xdr:col>7</xdr:col>
                <xdr:colOff>66675</xdr:colOff>
                <xdr:row>3</xdr:row>
                <xdr:rowOff>85725</xdr:rowOff>
              </from>
              <to>
                <xdr:col>10</xdr:col>
                <xdr:colOff>9525</xdr:colOff>
                <xdr:row>5</xdr:row>
                <xdr:rowOff>28575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T318"/>
  <sheetViews>
    <sheetView topLeftCell="A28" zoomScaleNormal="100" workbookViewId="0">
      <selection activeCell="O38" sqref="O38:R38"/>
    </sheetView>
  </sheetViews>
  <sheetFormatPr defaultRowHeight="12.75"/>
  <cols>
    <col min="1" max="20" width="4.42578125" customWidth="1"/>
    <col min="21" max="24" width="5" customWidth="1"/>
  </cols>
  <sheetData>
    <row r="1" spans="1:20" ht="12" customHeight="1"/>
    <row r="6" spans="1:20" ht="12.75" customHeight="1">
      <c r="A6" s="1109" t="s">
        <v>1173</v>
      </c>
      <c r="B6" s="1109"/>
      <c r="C6" s="1109"/>
      <c r="D6" s="1109"/>
      <c r="E6" s="1109"/>
      <c r="F6" s="1109"/>
      <c r="G6" s="1109"/>
      <c r="H6" s="1109"/>
      <c r="I6" s="1109"/>
      <c r="J6" s="1109"/>
      <c r="K6" s="1109"/>
      <c r="L6" s="1109"/>
      <c r="M6" s="1109"/>
      <c r="N6" s="1109"/>
      <c r="O6" s="1109"/>
      <c r="P6" s="1109"/>
      <c r="Q6" s="1109"/>
      <c r="R6" s="1109"/>
      <c r="S6" s="1109"/>
      <c r="T6" s="1109"/>
    </row>
    <row r="7" spans="1:20">
      <c r="A7" s="1110" t="s">
        <v>340</v>
      </c>
      <c r="B7" s="1110"/>
      <c r="C7" s="1110"/>
      <c r="D7" s="1110"/>
      <c r="E7" s="1110"/>
      <c r="F7" s="1110"/>
      <c r="G7" s="1110"/>
      <c r="H7" s="1110"/>
      <c r="I7" s="1110"/>
      <c r="J7" s="1110"/>
      <c r="K7" s="1110"/>
      <c r="L7" s="1110"/>
      <c r="M7" s="1110"/>
      <c r="N7" s="1110"/>
      <c r="O7" s="1110"/>
      <c r="P7" s="1110"/>
      <c r="Q7" s="1110"/>
      <c r="R7" s="1110"/>
      <c r="S7" s="1110"/>
      <c r="T7" s="1110"/>
    </row>
    <row r="8" spans="1:20">
      <c r="A8" s="1111" t="s">
        <v>341</v>
      </c>
      <c r="B8" s="1111"/>
      <c r="C8" s="1111"/>
      <c r="D8" s="1111"/>
      <c r="E8" s="1111"/>
      <c r="F8" s="1111"/>
      <c r="G8" s="1111"/>
      <c r="H8" s="1111"/>
      <c r="I8" s="1111"/>
      <c r="J8" s="1111"/>
      <c r="K8" s="1111"/>
      <c r="L8" s="1111"/>
      <c r="M8" s="1111"/>
      <c r="N8" s="1111"/>
      <c r="O8" s="1111"/>
      <c r="P8" s="1111"/>
      <c r="Q8" s="1111"/>
      <c r="R8" s="1111"/>
      <c r="S8" s="1111"/>
      <c r="T8" s="1111"/>
    </row>
    <row r="9" spans="1:20" ht="21.75" customHeight="1">
      <c r="A9" s="1112" t="s">
        <v>1175</v>
      </c>
      <c r="B9" s="1113"/>
      <c r="C9" s="1113"/>
      <c r="D9" s="1113"/>
      <c r="E9" s="1113"/>
      <c r="F9" s="1113"/>
      <c r="G9" s="1113"/>
      <c r="H9" s="1113"/>
      <c r="I9" s="1113"/>
      <c r="J9" s="1113"/>
      <c r="K9" s="1113"/>
      <c r="L9" s="1113"/>
      <c r="M9" s="1113"/>
      <c r="N9" s="1113"/>
      <c r="O9" s="1113"/>
      <c r="P9" s="1113"/>
      <c r="Q9" s="1113"/>
      <c r="R9" s="1113"/>
      <c r="S9" s="1113"/>
      <c r="T9" s="1113"/>
    </row>
    <row r="10" spans="1:20" ht="22.5" customHeight="1">
      <c r="A10" s="91"/>
      <c r="B10" s="91"/>
      <c r="C10" s="91"/>
      <c r="D10" s="91"/>
      <c r="E10" s="91"/>
      <c r="F10" s="91"/>
      <c r="G10" s="91"/>
      <c r="H10" s="91"/>
      <c r="I10" s="91"/>
      <c r="J10" s="92"/>
      <c r="K10" s="93"/>
      <c r="L10" s="91"/>
      <c r="M10" s="91"/>
      <c r="N10" s="94"/>
      <c r="O10" s="91"/>
      <c r="P10" s="91"/>
      <c r="T10" s="220" t="s">
        <v>648</v>
      </c>
    </row>
    <row r="11" spans="1:20" ht="15.75">
      <c r="A11" s="91"/>
      <c r="B11" s="91"/>
      <c r="C11" s="91"/>
      <c r="D11" s="91"/>
      <c r="E11" s="91"/>
      <c r="F11" s="91"/>
      <c r="G11" s="91"/>
      <c r="H11" s="91"/>
      <c r="I11" s="91"/>
      <c r="J11" s="91"/>
      <c r="K11" s="91"/>
      <c r="L11" s="91"/>
      <c r="M11" s="91"/>
      <c r="N11" s="94"/>
      <c r="O11" s="91"/>
      <c r="P11" s="91"/>
      <c r="T11" s="220" t="str">
        <f>Client!B4</f>
        <v>None</v>
      </c>
    </row>
    <row r="12" spans="1:20" ht="15.75">
      <c r="A12" s="91"/>
      <c r="B12" s="91"/>
      <c r="C12" s="91"/>
      <c r="D12" s="91"/>
      <c r="E12" s="91"/>
      <c r="F12" s="91"/>
      <c r="G12" s="91"/>
      <c r="H12" s="91"/>
      <c r="I12" s="91"/>
      <c r="J12" s="91"/>
      <c r="K12" s="91"/>
      <c r="L12" s="91"/>
      <c r="M12" s="91"/>
      <c r="N12" s="91"/>
      <c r="O12" s="91"/>
      <c r="P12" s="91"/>
      <c r="Q12" s="91"/>
      <c r="R12" s="96"/>
      <c r="S12" s="96"/>
      <c r="T12" s="95" t="str">
        <f>Client!B5&amp;"/"&amp;TEXT(Client!B67,"00")</f>
        <v>CAL11957/00</v>
      </c>
    </row>
    <row r="13" spans="1:20" ht="15">
      <c r="A13" s="91"/>
      <c r="B13" s="91"/>
      <c r="C13" s="91"/>
      <c r="D13" s="91"/>
      <c r="E13" s="91"/>
      <c r="F13" s="91"/>
      <c r="G13" s="91"/>
      <c r="H13" s="91"/>
      <c r="I13" s="91"/>
      <c r="J13" s="91"/>
      <c r="K13" s="91"/>
      <c r="L13" s="91"/>
      <c r="M13" s="91"/>
      <c r="N13" s="91"/>
      <c r="O13" s="91"/>
      <c r="P13" s="91"/>
      <c r="Q13" s="91"/>
      <c r="R13" s="96"/>
      <c r="S13" s="96"/>
    </row>
    <row r="14" spans="1:20" ht="18.75">
      <c r="A14" s="1114" t="s">
        <v>342</v>
      </c>
      <c r="B14" s="1114"/>
      <c r="C14" s="1114"/>
      <c r="D14" s="1114"/>
      <c r="E14" s="1114"/>
      <c r="F14" s="1114"/>
      <c r="G14" s="1114"/>
      <c r="H14" s="1114"/>
      <c r="I14" s="1114"/>
      <c r="J14" s="1114"/>
      <c r="K14" s="1114"/>
      <c r="L14" s="1114"/>
      <c r="M14" s="1114"/>
      <c r="N14" s="1114"/>
      <c r="O14" s="1114"/>
      <c r="P14" s="1114"/>
      <c r="Q14" s="1114"/>
      <c r="R14" s="1114"/>
      <c r="S14" s="1114"/>
      <c r="T14" s="1114"/>
    </row>
    <row r="15" spans="1:20" ht="15" customHeight="1">
      <c r="A15" s="1142" t="s">
        <v>1310</v>
      </c>
      <c r="B15" s="1142"/>
      <c r="C15" s="1142"/>
      <c r="D15" s="1142"/>
      <c r="E15" s="1142"/>
      <c r="F15" s="1142"/>
      <c r="G15" s="1142"/>
      <c r="H15" s="1142"/>
      <c r="I15" s="1142"/>
      <c r="J15" s="1142"/>
      <c r="K15" s="1142"/>
      <c r="L15" s="1142"/>
      <c r="M15" s="1142"/>
      <c r="N15" s="1142"/>
      <c r="O15" s="1142"/>
      <c r="P15" s="1142"/>
      <c r="Q15" s="1142"/>
      <c r="R15" s="1142"/>
      <c r="S15" s="1142"/>
      <c r="T15" s="1142"/>
    </row>
    <row r="16" spans="1:20" ht="15" customHeight="1">
      <c r="A16" s="1142" t="s">
        <v>497</v>
      </c>
      <c r="B16" s="1142"/>
      <c r="C16" s="1142"/>
      <c r="D16" s="1142"/>
      <c r="E16" s="1142"/>
      <c r="F16" s="1142"/>
      <c r="G16" s="1142"/>
      <c r="H16" s="1142"/>
      <c r="I16" s="1142"/>
      <c r="J16" s="1142"/>
      <c r="K16" s="1142"/>
      <c r="L16" s="1142"/>
      <c r="M16" s="1142"/>
      <c r="N16" s="1142"/>
      <c r="O16" s="1142"/>
      <c r="P16" s="1142"/>
      <c r="Q16" s="1142"/>
      <c r="R16" s="1142"/>
      <c r="S16" s="1142"/>
      <c r="T16" s="1142"/>
    </row>
    <row r="17" spans="1:20" ht="15" customHeight="1"/>
    <row r="18" spans="1:20" ht="15">
      <c r="A18" s="91"/>
      <c r="B18" s="91"/>
      <c r="C18" s="91"/>
      <c r="D18" s="91"/>
      <c r="E18" s="91"/>
      <c r="F18" s="91"/>
      <c r="G18" s="91"/>
      <c r="H18" s="91"/>
      <c r="I18" s="91"/>
      <c r="J18" s="91"/>
      <c r="K18" s="91"/>
      <c r="L18" s="91"/>
      <c r="M18" s="91"/>
      <c r="N18" s="91"/>
      <c r="O18" s="91"/>
      <c r="P18" s="91"/>
      <c r="Q18" s="91"/>
      <c r="R18" s="96"/>
      <c r="S18" s="96"/>
    </row>
    <row r="19" spans="1:20" ht="15.75">
      <c r="A19" s="98" t="s">
        <v>2</v>
      </c>
      <c r="B19" s="99"/>
      <c r="C19" s="99"/>
      <c r="D19" s="99"/>
      <c r="E19" s="99"/>
      <c r="F19" s="99"/>
      <c r="G19" s="100" t="str">
        <f>Client!B6</f>
        <v>De-identified for distribution</v>
      </c>
      <c r="H19" s="99"/>
      <c r="I19" s="99"/>
      <c r="J19" s="99"/>
      <c r="K19" s="99"/>
      <c r="L19" s="99"/>
      <c r="M19" s="99"/>
      <c r="N19" s="99"/>
      <c r="O19" s="99"/>
      <c r="P19" s="99"/>
      <c r="Q19" s="91"/>
      <c r="R19" s="96"/>
      <c r="S19" s="96"/>
    </row>
    <row r="20" spans="1:20" ht="15.75">
      <c r="A20" s="98"/>
      <c r="B20" s="99"/>
      <c r="C20" s="99"/>
      <c r="D20" s="99"/>
      <c r="E20" s="99"/>
      <c r="F20" s="99"/>
      <c r="G20" s="100" t="str">
        <f>Client!B7</f>
        <v>100 Street Name</v>
      </c>
      <c r="H20" s="99"/>
      <c r="I20" s="99"/>
      <c r="J20" s="99"/>
      <c r="K20" s="99"/>
      <c r="L20" s="99"/>
      <c r="M20" s="99"/>
      <c r="N20" s="99"/>
      <c r="O20" s="99"/>
      <c r="P20" s="99"/>
      <c r="Q20" s="91"/>
      <c r="R20" s="96"/>
      <c r="S20" s="96"/>
    </row>
    <row r="21" spans="1:20" ht="15.75">
      <c r="A21" s="98"/>
      <c r="B21" s="99"/>
      <c r="C21" s="99"/>
      <c r="D21" s="99"/>
      <c r="E21" s="99"/>
      <c r="F21" s="99"/>
      <c r="G21" s="100" t="str">
        <f>Client!B8</f>
        <v>Suburb 2000 NSW</v>
      </c>
      <c r="H21" s="99"/>
      <c r="I21" s="99"/>
      <c r="J21" s="99"/>
      <c r="K21" s="99"/>
      <c r="L21" s="99"/>
      <c r="M21" s="99"/>
      <c r="N21" s="99"/>
      <c r="O21" s="99"/>
      <c r="P21" s="99"/>
      <c r="Q21" s="91"/>
      <c r="R21" s="96"/>
      <c r="S21" s="96"/>
    </row>
    <row r="22" spans="1:20" ht="15.75">
      <c r="A22" s="98"/>
      <c r="B22" s="99"/>
      <c r="C22" s="99"/>
      <c r="D22" s="99"/>
      <c r="E22" s="99"/>
      <c r="F22" s="99"/>
      <c r="G22" s="99" t="str">
        <f xml:space="preserve"> IF(Client!B9="","",Client!B9)</f>
        <v/>
      </c>
      <c r="H22" s="99"/>
      <c r="I22" s="99"/>
      <c r="J22" s="99"/>
      <c r="K22" s="99"/>
      <c r="L22" s="99"/>
      <c r="M22" s="99"/>
      <c r="N22" s="99"/>
      <c r="O22" s="99"/>
      <c r="P22" s="99"/>
      <c r="Q22" s="91"/>
      <c r="R22" s="96"/>
      <c r="S22" s="96"/>
    </row>
    <row r="23" spans="1:20" ht="15.75">
      <c r="A23" s="98"/>
      <c r="B23" s="99"/>
      <c r="C23" s="99"/>
      <c r="D23" s="99"/>
      <c r="E23" s="99"/>
      <c r="F23" s="99"/>
      <c r="G23" s="99"/>
      <c r="H23" s="99"/>
      <c r="I23" s="99"/>
      <c r="J23" s="99"/>
      <c r="K23" s="99"/>
      <c r="L23" s="99"/>
      <c r="M23" s="99"/>
      <c r="N23" s="99"/>
      <c r="O23" s="99"/>
      <c r="P23" s="99"/>
      <c r="Q23" s="91"/>
      <c r="R23" s="96"/>
      <c r="S23" s="96"/>
    </row>
    <row r="24" spans="1:20" ht="15.75">
      <c r="A24" s="98" t="s">
        <v>1311</v>
      </c>
      <c r="B24" s="99"/>
      <c r="C24" s="99"/>
      <c r="D24" s="99"/>
      <c r="E24" s="99"/>
      <c r="F24" s="99"/>
      <c r="G24" s="99" t="str">
        <f>Client!AV15</f>
        <v xml:space="preserve"> serial number </v>
      </c>
      <c r="H24" s="99"/>
      <c r="I24" s="99"/>
      <c r="J24" s="99"/>
      <c r="K24" s="99"/>
      <c r="L24" s="99"/>
      <c r="M24" s="99"/>
      <c r="N24" s="99"/>
      <c r="O24" s="99"/>
      <c r="P24" s="99"/>
      <c r="Q24" s="91"/>
      <c r="R24" s="96"/>
      <c r="S24" s="96"/>
    </row>
    <row r="25" spans="1:20" ht="15.75">
      <c r="A25" s="98"/>
      <c r="B25" s="99"/>
      <c r="C25" s="99"/>
      <c r="D25" s="99"/>
      <c r="E25" s="99"/>
      <c r="F25" s="99"/>
      <c r="G25" s="99"/>
      <c r="H25" s="99"/>
      <c r="I25" s="99"/>
      <c r="J25" s="99"/>
      <c r="K25" s="99"/>
      <c r="L25" s="99"/>
      <c r="M25" s="99"/>
      <c r="N25" s="99"/>
      <c r="O25" s="99"/>
      <c r="P25" s="99"/>
      <c r="Q25" s="91"/>
      <c r="R25" s="96"/>
      <c r="S25" s="96"/>
    </row>
    <row r="26" spans="1:20" ht="15.75">
      <c r="A26" s="98" t="s">
        <v>334</v>
      </c>
      <c r="B26" s="99"/>
      <c r="C26" s="99"/>
      <c r="D26" s="99"/>
      <c r="E26" s="99"/>
      <c r="F26" s="99"/>
      <c r="G26" s="99" t="str" cm="1">
        <f t="array" ref="G26">make_Date_range(Client!B69,Client!C69)</f>
        <v>0</v>
      </c>
      <c r="H26" s="99"/>
      <c r="I26" s="99"/>
      <c r="J26" s="99"/>
      <c r="K26" s="99"/>
      <c r="L26" s="99"/>
      <c r="M26" s="99"/>
      <c r="N26" s="99"/>
      <c r="O26" s="99"/>
      <c r="P26" s="99"/>
      <c r="Q26" s="91"/>
      <c r="R26" s="96"/>
      <c r="S26" s="96"/>
    </row>
    <row r="27" spans="1:20" ht="15.75">
      <c r="A27" s="98"/>
      <c r="B27" s="99"/>
      <c r="C27" s="99"/>
      <c r="D27" s="99"/>
      <c r="E27" s="99"/>
      <c r="F27" s="99"/>
      <c r="G27" s="99"/>
      <c r="H27" s="99"/>
      <c r="I27" s="99"/>
      <c r="J27" s="99"/>
      <c r="K27" s="99"/>
      <c r="L27" s="99"/>
      <c r="M27" s="99"/>
      <c r="N27" s="99"/>
      <c r="O27" s="99"/>
      <c r="P27" s="99"/>
      <c r="Q27" s="91"/>
      <c r="R27" s="96"/>
      <c r="S27" s="96"/>
    </row>
    <row r="28" spans="1:20" ht="15.75" customHeight="1">
      <c r="A28" s="98" t="s">
        <v>71</v>
      </c>
      <c r="B28" s="99"/>
      <c r="C28" s="99"/>
      <c r="D28" s="99"/>
      <c r="E28" s="99"/>
      <c r="F28" s="99"/>
      <c r="G28" s="100">
        <f>Client!B70</f>
        <v>0</v>
      </c>
      <c r="H28" s="99"/>
      <c r="I28" s="99"/>
      <c r="J28" s="97"/>
      <c r="K28" s="99"/>
      <c r="L28" s="99"/>
      <c r="M28" s="99"/>
      <c r="N28" s="99"/>
      <c r="O28" s="99"/>
      <c r="P28" s="99"/>
      <c r="R28" s="96"/>
      <c r="S28" s="96"/>
      <c r="T28" s="1147" t="str">
        <f>Intro!D4&amp;" "&amp;Intro!D5</f>
        <v>IRC-FORM-2100J (ARPANSA-FORM-1856) 23-Production</v>
      </c>
    </row>
    <row r="29" spans="1:20" ht="15.75">
      <c r="A29" s="98"/>
      <c r="B29" s="99"/>
      <c r="C29" s="99"/>
      <c r="D29" s="99"/>
      <c r="E29" s="99"/>
      <c r="F29" s="99"/>
      <c r="G29" s="99"/>
      <c r="H29" s="99"/>
      <c r="I29" s="99"/>
      <c r="J29" s="99"/>
      <c r="K29" s="99"/>
      <c r="L29" s="99"/>
      <c r="M29" s="99"/>
      <c r="N29" s="99"/>
      <c r="O29" s="99"/>
      <c r="P29" s="99"/>
      <c r="R29" s="96"/>
      <c r="S29" s="96"/>
      <c r="T29" s="1147"/>
    </row>
    <row r="30" spans="1:20" ht="15.75">
      <c r="A30" s="98" t="str">
        <f>IF(Client!L72,"Test and report by","Test by")</f>
        <v>Test and report by</v>
      </c>
      <c r="B30" s="99"/>
      <c r="C30" s="99"/>
      <c r="D30" s="99"/>
      <c r="E30" s="99"/>
      <c r="F30" s="99"/>
      <c r="G30" s="100">
        <f xml:space="preserve"> Client!B71</f>
        <v>0</v>
      </c>
      <c r="H30" s="99"/>
      <c r="I30" s="99"/>
      <c r="J30" s="99"/>
      <c r="K30" s="99"/>
      <c r="L30" s="99"/>
      <c r="M30" s="99"/>
      <c r="N30" s="99"/>
      <c r="O30" s="99"/>
      <c r="P30" s="99"/>
      <c r="R30" s="96"/>
      <c r="S30" s="96"/>
      <c r="T30" s="1147"/>
    </row>
    <row r="31" spans="1:20" ht="15.75" customHeight="1">
      <c r="A31" s="98" t="str">
        <f>IF(Client!L72,"","Report by")</f>
        <v/>
      </c>
      <c r="B31" s="99"/>
      <c r="C31" s="99"/>
      <c r="D31" s="99"/>
      <c r="E31" s="99"/>
      <c r="F31" s="99"/>
      <c r="G31" s="99" t="str">
        <f>IF(Client!L72,"",Client!B72)</f>
        <v/>
      </c>
      <c r="H31" s="99"/>
      <c r="I31" s="99"/>
      <c r="J31" s="99"/>
      <c r="K31" s="99"/>
      <c r="L31" s="99"/>
      <c r="M31" s="99"/>
      <c r="N31" s="99"/>
      <c r="O31" s="99"/>
      <c r="P31" s="99"/>
      <c r="R31" s="96"/>
      <c r="S31" s="96"/>
      <c r="T31" s="1147"/>
    </row>
    <row r="32" spans="1:20" ht="15.75">
      <c r="A32" s="98" t="s">
        <v>333</v>
      </c>
      <c r="B32" s="99"/>
      <c r="C32" s="99"/>
      <c r="D32" s="99"/>
      <c r="E32" s="99"/>
      <c r="F32" s="99"/>
      <c r="G32" s="99" t="str" cm="1">
        <f t="array" ref="G32">date_to_text(Client!B68)</f>
        <v>0</v>
      </c>
      <c r="H32" s="99"/>
      <c r="I32" s="99"/>
      <c r="J32" s="99"/>
      <c r="K32" s="99"/>
      <c r="L32" s="99"/>
      <c r="M32" s="99"/>
      <c r="N32" s="99"/>
      <c r="O32" s="99"/>
      <c r="P32" s="99"/>
      <c r="R32" s="96"/>
      <c r="S32" s="96"/>
      <c r="T32" s="1147"/>
    </row>
    <row r="33" spans="1:20" ht="15.75">
      <c r="A33" s="98"/>
      <c r="B33" s="99"/>
      <c r="C33" s="99"/>
      <c r="D33" s="99"/>
      <c r="E33" s="99"/>
      <c r="F33" s="99"/>
      <c r="G33" s="99"/>
      <c r="H33" s="99"/>
      <c r="I33" s="99"/>
      <c r="J33" s="99"/>
      <c r="K33" s="99"/>
      <c r="L33" s="99"/>
      <c r="M33" s="99"/>
      <c r="N33" s="99"/>
      <c r="O33" s="99"/>
      <c r="P33" s="99"/>
      <c r="R33" s="96"/>
      <c r="S33" s="96"/>
      <c r="T33" s="1147"/>
    </row>
    <row r="34" spans="1:20" ht="15.75">
      <c r="A34" s="99" t="s">
        <v>343</v>
      </c>
      <c r="B34" s="99"/>
      <c r="C34" s="99"/>
      <c r="D34" s="99"/>
      <c r="E34" s="99"/>
      <c r="F34" s="99"/>
      <c r="G34" s="99" t="s">
        <v>344</v>
      </c>
      <c r="H34" s="99"/>
      <c r="I34" s="99"/>
      <c r="J34" s="99"/>
      <c r="K34" s="99"/>
      <c r="L34" s="99"/>
      <c r="M34" s="99"/>
      <c r="N34" s="99"/>
      <c r="O34" s="99"/>
      <c r="P34" s="99"/>
      <c r="R34" s="96"/>
      <c r="S34" s="96"/>
      <c r="T34" s="1147"/>
    </row>
    <row r="35" spans="1:20" ht="15.75">
      <c r="A35" s="98" t="s">
        <v>345</v>
      </c>
      <c r="B35" s="99"/>
      <c r="C35" s="99"/>
      <c r="D35" s="99"/>
      <c r="E35" s="99"/>
      <c r="F35" s="99"/>
      <c r="G35" s="221" t="s">
        <v>1176</v>
      </c>
      <c r="H35" s="99"/>
      <c r="I35" s="99"/>
      <c r="J35" s="99"/>
      <c r="K35" s="99"/>
      <c r="L35" s="99"/>
      <c r="M35" s="99"/>
      <c r="N35" s="99"/>
      <c r="O35" s="99"/>
      <c r="P35" s="99"/>
      <c r="R35" s="96"/>
      <c r="S35" s="96"/>
      <c r="T35" s="1147"/>
    </row>
    <row r="36" spans="1:20" ht="15.75" customHeight="1">
      <c r="A36" s="99"/>
      <c r="B36" s="99"/>
      <c r="C36" s="99"/>
      <c r="D36" s="99"/>
      <c r="E36" s="99"/>
      <c r="F36" s="99"/>
      <c r="G36" s="99"/>
      <c r="H36" s="99"/>
      <c r="I36" s="99"/>
      <c r="J36" s="99"/>
      <c r="K36" s="99"/>
      <c r="L36" s="99"/>
      <c r="M36" s="99"/>
      <c r="N36" s="99"/>
      <c r="O36" s="99"/>
      <c r="P36" s="99"/>
      <c r="R36" s="96"/>
      <c r="S36" s="96"/>
      <c r="T36" s="1147"/>
    </row>
    <row r="37" spans="1:20" ht="27.75" customHeight="1">
      <c r="A37" s="99"/>
      <c r="B37" s="99"/>
      <c r="C37" s="99"/>
      <c r="D37" s="99"/>
      <c r="E37" s="99"/>
      <c r="F37" s="99"/>
      <c r="G37" s="99"/>
      <c r="H37" s="99"/>
      <c r="I37" s="99"/>
      <c r="J37" s="99"/>
      <c r="K37" s="99"/>
      <c r="L37" s="99"/>
      <c r="M37" s="99"/>
      <c r="N37" s="99"/>
      <c r="O37" s="99"/>
      <c r="P37" s="99"/>
      <c r="Q37" s="91"/>
      <c r="R37" s="96"/>
      <c r="S37" s="96"/>
      <c r="T37" s="1147"/>
    </row>
    <row r="38" spans="1:20" ht="15.75">
      <c r="A38" s="99" t="s">
        <v>346</v>
      </c>
      <c r="B38" s="99"/>
      <c r="C38" s="101"/>
      <c r="D38" s="101"/>
      <c r="E38" s="101"/>
      <c r="F38" s="101"/>
      <c r="G38" s="101"/>
      <c r="H38" s="102" t="s">
        <v>347</v>
      </c>
      <c r="I38" s="99"/>
      <c r="J38" s="99"/>
      <c r="K38" s="99"/>
      <c r="L38" s="99"/>
      <c r="N38" s="95" t="s">
        <v>348</v>
      </c>
      <c r="O38" s="1146"/>
      <c r="P38" s="1146"/>
      <c r="Q38" s="1146"/>
      <c r="R38" s="1146"/>
      <c r="S38" s="91"/>
      <c r="T38" s="1147"/>
    </row>
    <row r="39" spans="1:20" ht="15.75">
      <c r="A39" s="99"/>
      <c r="B39" s="99"/>
      <c r="C39" s="99"/>
      <c r="D39" s="99"/>
      <c r="E39" s="99"/>
      <c r="F39" s="99"/>
      <c r="G39" s="99"/>
      <c r="H39" s="99"/>
      <c r="I39" s="99"/>
      <c r="J39" s="99"/>
      <c r="K39" s="99"/>
      <c r="L39" s="99"/>
      <c r="M39" s="99"/>
      <c r="N39" s="99"/>
      <c r="O39" s="99"/>
      <c r="P39" s="99"/>
      <c r="Q39" s="91"/>
      <c r="R39" s="96"/>
      <c r="S39" s="96"/>
      <c r="T39" s="1147"/>
    </row>
    <row r="40" spans="1:20" ht="15.75">
      <c r="A40" s="100">
        <f>Client!B73</f>
        <v>0</v>
      </c>
      <c r="B40" s="99"/>
      <c r="C40" s="99"/>
      <c r="D40" s="99"/>
      <c r="E40" s="99"/>
      <c r="F40" s="99"/>
      <c r="G40" s="99"/>
      <c r="H40" s="99"/>
      <c r="I40" s="99"/>
      <c r="J40" s="99"/>
      <c r="K40" s="99"/>
      <c r="L40" s="99"/>
      <c r="M40" s="99"/>
      <c r="N40" s="99"/>
      <c r="O40" s="99"/>
      <c r="P40" s="99"/>
      <c r="Q40" s="91"/>
      <c r="R40" s="96"/>
      <c r="S40" s="96"/>
      <c r="T40" s="1147"/>
    </row>
    <row r="41" spans="1:20" ht="15.75">
      <c r="A41" s="99" t="s">
        <v>349</v>
      </c>
      <c r="B41" s="99"/>
      <c r="C41" s="99"/>
      <c r="D41" s="99"/>
      <c r="E41" s="99"/>
      <c r="F41" s="99"/>
      <c r="G41" s="99"/>
      <c r="H41" s="99"/>
      <c r="I41" s="99"/>
      <c r="J41" s="99"/>
      <c r="K41" s="99"/>
      <c r="L41" s="99"/>
      <c r="M41" s="99"/>
      <c r="N41" s="99"/>
      <c r="O41" s="99"/>
      <c r="P41" s="99"/>
      <c r="Q41" s="91"/>
      <c r="R41" s="96"/>
      <c r="S41" s="96"/>
    </row>
    <row r="42" spans="1:20" ht="15">
      <c r="A42" s="96"/>
      <c r="B42" s="96"/>
      <c r="C42" s="96"/>
      <c r="D42" s="96"/>
      <c r="E42" s="96"/>
      <c r="F42" s="96"/>
      <c r="G42" s="96"/>
      <c r="H42" s="96"/>
      <c r="I42" s="96"/>
      <c r="J42" s="96"/>
      <c r="K42" s="96"/>
      <c r="L42" s="96"/>
      <c r="M42" s="96"/>
      <c r="N42" s="96"/>
      <c r="O42" s="96"/>
      <c r="P42" s="96"/>
      <c r="Q42" s="96"/>
      <c r="R42" s="96"/>
      <c r="S42" s="96"/>
    </row>
    <row r="45" spans="1:20" ht="15">
      <c r="M45" s="103"/>
    </row>
    <row r="46" spans="1:20" ht="9.9499999999999993" customHeight="1"/>
    <row r="47" spans="1:20" ht="8.1" customHeight="1">
      <c r="N47" s="104" t="s">
        <v>350</v>
      </c>
    </row>
    <row r="48" spans="1:20" ht="8.1" customHeight="1">
      <c r="N48" s="104" t="s">
        <v>351</v>
      </c>
    </row>
    <row r="49" spans="1:20" ht="8.1" customHeight="1">
      <c r="E49" s="105" t="s">
        <v>1058</v>
      </c>
      <c r="N49" s="104" t="s">
        <v>352</v>
      </c>
    </row>
    <row r="50" spans="1:20" ht="8.1" customHeight="1">
      <c r="E50" s="105" t="s">
        <v>353</v>
      </c>
      <c r="N50" s="104" t="s">
        <v>354</v>
      </c>
    </row>
    <row r="51" spans="1:20" ht="8.1" customHeight="1">
      <c r="C51" s="105"/>
      <c r="E51" s="105" t="s">
        <v>355</v>
      </c>
      <c r="N51" s="104" t="s">
        <v>356</v>
      </c>
    </row>
    <row r="52" spans="1:20" ht="8.1" customHeight="1">
      <c r="E52" s="105" t="s">
        <v>357</v>
      </c>
      <c r="N52" s="104" t="s">
        <v>358</v>
      </c>
    </row>
    <row r="53" spans="1:20" ht="13.5" customHeight="1">
      <c r="E53" s="106" t="s">
        <v>1238</v>
      </c>
      <c r="N53" s="107" t="s">
        <v>359</v>
      </c>
    </row>
    <row r="54" spans="1:20" ht="22.5" customHeight="1"/>
    <row r="55" spans="1:20">
      <c r="A55" s="420" t="str">
        <f>"Calibration No.: "&amp;$T$12</f>
        <v>Calibration No.: CAL11957/00</v>
      </c>
      <c r="B55" s="421"/>
      <c r="C55" s="421"/>
      <c r="D55" s="421"/>
      <c r="E55" s="421"/>
      <c r="F55" s="421"/>
      <c r="G55" s="421"/>
      <c r="H55" s="421"/>
      <c r="I55" s="422" t="str">
        <f>$G$32</f>
        <v>0</v>
      </c>
      <c r="J55" s="421"/>
      <c r="K55" s="421"/>
      <c r="L55" s="421"/>
      <c r="M55" s="421"/>
      <c r="N55" s="420" t="s">
        <v>360</v>
      </c>
      <c r="O55" s="423"/>
      <c r="P55" s="423"/>
      <c r="Q55" s="423"/>
      <c r="R55" s="423"/>
      <c r="S55" s="423"/>
      <c r="T55" s="423" t="s">
        <v>526</v>
      </c>
    </row>
    <row r="56" spans="1:20">
      <c r="A56" s="119"/>
      <c r="B56" s="120"/>
      <c r="C56" s="120"/>
      <c r="D56" s="120"/>
      <c r="E56" s="120"/>
      <c r="F56" s="120"/>
      <c r="G56" s="120"/>
      <c r="H56" s="120"/>
      <c r="I56" s="121"/>
      <c r="J56" s="120"/>
      <c r="K56" s="120"/>
      <c r="L56" s="120"/>
      <c r="M56" s="120"/>
      <c r="N56" s="122"/>
      <c r="O56" s="123"/>
      <c r="P56" s="123"/>
      <c r="Q56" s="123"/>
      <c r="R56" s="123"/>
      <c r="S56" s="123"/>
      <c r="T56" s="123"/>
    </row>
    <row r="57" spans="1:20" ht="15.75">
      <c r="A57" s="108"/>
      <c r="B57" s="108"/>
      <c r="C57" s="108"/>
      <c r="D57" s="108"/>
      <c r="E57" s="108"/>
      <c r="F57" s="108"/>
      <c r="G57" s="108"/>
      <c r="H57" s="108"/>
      <c r="I57" s="108"/>
      <c r="J57" s="108"/>
      <c r="K57" s="108"/>
      <c r="L57" s="108"/>
      <c r="M57" s="108"/>
      <c r="N57" s="108"/>
      <c r="O57" s="108"/>
      <c r="P57" s="108"/>
      <c r="Q57" s="108"/>
    </row>
    <row r="58" spans="1:20" ht="15.75">
      <c r="A58" s="1144" t="s">
        <v>361</v>
      </c>
      <c r="B58" s="1144"/>
      <c r="C58" s="1144"/>
      <c r="D58" s="1144"/>
      <c r="E58" s="1144"/>
      <c r="F58" s="1144"/>
      <c r="G58" s="1144"/>
      <c r="H58" s="1144"/>
      <c r="I58" s="1144"/>
      <c r="J58" s="1144"/>
      <c r="K58" s="1144"/>
      <c r="L58" s="1144"/>
      <c r="M58" s="1144"/>
      <c r="N58" s="1144"/>
      <c r="O58" s="1144"/>
      <c r="P58" s="1144"/>
      <c r="Q58" s="1144"/>
      <c r="R58" s="1144"/>
      <c r="S58" s="1144"/>
      <c r="T58" s="1144"/>
    </row>
    <row r="59" spans="1:20" ht="15.75">
      <c r="A59" s="109"/>
      <c r="B59" s="109"/>
      <c r="C59" s="109"/>
      <c r="D59" s="109"/>
      <c r="E59" s="109"/>
      <c r="F59" s="109"/>
      <c r="G59" s="109"/>
      <c r="H59" s="109"/>
      <c r="I59" s="109"/>
      <c r="J59" s="109"/>
      <c r="K59" s="109"/>
      <c r="L59" s="109"/>
      <c r="M59" s="109"/>
      <c r="N59" s="109"/>
      <c r="O59" s="108"/>
      <c r="P59" s="108"/>
      <c r="Q59" s="108"/>
    </row>
    <row r="60" spans="1:20" ht="15.75">
      <c r="A60" s="110" t="e">
        <f ca="1">Client!AV2</f>
        <v>#N/A</v>
      </c>
      <c r="B60" s="109"/>
      <c r="C60" s="109"/>
      <c r="D60" s="109"/>
      <c r="E60" s="109"/>
      <c r="F60" s="109"/>
      <c r="G60" s="109"/>
      <c r="H60" s="109"/>
      <c r="I60" s="109"/>
      <c r="J60" s="109"/>
      <c r="K60" s="109"/>
      <c r="L60" s="109"/>
      <c r="M60" s="109"/>
      <c r="N60" s="109"/>
      <c r="O60" s="108"/>
      <c r="P60" s="108"/>
      <c r="Q60" s="108"/>
    </row>
    <row r="61" spans="1:20" ht="15.75">
      <c r="A61" s="111" t="s">
        <v>362</v>
      </c>
      <c r="B61" s="109" t="e">
        <f ca="1">Client!AV3</f>
        <v>#N/A</v>
      </c>
      <c r="C61" s="109"/>
      <c r="D61" s="109"/>
      <c r="E61" s="109"/>
      <c r="F61" s="109"/>
      <c r="G61" s="109"/>
      <c r="H61" s="109"/>
      <c r="I61" s="109"/>
      <c r="J61" s="109"/>
      <c r="K61" s="109"/>
      <c r="L61" s="109"/>
      <c r="M61" s="109"/>
      <c r="N61" s="109"/>
      <c r="O61" s="108"/>
      <c r="P61" s="108"/>
      <c r="Q61" s="108"/>
    </row>
    <row r="62" spans="1:20" ht="15.75">
      <c r="A62" s="111" t="s">
        <v>362</v>
      </c>
      <c r="B62" s="109" t="e">
        <f ca="1">Client!AV4</f>
        <v>#N/A</v>
      </c>
      <c r="C62" s="109"/>
      <c r="D62" s="109"/>
      <c r="E62" s="109"/>
      <c r="F62" s="109"/>
      <c r="G62" s="109"/>
      <c r="H62" s="109"/>
      <c r="I62" s="109"/>
      <c r="J62" s="109"/>
      <c r="K62" s="109"/>
      <c r="L62" s="109"/>
      <c r="M62" s="109"/>
      <c r="N62" s="109"/>
      <c r="O62" s="108"/>
      <c r="P62" s="108"/>
      <c r="Q62" s="108"/>
    </row>
    <row r="63" spans="1:20" ht="15.75">
      <c r="A63" s="111" t="s">
        <v>362</v>
      </c>
      <c r="B63" s="109" t="e">
        <f ca="1">Client!AV5</f>
        <v>#N/A</v>
      </c>
      <c r="C63" s="109"/>
      <c r="D63" s="109"/>
      <c r="E63" s="109"/>
      <c r="F63" s="109"/>
      <c r="G63" s="109"/>
      <c r="H63" s="109"/>
      <c r="I63" s="109"/>
      <c r="J63" s="109"/>
      <c r="K63" s="109"/>
      <c r="L63" s="109"/>
      <c r="M63" s="109"/>
      <c r="N63" s="109"/>
      <c r="O63" s="108"/>
      <c r="P63" s="108"/>
      <c r="Q63" s="108"/>
    </row>
    <row r="64" spans="1:20" ht="15.75">
      <c r="A64" s="111" t="s">
        <v>362</v>
      </c>
      <c r="B64" s="109" t="e">
        <f ca="1">Client!AV6</f>
        <v>#N/A</v>
      </c>
      <c r="C64" s="109"/>
      <c r="D64" s="109"/>
      <c r="E64" s="109"/>
      <c r="F64" s="109"/>
      <c r="G64" s="109"/>
      <c r="H64" s="109"/>
      <c r="I64" s="109"/>
      <c r="J64" s="109"/>
      <c r="K64" s="109"/>
      <c r="L64" s="109"/>
      <c r="M64" s="109"/>
      <c r="N64" s="109"/>
      <c r="O64" s="108"/>
      <c r="P64" s="108"/>
      <c r="Q64" s="108"/>
    </row>
    <row r="65" spans="1:20" ht="15.75">
      <c r="A65" s="111" t="s">
        <v>362</v>
      </c>
      <c r="B65" s="109" t="e">
        <f ca="1">Client!AV7</f>
        <v>#N/A</v>
      </c>
      <c r="C65" s="109"/>
      <c r="D65" s="109"/>
      <c r="E65" s="109"/>
      <c r="F65" s="109"/>
      <c r="G65" s="109"/>
      <c r="H65" s="109"/>
      <c r="I65" s="109"/>
      <c r="J65" s="109"/>
      <c r="K65" s="109"/>
      <c r="L65" s="109"/>
      <c r="M65" s="109"/>
      <c r="N65" s="109"/>
      <c r="O65" s="108"/>
      <c r="P65" s="108"/>
      <c r="Q65" s="108"/>
    </row>
    <row r="66" spans="1:20" ht="15.75">
      <c r="A66" s="109"/>
      <c r="B66" s="109"/>
      <c r="C66" s="109"/>
      <c r="D66" s="109"/>
      <c r="E66" s="109"/>
      <c r="F66" s="109"/>
      <c r="G66" s="109"/>
      <c r="H66" s="109"/>
      <c r="I66" s="109"/>
      <c r="J66" s="109"/>
      <c r="K66" s="109"/>
      <c r="L66" s="109"/>
      <c r="M66" s="109"/>
      <c r="N66" s="109"/>
      <c r="O66" s="108"/>
      <c r="P66" s="108"/>
      <c r="Q66" s="108"/>
    </row>
    <row r="67" spans="1:20" ht="15.75">
      <c r="A67" s="110" t="s">
        <v>363</v>
      </c>
      <c r="B67" s="109"/>
      <c r="C67" s="109"/>
      <c r="D67" s="109"/>
      <c r="E67" s="109"/>
      <c r="F67" s="109"/>
      <c r="G67" s="109"/>
      <c r="H67" s="109"/>
      <c r="I67" s="109"/>
      <c r="J67" s="109"/>
      <c r="K67" s="109"/>
      <c r="L67" s="109"/>
      <c r="M67" s="109"/>
      <c r="N67" s="109"/>
      <c r="O67" s="108"/>
      <c r="P67" s="108"/>
      <c r="Q67" s="108"/>
    </row>
    <row r="68" spans="1:20" ht="15.75">
      <c r="A68" s="111" t="s">
        <v>362</v>
      </c>
      <c r="B68" s="100">
        <f>Client!B63</f>
        <v>0</v>
      </c>
      <c r="C68" s="109"/>
      <c r="D68" s="109"/>
      <c r="E68" s="109"/>
      <c r="F68" s="109"/>
      <c r="G68" s="109"/>
      <c r="H68" s="109"/>
      <c r="I68" s="109"/>
      <c r="J68" s="109"/>
      <c r="K68" s="109"/>
      <c r="L68" s="109"/>
      <c r="M68" s="109"/>
      <c r="N68" s="109"/>
      <c r="O68" s="108"/>
      <c r="P68" s="108"/>
      <c r="Q68" s="108"/>
    </row>
    <row r="69" spans="1:20" ht="15.75">
      <c r="A69" s="109"/>
      <c r="B69" s="109"/>
      <c r="C69" s="109"/>
      <c r="D69" s="109"/>
      <c r="E69" s="109"/>
      <c r="F69" s="109"/>
      <c r="G69" s="109"/>
      <c r="H69" s="109"/>
      <c r="I69" s="109"/>
      <c r="J69" s="109"/>
      <c r="K69" s="109"/>
      <c r="L69" s="109"/>
      <c r="M69" s="109"/>
      <c r="N69" s="109"/>
      <c r="O69" s="108"/>
      <c r="P69" s="108"/>
      <c r="Q69" s="108"/>
    </row>
    <row r="70" spans="1:20" ht="15.75">
      <c r="A70" s="110" t="s">
        <v>364</v>
      </c>
      <c r="B70" s="109"/>
      <c r="C70" s="109"/>
      <c r="D70" s="109"/>
      <c r="E70" s="109"/>
      <c r="F70" s="109"/>
      <c r="G70" s="109"/>
      <c r="H70" s="109"/>
      <c r="I70" s="109"/>
      <c r="J70" s="109"/>
      <c r="K70" s="109"/>
      <c r="L70" s="109"/>
      <c r="M70" s="109"/>
      <c r="N70" s="109"/>
      <c r="O70" s="108"/>
      <c r="P70" s="108"/>
      <c r="Q70" s="108"/>
    </row>
    <row r="71" spans="1:20" ht="15.75">
      <c r="A71" s="111" t="s">
        <v>362</v>
      </c>
      <c r="B71" s="109" t="s">
        <v>1308</v>
      </c>
      <c r="C71" s="109"/>
      <c r="D71" s="109"/>
      <c r="E71" s="109"/>
      <c r="F71" s="109"/>
      <c r="G71" s="109"/>
      <c r="H71" s="109"/>
      <c r="I71" s="109"/>
      <c r="J71" s="109"/>
      <c r="K71" s="109"/>
      <c r="L71" s="109"/>
      <c r="M71" s="109"/>
      <c r="N71" s="109"/>
      <c r="O71" s="108"/>
      <c r="P71" s="108"/>
      <c r="Q71" s="108"/>
    </row>
    <row r="72" spans="1:20" ht="15.75">
      <c r="A72" s="108"/>
      <c r="B72" s="108"/>
      <c r="C72" s="108"/>
      <c r="D72" s="108"/>
      <c r="E72" s="108"/>
      <c r="F72" s="108"/>
      <c r="G72" s="108"/>
      <c r="H72" s="108"/>
      <c r="I72" s="108"/>
      <c r="J72" s="108"/>
      <c r="K72" s="108"/>
      <c r="L72" s="108"/>
      <c r="M72" s="108"/>
      <c r="N72" s="108"/>
      <c r="O72" s="108"/>
      <c r="P72" s="108"/>
      <c r="Q72" s="108"/>
    </row>
    <row r="73" spans="1:20" ht="15.75">
      <c r="A73" s="112" t="s">
        <v>365</v>
      </c>
      <c r="B73" s="108"/>
      <c r="C73" s="108"/>
      <c r="D73" s="108"/>
      <c r="E73" s="108"/>
      <c r="F73" s="108"/>
      <c r="G73" s="108"/>
      <c r="H73" s="108"/>
      <c r="I73" s="108"/>
      <c r="J73" s="108"/>
      <c r="K73" s="108"/>
      <c r="L73" s="108"/>
      <c r="M73" s="108"/>
      <c r="N73" s="108"/>
      <c r="O73" s="108"/>
      <c r="P73" s="108"/>
      <c r="Q73" s="108"/>
    </row>
    <row r="74" spans="1:20" ht="48.75" customHeight="1">
      <c r="A74" s="111" t="s">
        <v>362</v>
      </c>
      <c r="B74" s="1141" t="s">
        <v>1278</v>
      </c>
      <c r="C74" s="1141"/>
      <c r="D74" s="1141"/>
      <c r="E74" s="1141"/>
      <c r="F74" s="1141"/>
      <c r="G74" s="1141"/>
      <c r="H74" s="1141"/>
      <c r="I74" s="1141"/>
      <c r="J74" s="1141"/>
      <c r="K74" s="1141"/>
      <c r="L74" s="1141"/>
      <c r="M74" s="1141"/>
      <c r="N74" s="1141"/>
      <c r="O74" s="1141"/>
      <c r="P74" s="1141"/>
      <c r="Q74" s="1141"/>
      <c r="R74" s="1141"/>
      <c r="S74" s="1141"/>
      <c r="T74" s="1141"/>
    </row>
    <row r="75" spans="1:20" ht="15.75">
      <c r="A75" s="108"/>
      <c r="B75" s="108"/>
      <c r="C75" s="108"/>
      <c r="D75" s="108"/>
      <c r="E75" s="108"/>
      <c r="F75" s="108"/>
      <c r="G75" s="108"/>
      <c r="H75" s="108"/>
      <c r="I75" s="108"/>
      <c r="J75" s="108"/>
      <c r="K75" s="108"/>
      <c r="L75" s="108"/>
      <c r="M75" s="108"/>
      <c r="N75" s="108"/>
      <c r="O75" s="108"/>
      <c r="P75" s="108"/>
      <c r="Q75" s="108"/>
    </row>
    <row r="76" spans="1:20" ht="15.75">
      <c r="A76" s="149" t="s">
        <v>515</v>
      </c>
      <c r="B76" s="108"/>
      <c r="C76" s="108"/>
      <c r="D76" s="108"/>
      <c r="E76" s="108"/>
      <c r="F76" s="108"/>
      <c r="G76" s="108"/>
      <c r="H76" s="108"/>
      <c r="I76" s="108"/>
      <c r="J76" s="108"/>
      <c r="K76" s="108"/>
      <c r="L76" s="108"/>
      <c r="M76" s="108"/>
      <c r="N76" s="108"/>
      <c r="O76" s="108"/>
      <c r="P76" s="108"/>
      <c r="Q76" s="108"/>
    </row>
    <row r="77" spans="1:20" ht="50.25" customHeight="1">
      <c r="A77" s="111" t="s">
        <v>362</v>
      </c>
      <c r="B77" s="1136" t="s">
        <v>517</v>
      </c>
      <c r="C77" s="1136"/>
      <c r="D77" s="1136"/>
      <c r="E77" s="1136"/>
      <c r="F77" s="1136"/>
      <c r="G77" s="1136"/>
      <c r="H77" s="1136"/>
      <c r="I77" s="1136"/>
      <c r="J77" s="1136"/>
      <c r="K77" s="1136"/>
      <c r="L77" s="1136"/>
      <c r="M77" s="1136"/>
      <c r="N77" s="1136"/>
      <c r="O77" s="1136"/>
      <c r="P77" s="1136"/>
      <c r="Q77" s="1136"/>
      <c r="R77" s="1136"/>
      <c r="S77" s="1136"/>
      <c r="T77" s="1136"/>
    </row>
    <row r="78" spans="1:20" ht="18" customHeight="1">
      <c r="A78" s="111"/>
      <c r="B78" s="180"/>
      <c r="C78" s="180"/>
      <c r="D78" s="180"/>
      <c r="E78" s="180"/>
      <c r="F78" s="180"/>
      <c r="G78" s="180"/>
      <c r="H78" s="180"/>
      <c r="I78" s="180"/>
      <c r="J78" s="180"/>
      <c r="K78" s="180"/>
      <c r="L78" s="180"/>
      <c r="M78" s="180"/>
      <c r="N78" s="180"/>
      <c r="O78" s="180"/>
      <c r="P78" s="180"/>
      <c r="Q78" s="180"/>
      <c r="R78" s="180"/>
      <c r="S78" s="180"/>
      <c r="T78" s="180"/>
    </row>
    <row r="79" spans="1:20" ht="18" customHeight="1">
      <c r="A79" s="149" t="s">
        <v>518</v>
      </c>
      <c r="B79" s="180"/>
      <c r="C79" s="180"/>
      <c r="D79" s="180"/>
      <c r="E79" s="180"/>
      <c r="F79" s="180"/>
      <c r="G79" s="180"/>
      <c r="H79" s="180"/>
      <c r="I79" s="180"/>
      <c r="J79" s="180"/>
      <c r="K79" s="180"/>
      <c r="L79" s="180"/>
      <c r="M79" s="180"/>
      <c r="N79" s="180"/>
      <c r="O79" s="180"/>
      <c r="P79" s="180"/>
      <c r="Q79" s="180"/>
      <c r="R79" s="180"/>
      <c r="S79" s="180"/>
      <c r="T79" s="180"/>
    </row>
    <row r="80" spans="1:20" ht="48" customHeight="1">
      <c r="A80" s="111" t="s">
        <v>362</v>
      </c>
      <c r="B80" s="1136" t="s">
        <v>519</v>
      </c>
      <c r="C80" s="1136"/>
      <c r="D80" s="1136"/>
      <c r="E80" s="1136"/>
      <c r="F80" s="1136"/>
      <c r="G80" s="1136"/>
      <c r="H80" s="1136"/>
      <c r="I80" s="1136"/>
      <c r="J80" s="1136"/>
      <c r="K80" s="1136"/>
      <c r="L80" s="1136"/>
      <c r="M80" s="1136"/>
      <c r="N80" s="1136"/>
      <c r="O80" s="1136"/>
      <c r="P80" s="1136"/>
      <c r="Q80" s="1136"/>
      <c r="R80" s="1136"/>
      <c r="S80" s="1136"/>
      <c r="T80" s="1136"/>
    </row>
    <row r="81" spans="1:20" ht="18" customHeight="1">
      <c r="A81" s="111"/>
      <c r="B81" s="180"/>
      <c r="C81" s="180"/>
      <c r="D81" s="180"/>
      <c r="E81" s="180"/>
      <c r="F81" s="180"/>
      <c r="G81" s="180"/>
      <c r="H81" s="180"/>
      <c r="I81" s="180"/>
      <c r="J81" s="180"/>
      <c r="K81" s="180"/>
      <c r="L81" s="180"/>
      <c r="M81" s="180"/>
      <c r="N81" s="180"/>
      <c r="O81" s="180"/>
      <c r="P81" s="180"/>
      <c r="Q81" s="180"/>
      <c r="R81" s="180"/>
      <c r="S81" s="180"/>
      <c r="T81" s="180"/>
    </row>
    <row r="82" spans="1:20" ht="18" customHeight="1">
      <c r="A82" s="149" t="s">
        <v>520</v>
      </c>
      <c r="B82" s="180"/>
      <c r="C82" s="180"/>
      <c r="D82" s="180"/>
      <c r="E82" s="180"/>
      <c r="F82" s="180"/>
      <c r="G82" s="180"/>
      <c r="H82" s="180"/>
      <c r="I82" s="180"/>
      <c r="J82" s="180"/>
      <c r="K82" s="180"/>
      <c r="L82" s="180"/>
      <c r="M82" s="180"/>
      <c r="N82" s="180"/>
      <c r="O82" s="180"/>
      <c r="P82" s="180"/>
      <c r="Q82" s="180"/>
      <c r="R82" s="180"/>
      <c r="S82" s="180"/>
      <c r="T82" s="180"/>
    </row>
    <row r="83" spans="1:20" ht="35.1" customHeight="1">
      <c r="A83" s="111" t="s">
        <v>362</v>
      </c>
      <c r="B83" s="1136" t="s">
        <v>522</v>
      </c>
      <c r="C83" s="1136"/>
      <c r="D83" s="1136"/>
      <c r="E83" s="1136"/>
      <c r="F83" s="1136"/>
      <c r="G83" s="1136"/>
      <c r="H83" s="1136"/>
      <c r="I83" s="1136"/>
      <c r="J83" s="1136"/>
      <c r="K83" s="1136"/>
      <c r="L83" s="1136"/>
      <c r="M83" s="1136"/>
      <c r="N83" s="1136"/>
      <c r="O83" s="1136"/>
      <c r="P83" s="1136"/>
      <c r="Q83" s="1136"/>
      <c r="R83" s="1136"/>
      <c r="S83" s="1136"/>
      <c r="T83" s="1136"/>
    </row>
    <row r="84" spans="1:20" ht="35.1" customHeight="1">
      <c r="A84" s="111" t="s">
        <v>362</v>
      </c>
      <c r="B84" s="1136" t="s">
        <v>521</v>
      </c>
      <c r="C84" s="1136"/>
      <c r="D84" s="1136"/>
      <c r="E84" s="1136"/>
      <c r="F84" s="1136"/>
      <c r="G84" s="1136"/>
      <c r="H84" s="1136"/>
      <c r="I84" s="1136"/>
      <c r="J84" s="1136"/>
      <c r="K84" s="1136"/>
      <c r="L84" s="1136"/>
      <c r="M84" s="1136"/>
      <c r="N84" s="1136"/>
      <c r="O84" s="1136"/>
      <c r="P84" s="1136"/>
      <c r="Q84" s="1136"/>
      <c r="R84" s="1136"/>
      <c r="S84" s="1136"/>
      <c r="T84" s="1136"/>
    </row>
    <row r="85" spans="1:20" ht="18" customHeight="1">
      <c r="A85" s="111"/>
      <c r="B85" s="180"/>
      <c r="C85" s="180"/>
      <c r="D85" s="180"/>
      <c r="E85" s="180"/>
      <c r="F85" s="180"/>
      <c r="G85" s="180"/>
      <c r="H85" s="180"/>
      <c r="I85" s="180"/>
      <c r="J85" s="180"/>
      <c r="K85" s="180"/>
      <c r="L85" s="180"/>
      <c r="M85" s="180"/>
      <c r="N85" s="180"/>
      <c r="O85" s="180"/>
      <c r="P85" s="180"/>
      <c r="Q85" s="180"/>
      <c r="R85" s="180"/>
      <c r="S85" s="180"/>
      <c r="T85" s="180"/>
    </row>
    <row r="86" spans="1:20" ht="15.75">
      <c r="A86" s="112" t="s">
        <v>367</v>
      </c>
    </row>
    <row r="87" spans="1:20" ht="15.75">
      <c r="A87" s="111" t="s">
        <v>362</v>
      </c>
      <c r="B87" s="1141" t="s">
        <v>801</v>
      </c>
      <c r="C87" s="1141"/>
      <c r="D87" s="1141"/>
      <c r="E87" s="1141"/>
      <c r="F87" s="1141"/>
      <c r="G87" s="1141"/>
      <c r="H87" s="1141"/>
      <c r="I87" s="1141"/>
      <c r="J87" s="1141"/>
      <c r="K87" s="1141"/>
      <c r="L87" s="1141"/>
      <c r="M87" s="1141"/>
      <c r="N87" s="1141"/>
      <c r="O87" s="1141"/>
      <c r="P87" s="1141"/>
      <c r="Q87" s="1141"/>
    </row>
    <row r="88" spans="1:20" ht="15.75">
      <c r="A88" s="112"/>
    </row>
    <row r="89" spans="1:20" ht="15.75">
      <c r="A89" s="112" t="s">
        <v>368</v>
      </c>
    </row>
    <row r="90" spans="1:20" ht="15.75">
      <c r="A90" s="111" t="s">
        <v>362</v>
      </c>
      <c r="B90" s="1141" t="s">
        <v>801</v>
      </c>
      <c r="C90" s="1141"/>
      <c r="D90" s="1141"/>
      <c r="E90" s="1141"/>
      <c r="F90" s="1141"/>
      <c r="G90" s="1141"/>
      <c r="H90" s="1141"/>
      <c r="I90" s="1141"/>
      <c r="J90" s="1141"/>
      <c r="K90" s="1141"/>
      <c r="L90" s="1141"/>
      <c r="M90" s="1141"/>
      <c r="N90" s="1141"/>
      <c r="O90" s="1141"/>
      <c r="P90" s="1141"/>
      <c r="Q90" s="1141"/>
    </row>
    <row r="91" spans="1:20" ht="15.75">
      <c r="A91" s="111"/>
      <c r="B91" s="179"/>
      <c r="C91" s="179"/>
      <c r="D91" s="179"/>
      <c r="E91" s="179"/>
      <c r="F91" s="179"/>
      <c r="G91" s="179"/>
      <c r="H91" s="179"/>
      <c r="I91" s="179"/>
      <c r="J91" s="179"/>
      <c r="K91" s="179"/>
      <c r="L91" s="179"/>
      <c r="M91" s="179"/>
      <c r="N91" s="179"/>
      <c r="O91" s="179"/>
      <c r="P91" s="179"/>
      <c r="Q91" s="179"/>
    </row>
    <row r="92" spans="1:20" ht="15.75">
      <c r="A92" s="111"/>
      <c r="B92" s="179"/>
      <c r="C92" s="179"/>
      <c r="D92" s="179"/>
      <c r="E92" s="179"/>
      <c r="F92" s="179"/>
      <c r="G92" s="179"/>
      <c r="H92" s="179"/>
      <c r="I92" s="179"/>
      <c r="J92" s="179"/>
      <c r="K92" s="179"/>
      <c r="L92" s="179"/>
      <c r="M92" s="179"/>
      <c r="N92" s="179"/>
      <c r="O92" s="179"/>
      <c r="P92" s="179"/>
      <c r="Q92" s="179"/>
    </row>
    <row r="93" spans="1:20" ht="15.75">
      <c r="A93" s="111"/>
      <c r="B93" s="179"/>
      <c r="C93" s="179"/>
      <c r="D93" s="179"/>
      <c r="E93" s="179"/>
      <c r="F93" s="179"/>
      <c r="G93" s="179"/>
      <c r="H93" s="179"/>
      <c r="I93" s="179"/>
      <c r="J93" s="179"/>
      <c r="K93" s="179"/>
      <c r="L93" s="179"/>
      <c r="M93" s="179"/>
      <c r="N93" s="179"/>
      <c r="O93" s="179"/>
      <c r="P93" s="179"/>
      <c r="Q93" s="179"/>
    </row>
    <row r="94" spans="1:20" ht="15.75">
      <c r="A94" s="111"/>
      <c r="B94" s="179"/>
      <c r="C94" s="179"/>
      <c r="D94" s="179"/>
      <c r="E94" s="179"/>
      <c r="F94" s="179"/>
      <c r="G94" s="179"/>
      <c r="H94" s="179"/>
      <c r="I94" s="179"/>
      <c r="J94" s="179"/>
      <c r="K94" s="179"/>
      <c r="L94" s="179"/>
      <c r="M94" s="179"/>
      <c r="N94" s="179"/>
      <c r="O94" s="179"/>
      <c r="P94" s="179"/>
      <c r="Q94" s="179"/>
    </row>
    <row r="95" spans="1:20" ht="15.75">
      <c r="A95" s="111"/>
      <c r="B95" s="179"/>
      <c r="C95" s="179"/>
      <c r="D95" s="179"/>
      <c r="E95" s="179"/>
      <c r="F95" s="179"/>
      <c r="G95" s="179"/>
      <c r="H95" s="179"/>
      <c r="I95" s="179"/>
      <c r="J95" s="179"/>
      <c r="K95" s="179"/>
      <c r="L95" s="179"/>
      <c r="M95" s="179"/>
      <c r="N95" s="179"/>
      <c r="O95" s="179"/>
      <c r="P95" s="179"/>
      <c r="Q95" s="179"/>
    </row>
    <row r="96" spans="1:20" ht="15.75">
      <c r="A96" s="111"/>
      <c r="B96" s="179"/>
      <c r="C96" s="179"/>
      <c r="D96" s="179"/>
      <c r="E96" s="179"/>
      <c r="F96" s="179"/>
      <c r="G96" s="179"/>
      <c r="H96" s="179"/>
      <c r="I96" s="179"/>
      <c r="J96" s="179"/>
      <c r="K96" s="179"/>
      <c r="L96" s="179"/>
      <c r="M96" s="179"/>
      <c r="N96" s="179"/>
      <c r="O96" s="179"/>
      <c r="P96" s="179"/>
      <c r="Q96" s="179"/>
    </row>
    <row r="97" spans="1:20">
      <c r="A97" s="420" t="str">
        <f>"Calibration No.: "&amp;$T$12</f>
        <v>Calibration No.: CAL11957/00</v>
      </c>
      <c r="B97" s="421"/>
      <c r="C97" s="421"/>
      <c r="D97" s="421"/>
      <c r="E97" s="421"/>
      <c r="F97" s="421"/>
      <c r="G97" s="421"/>
      <c r="H97" s="421"/>
      <c r="I97" s="422" t="str">
        <f>$G$32</f>
        <v>0</v>
      </c>
      <c r="J97" s="421"/>
      <c r="K97" s="421"/>
      <c r="L97" s="421"/>
      <c r="M97" s="421"/>
      <c r="N97" s="420" t="s">
        <v>360</v>
      </c>
      <c r="O97" s="423"/>
      <c r="P97" s="423"/>
      <c r="Q97" s="423"/>
      <c r="R97" s="423"/>
      <c r="S97" s="423"/>
      <c r="T97" s="423" t="s">
        <v>527</v>
      </c>
    </row>
    <row r="98" spans="1:20" ht="15.75">
      <c r="A98" s="111"/>
      <c r="B98" s="179"/>
      <c r="C98" s="179"/>
      <c r="D98" s="179"/>
      <c r="E98" s="179"/>
      <c r="F98" s="179"/>
      <c r="G98" s="179"/>
      <c r="H98" s="179"/>
      <c r="I98" s="179"/>
      <c r="J98" s="179"/>
      <c r="K98" s="179"/>
      <c r="L98" s="179"/>
      <c r="M98" s="179"/>
      <c r="N98" s="179"/>
      <c r="O98" s="179"/>
      <c r="P98" s="179"/>
      <c r="Q98" s="179"/>
    </row>
    <row r="99" spans="1:20" ht="15.75">
      <c r="A99" s="112" t="s">
        <v>478</v>
      </c>
      <c r="B99" s="179"/>
      <c r="C99" s="179"/>
      <c r="D99" s="179"/>
      <c r="E99" s="179"/>
      <c r="F99" s="179"/>
      <c r="G99" s="179"/>
      <c r="H99" s="179"/>
      <c r="I99" s="179"/>
      <c r="J99" s="179"/>
      <c r="K99" s="179"/>
      <c r="L99" s="179"/>
      <c r="M99" s="179"/>
      <c r="N99" s="179"/>
      <c r="O99" s="179"/>
      <c r="P99" s="179"/>
      <c r="Q99" s="179"/>
      <c r="R99" s="158"/>
      <c r="S99" s="158"/>
      <c r="T99" s="160"/>
    </row>
    <row r="100" spans="1:20" ht="33.6" customHeight="1">
      <c r="A100" s="176" t="s">
        <v>479</v>
      </c>
      <c r="B100" s="1140" t="s">
        <v>1211</v>
      </c>
      <c r="C100" s="1140"/>
      <c r="D100" s="1140"/>
      <c r="E100" s="1140"/>
      <c r="F100" s="1140"/>
      <c r="G100" s="1140"/>
      <c r="H100" s="1140"/>
      <c r="I100" s="1140"/>
      <c r="J100" s="1140"/>
      <c r="K100" s="1140"/>
      <c r="L100" s="1140"/>
      <c r="M100" s="1140"/>
      <c r="N100" s="1140"/>
      <c r="O100" s="1140"/>
      <c r="P100" s="1140"/>
      <c r="Q100" s="1140"/>
      <c r="R100" s="1140"/>
      <c r="S100" s="1140"/>
      <c r="T100" s="1140"/>
    </row>
    <row r="101" spans="1:20" ht="15.75" customHeight="1"/>
    <row r="102" spans="1:20" ht="15.75">
      <c r="A102" s="112"/>
      <c r="B102" s="112"/>
      <c r="C102" s="112"/>
      <c r="D102" s="112"/>
      <c r="E102" s="112"/>
      <c r="F102" s="112"/>
      <c r="G102" s="112"/>
      <c r="H102" s="112"/>
      <c r="I102" s="112"/>
      <c r="J102" s="112"/>
      <c r="K102" s="112"/>
      <c r="L102" s="112"/>
      <c r="M102" s="112"/>
      <c r="N102" s="112"/>
      <c r="O102" s="112"/>
      <c r="P102" s="112"/>
      <c r="Q102" s="112"/>
    </row>
    <row r="103" spans="1:20" ht="15.75">
      <c r="A103" s="112" t="s">
        <v>369</v>
      </c>
      <c r="B103" s="112"/>
      <c r="C103" s="112"/>
      <c r="D103" s="112"/>
      <c r="E103" s="112"/>
      <c r="F103" s="112"/>
      <c r="G103" s="112"/>
      <c r="H103" s="112"/>
      <c r="I103" s="112"/>
      <c r="J103" s="112"/>
      <c r="K103" s="112"/>
      <c r="L103" s="112"/>
      <c r="M103" s="112"/>
      <c r="N103" s="112"/>
      <c r="O103" s="112"/>
      <c r="P103" s="112"/>
      <c r="Q103" s="112"/>
    </row>
    <row r="104" spans="1:20" ht="63.95" customHeight="1">
      <c r="A104" s="113" t="s">
        <v>370</v>
      </c>
      <c r="B104" s="1136" t="s">
        <v>1298</v>
      </c>
      <c r="C104" s="1136"/>
      <c r="D104" s="1136"/>
      <c r="E104" s="1136"/>
      <c r="F104" s="1136"/>
      <c r="G104" s="1136"/>
      <c r="H104" s="1136"/>
      <c r="I104" s="1136"/>
      <c r="J104" s="1136"/>
      <c r="K104" s="1136"/>
      <c r="L104" s="1136"/>
      <c r="M104" s="1136"/>
      <c r="N104" s="1136"/>
      <c r="O104" s="1136"/>
      <c r="P104" s="1136"/>
      <c r="Q104" s="1136"/>
      <c r="R104" s="1136"/>
      <c r="S104" s="1136"/>
      <c r="T104" s="1136"/>
    </row>
    <row r="105" spans="1:20" s="111" customFormat="1" ht="53.25" customHeight="1">
      <c r="A105" s="113" t="s">
        <v>371</v>
      </c>
      <c r="B105" s="1136" t="s">
        <v>372</v>
      </c>
      <c r="C105" s="1136"/>
      <c r="D105" s="1136"/>
      <c r="E105" s="1136"/>
      <c r="F105" s="1136"/>
      <c r="G105" s="1136"/>
      <c r="H105" s="1136"/>
      <c r="I105" s="1136"/>
      <c r="J105" s="1136"/>
      <c r="K105" s="1136"/>
      <c r="L105" s="1136"/>
      <c r="M105" s="1136"/>
      <c r="N105" s="1136"/>
      <c r="O105" s="1136"/>
      <c r="P105" s="1136"/>
      <c r="Q105" s="1136"/>
      <c r="R105" s="1136"/>
      <c r="S105" s="1136"/>
      <c r="T105" s="1136"/>
    </row>
    <row r="106" spans="1:20" ht="18" customHeight="1">
      <c r="A106" s="112"/>
      <c r="B106" s="112"/>
      <c r="C106" s="112"/>
      <c r="D106" s="112"/>
      <c r="E106" s="112"/>
      <c r="F106" s="112"/>
      <c r="G106" s="112"/>
      <c r="H106" s="112"/>
      <c r="I106" s="112"/>
      <c r="J106" s="112"/>
      <c r="K106" s="112"/>
      <c r="L106" s="112"/>
      <c r="M106" s="112"/>
      <c r="N106" s="112"/>
      <c r="O106" s="112"/>
      <c r="P106" s="112"/>
      <c r="Q106" s="112"/>
    </row>
    <row r="107" spans="1:20" ht="18" customHeight="1"/>
    <row r="108" spans="1:20" ht="18" customHeight="1"/>
    <row r="109" spans="1:20" ht="18" customHeight="1"/>
    <row r="110" spans="1:20" ht="18" customHeight="1"/>
    <row r="111" spans="1:20" ht="18" customHeight="1"/>
    <row r="112" spans="1:20" ht="18" customHeight="1"/>
    <row r="113" ht="18" customHeight="1"/>
    <row r="114" ht="18" customHeight="1"/>
    <row r="115" ht="18" customHeight="1"/>
    <row r="116" ht="18" customHeight="1"/>
    <row r="117" ht="18" customHeight="1"/>
    <row r="118" ht="18" customHeight="1"/>
    <row r="119" ht="18" customHeight="1"/>
    <row r="120" ht="18" customHeight="1"/>
    <row r="121" ht="18" customHeight="1"/>
    <row r="122" ht="18" customHeight="1"/>
    <row r="123" ht="18" customHeight="1"/>
    <row r="124" ht="18" customHeight="1"/>
    <row r="125" ht="18" customHeight="1"/>
    <row r="126" ht="18" customHeight="1"/>
    <row r="127" ht="18" customHeight="1"/>
    <row r="128" ht="18" customHeight="1"/>
    <row r="129" spans="1:20" ht="18" customHeight="1"/>
    <row r="130" spans="1:20" ht="18" customHeight="1"/>
    <row r="131" spans="1:20" ht="18" customHeight="1"/>
    <row r="132" spans="1:20" ht="18" customHeight="1"/>
    <row r="133" spans="1:20" ht="18" customHeight="1"/>
    <row r="134" spans="1:20" ht="18" customHeight="1"/>
    <row r="135" spans="1:20" ht="18" customHeight="1"/>
    <row r="136" spans="1:20" ht="27.75" customHeight="1"/>
    <row r="137" spans="1:20" ht="15" customHeight="1">
      <c r="A137" s="420" t="str">
        <f>"Calibration No.: "&amp;$T$12</f>
        <v>Calibration No.: CAL11957/00</v>
      </c>
      <c r="B137" s="421"/>
      <c r="C137" s="421"/>
      <c r="D137" s="421"/>
      <c r="E137" s="421"/>
      <c r="F137" s="421"/>
      <c r="G137" s="421"/>
      <c r="H137" s="421"/>
      <c r="I137" s="422" t="str">
        <f>$G$32</f>
        <v>0</v>
      </c>
      <c r="J137" s="421"/>
      <c r="K137" s="421"/>
      <c r="L137" s="421"/>
      <c r="M137" s="421"/>
      <c r="N137" s="420" t="s">
        <v>360</v>
      </c>
      <c r="O137" s="423"/>
      <c r="P137" s="423"/>
      <c r="Q137" s="423"/>
      <c r="R137" s="423"/>
      <c r="S137" s="423"/>
      <c r="T137" s="423" t="s">
        <v>528</v>
      </c>
    </row>
    <row r="143" spans="1:20" ht="31.5" customHeight="1">
      <c r="A143" s="1148" t="s">
        <v>464</v>
      </c>
      <c r="B143" s="1148"/>
      <c r="C143" s="1148"/>
      <c r="D143" s="1148"/>
      <c r="E143" s="1148"/>
      <c r="F143" s="1148"/>
      <c r="G143" s="1148"/>
      <c r="H143" s="1148"/>
      <c r="I143" s="1148"/>
      <c r="J143" s="1148"/>
      <c r="K143" s="1148"/>
      <c r="L143" s="1148"/>
      <c r="M143" s="1148"/>
      <c r="N143" s="1148"/>
      <c r="O143" s="1148"/>
      <c r="P143" s="1148"/>
      <c r="Q143" s="1148"/>
      <c r="R143" s="1148"/>
      <c r="S143" s="1148"/>
      <c r="T143" s="1148"/>
    </row>
    <row r="144" spans="1:20" ht="15">
      <c r="A144" s="96"/>
      <c r="B144" s="96"/>
      <c r="C144" s="96"/>
      <c r="D144" s="96"/>
      <c r="E144" s="96"/>
      <c r="F144" s="96"/>
      <c r="G144" s="96"/>
      <c r="H144" s="96"/>
      <c r="I144" s="96"/>
      <c r="J144" s="96"/>
      <c r="K144" s="96"/>
      <c r="L144" s="96"/>
      <c r="M144" s="96"/>
      <c r="N144" s="96"/>
      <c r="O144" s="96"/>
      <c r="P144" s="96"/>
      <c r="Q144" s="96"/>
    </row>
    <row r="145" spans="1:18" ht="18" customHeight="1">
      <c r="A145" s="114" t="s">
        <v>2</v>
      </c>
      <c r="B145" s="91"/>
      <c r="C145" s="91"/>
      <c r="D145" s="91"/>
      <c r="E145" s="91"/>
      <c r="G145" s="165" t="str">
        <f>G19</f>
        <v>De-identified for distribution</v>
      </c>
      <c r="H145" s="91"/>
      <c r="I145" s="91"/>
      <c r="J145" s="91"/>
      <c r="K145" s="91"/>
      <c r="L145" s="91"/>
      <c r="M145" s="91"/>
      <c r="N145" s="91"/>
      <c r="O145" s="91"/>
      <c r="P145" s="91"/>
      <c r="Q145" s="91"/>
      <c r="R145" s="97"/>
    </row>
    <row r="146" spans="1:18" ht="18" customHeight="1">
      <c r="A146" s="114" t="s">
        <v>1311</v>
      </c>
      <c r="B146" s="91"/>
      <c r="C146" s="91"/>
      <c r="D146" s="91"/>
      <c r="E146" s="91"/>
      <c r="G146" s="165" t="str">
        <f>Client!AV15</f>
        <v xml:space="preserve"> serial number </v>
      </c>
      <c r="H146" s="91"/>
      <c r="I146" s="91"/>
      <c r="J146" s="91"/>
      <c r="K146" s="91"/>
      <c r="L146" s="91"/>
      <c r="M146" s="91"/>
      <c r="N146" s="91"/>
      <c r="O146" s="91"/>
      <c r="P146" s="91"/>
      <c r="Q146" s="91"/>
      <c r="R146" s="97"/>
    </row>
    <row r="147" spans="1:18" ht="18" customHeight="1">
      <c r="A147" s="91" t="s">
        <v>1327</v>
      </c>
      <c r="B147" s="91"/>
      <c r="C147" s="91"/>
      <c r="D147" s="91"/>
      <c r="E147" s="91"/>
      <c r="G147" s="91" t="str">
        <f>Client!BA16&amp;" on the outer electrode"</f>
        <v>0 V on the outer electrode</v>
      </c>
      <c r="H147" s="91"/>
      <c r="I147" s="91"/>
      <c r="J147" s="91"/>
      <c r="K147" s="91"/>
      <c r="L147" s="91"/>
      <c r="M147" s="91"/>
      <c r="N147" s="91"/>
      <c r="O147" s="91"/>
      <c r="P147" s="91"/>
      <c r="Q147" s="91"/>
      <c r="R147" s="97"/>
    </row>
    <row r="148" spans="1:18" ht="18" customHeight="1">
      <c r="A148" s="91" t="s">
        <v>373</v>
      </c>
      <c r="B148" s="91"/>
      <c r="C148" s="91"/>
      <c r="D148" s="91"/>
      <c r="E148" s="91"/>
      <c r="G148" s="91" t="str">
        <f>Client!AV13</f>
        <v>Positive (Collecting Electrode Negative)</v>
      </c>
      <c r="H148" s="91"/>
      <c r="I148" s="91"/>
      <c r="J148" s="91"/>
      <c r="K148" s="91"/>
      <c r="L148" s="91"/>
      <c r="M148" s="91"/>
      <c r="N148" s="91"/>
      <c r="O148" s="91"/>
      <c r="P148" s="91"/>
      <c r="Q148" s="91"/>
      <c r="R148" s="97"/>
    </row>
    <row r="149" spans="1:18" ht="18" customHeight="1">
      <c r="A149" s="91" t="s">
        <v>332</v>
      </c>
      <c r="B149" s="91"/>
      <c r="C149" s="91"/>
      <c r="D149" s="91"/>
      <c r="E149" s="91"/>
      <c r="G149" s="91" t="e">
        <f ca="1">Client!AV8</f>
        <v>#N/A</v>
      </c>
      <c r="H149" s="91"/>
      <c r="I149" s="91"/>
      <c r="J149" s="91"/>
      <c r="K149" s="91"/>
      <c r="L149" s="91"/>
      <c r="M149" s="91"/>
      <c r="N149" s="91"/>
      <c r="O149" s="91"/>
      <c r="P149" s="91"/>
      <c r="Q149" s="91"/>
      <c r="R149" s="97"/>
    </row>
    <row r="150" spans="1:18" ht="18" customHeight="1">
      <c r="A150" s="91" t="s">
        <v>374</v>
      </c>
      <c r="B150" s="91"/>
      <c r="C150" s="91"/>
      <c r="D150" s="91"/>
      <c r="E150" s="91"/>
      <c r="G150" s="118" t="s">
        <v>375</v>
      </c>
      <c r="H150" s="91"/>
      <c r="I150" s="91"/>
      <c r="J150" s="91"/>
      <c r="K150" s="91"/>
      <c r="L150" s="91"/>
      <c r="M150" s="91"/>
      <c r="N150" s="91"/>
      <c r="O150" s="91"/>
      <c r="P150" s="91"/>
      <c r="Q150" s="91"/>
      <c r="R150" s="97"/>
    </row>
    <row r="151" spans="1:18" ht="18" customHeight="1">
      <c r="A151" s="91"/>
      <c r="B151" s="91"/>
      <c r="C151" s="91"/>
      <c r="D151" s="91"/>
      <c r="E151" s="91"/>
      <c r="G151" s="118" t="s">
        <v>376</v>
      </c>
      <c r="H151" s="91"/>
      <c r="I151" s="91"/>
      <c r="J151" s="91"/>
      <c r="K151" s="91"/>
      <c r="L151" s="91"/>
      <c r="M151" s="91"/>
      <c r="N151" s="91"/>
      <c r="O151" s="91"/>
      <c r="P151" s="91"/>
      <c r="Q151" s="91"/>
      <c r="R151" s="97"/>
    </row>
    <row r="152" spans="1:18" ht="18" customHeight="1">
      <c r="A152" s="91"/>
      <c r="B152" s="91"/>
      <c r="C152" s="91"/>
      <c r="D152" s="91"/>
      <c r="E152" s="91"/>
      <c r="G152" s="118" t="s">
        <v>377</v>
      </c>
      <c r="H152" s="91"/>
      <c r="I152" s="91"/>
      <c r="J152" s="91"/>
      <c r="K152" s="91"/>
      <c r="L152" s="91"/>
      <c r="M152" s="91"/>
      <c r="N152" s="91"/>
      <c r="O152" s="91"/>
      <c r="P152" s="91"/>
      <c r="Q152" s="91"/>
      <c r="R152" s="97"/>
    </row>
    <row r="153" spans="1:18" ht="18" customHeight="1">
      <c r="A153" s="91"/>
      <c r="B153" s="91"/>
      <c r="C153" s="91"/>
      <c r="D153" s="91"/>
      <c r="E153" s="91"/>
      <c r="G153" s="118" t="s">
        <v>504</v>
      </c>
      <c r="H153" s="91"/>
      <c r="I153" s="91"/>
      <c r="J153" s="91"/>
      <c r="K153" s="91"/>
      <c r="L153" s="91"/>
      <c r="M153" s="91"/>
      <c r="N153" s="91"/>
      <c r="O153" s="91"/>
      <c r="P153" s="91"/>
      <c r="Q153" s="91"/>
      <c r="R153" s="97"/>
    </row>
    <row r="154" spans="1:18" ht="18" customHeight="1">
      <c r="A154" s="91"/>
      <c r="B154" s="91"/>
      <c r="C154" s="91"/>
      <c r="D154" s="91"/>
      <c r="E154" s="91"/>
      <c r="G154" s="91" t="s">
        <v>505</v>
      </c>
      <c r="H154" s="91"/>
      <c r="I154" s="91"/>
      <c r="J154" s="91"/>
      <c r="K154" s="91"/>
      <c r="L154" s="91"/>
      <c r="M154" s="91"/>
      <c r="N154" s="91"/>
      <c r="O154" s="91"/>
      <c r="P154" s="91"/>
      <c r="Q154" s="91"/>
      <c r="R154" s="97"/>
    </row>
    <row r="155" spans="1:18" ht="18" customHeight="1">
      <c r="A155" s="91" t="s">
        <v>380</v>
      </c>
      <c r="B155" s="91"/>
      <c r="C155" s="91"/>
      <c r="D155" s="91"/>
      <c r="E155" s="91"/>
      <c r="G155" s="91" t="s">
        <v>506</v>
      </c>
      <c r="H155" s="91"/>
      <c r="I155" s="91"/>
      <c r="J155" s="91"/>
      <c r="K155" s="91"/>
      <c r="L155" s="91"/>
      <c r="M155" s="91"/>
      <c r="N155" s="91"/>
      <c r="O155" s="91"/>
      <c r="P155" s="91"/>
      <c r="Q155" s="91"/>
      <c r="R155" s="97"/>
    </row>
    <row r="156" spans="1:18" ht="18" customHeight="1">
      <c r="A156" s="91" t="s">
        <v>382</v>
      </c>
      <c r="B156" s="115"/>
      <c r="C156" s="91"/>
      <c r="D156" s="91"/>
      <c r="E156" s="91"/>
      <c r="G156" s="91" t="s">
        <v>383</v>
      </c>
      <c r="H156" s="91"/>
      <c r="I156" s="91"/>
      <c r="J156" s="91"/>
      <c r="K156" s="91"/>
      <c r="L156" s="91"/>
      <c r="M156" s="91"/>
      <c r="N156" s="91"/>
      <c r="O156" s="91"/>
      <c r="P156" s="91"/>
      <c r="Q156" s="91"/>
      <c r="R156" s="97"/>
    </row>
    <row r="157" spans="1:18" ht="18" customHeight="1">
      <c r="A157" s="91" t="s">
        <v>384</v>
      </c>
      <c r="B157" s="115"/>
      <c r="C157" s="91"/>
      <c r="D157" s="91"/>
      <c r="E157" s="91"/>
      <c r="G157" s="91" t="s">
        <v>385</v>
      </c>
      <c r="H157" s="91"/>
      <c r="I157" s="91"/>
      <c r="J157" s="91"/>
      <c r="K157" s="91"/>
      <c r="L157" s="91"/>
      <c r="M157" s="91"/>
      <c r="N157" s="91"/>
      <c r="O157" s="91"/>
      <c r="P157" s="91"/>
      <c r="Q157" s="91"/>
      <c r="R157" s="97"/>
    </row>
    <row r="158" spans="1:18" ht="18" customHeight="1">
      <c r="A158" s="91" t="s">
        <v>386</v>
      </c>
      <c r="B158" s="115"/>
      <c r="C158" s="91"/>
      <c r="D158" s="91"/>
      <c r="E158" s="91"/>
      <c r="G158" s="91" t="str">
        <f>G26</f>
        <v>0</v>
      </c>
      <c r="H158" s="91"/>
      <c r="I158" s="91"/>
      <c r="J158" s="91"/>
      <c r="K158" s="91"/>
      <c r="L158" s="91"/>
      <c r="M158" s="91"/>
      <c r="N158" s="91"/>
      <c r="O158" s="91"/>
      <c r="P158" s="91"/>
      <c r="Q158" s="91"/>
      <c r="R158" s="97"/>
    </row>
    <row r="159" spans="1:18" ht="18" customHeight="1">
      <c r="A159" s="91" t="s">
        <v>1281</v>
      </c>
      <c r="B159" s="91"/>
      <c r="C159" s="91"/>
      <c r="D159" s="91"/>
      <c r="E159" s="91"/>
      <c r="F159" s="91"/>
      <c r="G159" s="91"/>
      <c r="H159" s="91"/>
      <c r="I159" s="91"/>
      <c r="J159" s="91"/>
      <c r="K159" s="91"/>
      <c r="L159" s="91"/>
      <c r="M159" s="91"/>
      <c r="N159" s="91"/>
      <c r="O159" s="91"/>
      <c r="P159" s="91"/>
      <c r="Q159" s="91"/>
      <c r="R159" s="97"/>
    </row>
    <row r="160" spans="1:18" ht="18" customHeight="1">
      <c r="A160" s="91"/>
      <c r="B160" s="91"/>
      <c r="C160" s="91"/>
      <c r="D160" s="91"/>
      <c r="E160" s="91"/>
      <c r="F160" s="91"/>
      <c r="G160" s="91"/>
      <c r="H160" s="91"/>
      <c r="I160" s="91"/>
      <c r="J160" s="91"/>
      <c r="K160" s="91"/>
      <c r="L160" s="91"/>
      <c r="M160" s="91"/>
      <c r="N160" s="91"/>
      <c r="O160" s="91"/>
      <c r="P160" s="91"/>
      <c r="Q160" s="91"/>
      <c r="R160" s="97"/>
    </row>
    <row r="161" spans="1:19" ht="15.75" customHeight="1">
      <c r="A161" s="91"/>
      <c r="B161" s="91"/>
      <c r="C161" s="91"/>
      <c r="D161" s="91"/>
      <c r="E161" s="91"/>
      <c r="F161" s="91"/>
      <c r="G161" s="91"/>
      <c r="H161" s="91"/>
      <c r="I161" s="91"/>
      <c r="J161" s="116" t="s">
        <v>388</v>
      </c>
      <c r="K161" s="91"/>
      <c r="L161" s="91"/>
      <c r="M161" s="91"/>
      <c r="N161" s="91"/>
      <c r="O161" s="91"/>
      <c r="P161" s="91"/>
      <c r="Q161" s="91"/>
      <c r="R161" s="97"/>
    </row>
    <row r="162" spans="1:19" ht="73.5" customHeight="1">
      <c r="A162" s="91"/>
      <c r="B162" s="1355" t="s">
        <v>614</v>
      </c>
      <c r="C162" s="1355"/>
      <c r="D162" s="1355"/>
      <c r="E162" s="1350" t="s">
        <v>1262</v>
      </c>
      <c r="F162" s="1350"/>
      <c r="G162" s="1350" t="s">
        <v>1263</v>
      </c>
      <c r="H162" s="1350"/>
      <c r="I162" s="1354" t="s">
        <v>1255</v>
      </c>
      <c r="J162" s="1354"/>
      <c r="K162" s="1351" t="s">
        <v>1254</v>
      </c>
      <c r="L162" s="1353"/>
      <c r="M162" s="1351" t="s">
        <v>1253</v>
      </c>
      <c r="N162" s="1353"/>
      <c r="O162" s="1351" t="s">
        <v>1264</v>
      </c>
      <c r="P162" s="1352"/>
      <c r="Q162" s="1353"/>
      <c r="R162" s="1350" t="s">
        <v>1256</v>
      </c>
      <c r="S162" s="1350"/>
    </row>
    <row r="163" spans="1:19" s="184" customFormat="1" ht="15.75" customHeight="1">
      <c r="A163" s="185"/>
      <c r="B163" s="1343"/>
      <c r="C163" s="1345"/>
      <c r="D163" s="1344"/>
      <c r="E163" s="1346" t="s">
        <v>1249</v>
      </c>
      <c r="F163" s="1347"/>
      <c r="G163" s="1346" t="s">
        <v>639</v>
      </c>
      <c r="H163" s="1347"/>
      <c r="I163" s="1348" t="s">
        <v>63</v>
      </c>
      <c r="J163" s="1349"/>
      <c r="K163" s="1343" t="s">
        <v>1250</v>
      </c>
      <c r="L163" s="1344"/>
      <c r="M163" s="1343" t="s">
        <v>639</v>
      </c>
      <c r="N163" s="1344"/>
      <c r="O163" s="1343" t="s">
        <v>7</v>
      </c>
      <c r="P163" s="1345"/>
      <c r="Q163" s="1344"/>
      <c r="R163" s="1346" t="s">
        <v>140</v>
      </c>
      <c r="S163" s="1347"/>
    </row>
    <row r="164" spans="1:19" s="184" customFormat="1" ht="15.75" customHeight="1">
      <c r="A164" s="185"/>
      <c r="B164" s="1355" t="str">
        <f>LEX!A12</f>
        <v>RT1</v>
      </c>
      <c r="C164" s="1355"/>
      <c r="D164" s="1355"/>
      <c r="E164" s="1350">
        <f>LEX!B12</f>
        <v>20</v>
      </c>
      <c r="F164" s="1350"/>
      <c r="G164" s="1373">
        <v>0.15</v>
      </c>
      <c r="H164" s="1374"/>
      <c r="I164" s="1375">
        <v>9.1094937399690394</v>
      </c>
      <c r="J164" s="1375"/>
      <c r="K164" s="1376">
        <f>LEX!C12</f>
        <v>10.715034633700199</v>
      </c>
      <c r="L164" s="1377"/>
      <c r="M164" s="1368">
        <v>0.109</v>
      </c>
      <c r="N164" s="1369"/>
      <c r="O164" s="1370" t="str">
        <f>LEX!N12</f>
        <v/>
      </c>
      <c r="P164" s="1371"/>
      <c r="Q164" s="1372"/>
      <c r="R164" s="1350">
        <f>LEX!V12</f>
        <v>2</v>
      </c>
      <c r="S164" s="1350"/>
    </row>
    <row r="165" spans="1:19" ht="20.100000000000001" customHeight="1">
      <c r="A165" s="97"/>
      <c r="B165" s="1356" t="str">
        <f>LEX!A13</f>
        <v>RT2</v>
      </c>
      <c r="C165" s="1356"/>
      <c r="D165" s="1356"/>
      <c r="E165" s="1357">
        <f>LEX!B13</f>
        <v>30</v>
      </c>
      <c r="F165" s="1357"/>
      <c r="G165" s="1358">
        <v>0.3</v>
      </c>
      <c r="H165" s="1359"/>
      <c r="I165" s="1360">
        <v>10.6342260129124</v>
      </c>
      <c r="J165" s="1360"/>
      <c r="K165" s="1361">
        <f>LEX!C13</f>
        <v>13.045582615844445</v>
      </c>
      <c r="L165" s="1362"/>
      <c r="M165" s="1363">
        <v>0.2</v>
      </c>
      <c r="N165" s="1364"/>
      <c r="O165" s="1365" t="str">
        <f>LEX!N13</f>
        <v/>
      </c>
      <c r="P165" s="1366"/>
      <c r="Q165" s="1367"/>
      <c r="R165" s="1357">
        <f>LEX!V13</f>
        <v>2</v>
      </c>
      <c r="S165" s="1357"/>
    </row>
    <row r="166" spans="1:19" ht="20.100000000000001" customHeight="1">
      <c r="A166" s="97"/>
      <c r="B166" s="1384" t="str">
        <f>LEX!A14</f>
        <v>RT3</v>
      </c>
      <c r="C166" s="1384"/>
      <c r="D166" s="1384"/>
      <c r="E166" s="1383">
        <f>LEX!B14</f>
        <v>37</v>
      </c>
      <c r="F166" s="1383"/>
      <c r="G166" s="1385">
        <v>0.4</v>
      </c>
      <c r="H166" s="1386"/>
      <c r="I166" s="1387">
        <v>9.5188459416364299</v>
      </c>
      <c r="J166" s="1387"/>
      <c r="K166" s="1388">
        <f>LEX!C14</f>
        <v>15.536348350319368</v>
      </c>
      <c r="L166" s="1389"/>
      <c r="M166" s="1378">
        <v>0.33</v>
      </c>
      <c r="N166" s="1379"/>
      <c r="O166" s="1380" t="str">
        <f>LEX!N14</f>
        <v/>
      </c>
      <c r="P166" s="1381"/>
      <c r="Q166" s="1382"/>
      <c r="R166" s="1383">
        <f>LEX!V14</f>
        <v>2</v>
      </c>
      <c r="S166" s="1383"/>
    </row>
    <row r="167" spans="1:19" ht="20.100000000000001" customHeight="1">
      <c r="A167" s="97"/>
      <c r="B167" s="1356" t="str">
        <f>LEX!A15</f>
        <v>RT4</v>
      </c>
      <c r="C167" s="1356"/>
      <c r="D167" s="1356"/>
      <c r="E167" s="1357">
        <f>LEX!B15</f>
        <v>45</v>
      </c>
      <c r="F167" s="1357"/>
      <c r="G167" s="1358">
        <v>0.55000000000000004</v>
      </c>
      <c r="H167" s="1359"/>
      <c r="I167" s="1360">
        <v>9.1871582396722609</v>
      </c>
      <c r="J167" s="1360"/>
      <c r="K167" s="1361">
        <f>LEX!C15</f>
        <v>18.073668611174138</v>
      </c>
      <c r="L167" s="1362"/>
      <c r="M167" s="1363">
        <v>0.52</v>
      </c>
      <c r="N167" s="1364"/>
      <c r="O167" s="1365" t="str">
        <f>LEX!N15</f>
        <v/>
      </c>
      <c r="P167" s="1366"/>
      <c r="Q167" s="1367"/>
      <c r="R167" s="1357">
        <f>LEX!V15</f>
        <v>2</v>
      </c>
      <c r="S167" s="1357"/>
    </row>
    <row r="168" spans="1:19" ht="20.100000000000001" customHeight="1">
      <c r="A168" s="97"/>
      <c r="B168" s="1384" t="str">
        <f>LEX!A16</f>
        <v>RT5</v>
      </c>
      <c r="C168" s="1384"/>
      <c r="D168" s="1384"/>
      <c r="E168" s="1383">
        <f>LEX!B16</f>
        <v>55</v>
      </c>
      <c r="F168" s="1383"/>
      <c r="G168" s="1385">
        <v>0.78</v>
      </c>
      <c r="H168" s="1386"/>
      <c r="I168" s="1387">
        <v>9.6946292845073003</v>
      </c>
      <c r="J168" s="1387"/>
      <c r="K168" s="1388">
        <f>LEX!C16</f>
        <v>20.944048859773055</v>
      </c>
      <c r="L168" s="1389"/>
      <c r="M168" s="1378">
        <v>0.79</v>
      </c>
      <c r="N168" s="1379"/>
      <c r="O168" s="1380" t="str">
        <f>LEX!N16</f>
        <v/>
      </c>
      <c r="P168" s="1381"/>
      <c r="Q168" s="1382"/>
      <c r="R168" s="1383">
        <f>LEX!V16</f>
        <v>2</v>
      </c>
      <c r="S168" s="1383"/>
    </row>
    <row r="169" spans="1:19" ht="20.100000000000001" customHeight="1">
      <c r="A169" s="97"/>
      <c r="B169" s="1356" t="str">
        <f>LEX!A17</f>
        <v>RT6</v>
      </c>
      <c r="C169" s="1356"/>
      <c r="D169" s="1356"/>
      <c r="E169" s="1357">
        <f>LEX!B17</f>
        <v>70</v>
      </c>
      <c r="F169" s="1357"/>
      <c r="G169" s="1358">
        <v>1.25</v>
      </c>
      <c r="H169" s="1359"/>
      <c r="I169" s="1360">
        <v>9.9803631474408405</v>
      </c>
      <c r="J169" s="1360"/>
      <c r="K169" s="1361">
        <f>LEX!C17</f>
        <v>24.888652342138169</v>
      </c>
      <c r="L169" s="1362"/>
      <c r="M169" s="1363">
        <v>1.28</v>
      </c>
      <c r="N169" s="1364"/>
      <c r="O169" s="1365" t="str">
        <f>LEX!N17</f>
        <v/>
      </c>
      <c r="P169" s="1366"/>
      <c r="Q169" s="1367"/>
      <c r="R169" s="1357">
        <f>LEX!V17</f>
        <v>2</v>
      </c>
      <c r="S169" s="1357"/>
    </row>
    <row r="170" spans="1:19" ht="20.100000000000001" customHeight="1">
      <c r="A170" s="97"/>
      <c r="B170" s="1384" t="str">
        <f>LEX!A18</f>
        <v>RT7</v>
      </c>
      <c r="C170" s="1384"/>
      <c r="D170" s="1384"/>
      <c r="E170" s="1396">
        <f>LEX!B18</f>
        <v>100</v>
      </c>
      <c r="F170" s="1397"/>
      <c r="G170" s="1385">
        <v>1.7</v>
      </c>
      <c r="H170" s="1386"/>
      <c r="I170" s="1388">
        <v>11.4566150720488</v>
      </c>
      <c r="J170" s="1389"/>
      <c r="K170" s="1388">
        <f>LEX!C18</f>
        <v>30.042011022245948</v>
      </c>
      <c r="L170" s="1389"/>
      <c r="M170" s="1378">
        <v>2.17</v>
      </c>
      <c r="N170" s="1379"/>
      <c r="O170" s="1380" t="str">
        <f>LEX!N18</f>
        <v/>
      </c>
      <c r="P170" s="1381"/>
      <c r="Q170" s="1382"/>
      <c r="R170" s="1396">
        <f>LEX!V18</f>
        <v>2</v>
      </c>
      <c r="S170" s="1397"/>
    </row>
    <row r="171" spans="1:19" ht="20.100000000000001" customHeight="1">
      <c r="A171" s="97"/>
      <c r="B171" s="1394" t="str">
        <f>LEX!A19</f>
        <v>RT8</v>
      </c>
      <c r="C171" s="1394"/>
      <c r="D171" s="1394"/>
      <c r="E171" s="1392">
        <f>LEX!B19</f>
        <v>100</v>
      </c>
      <c r="F171" s="1392"/>
      <c r="G171" s="1395" t="s">
        <v>1465</v>
      </c>
      <c r="H171" s="1395"/>
      <c r="I171" s="1390">
        <v>3</v>
      </c>
      <c r="J171" s="1390"/>
      <c r="K171" s="1390">
        <f>LEX!C19</f>
        <v>49</v>
      </c>
      <c r="L171" s="1390"/>
      <c r="M171" s="1391">
        <v>6.53</v>
      </c>
      <c r="N171" s="1391"/>
      <c r="O171" s="1393" t="str">
        <f>LEX!N19</f>
        <v/>
      </c>
      <c r="P171" s="1393"/>
      <c r="Q171" s="1393"/>
      <c r="R171" s="1392">
        <f>LEX!V19</f>
        <v>2</v>
      </c>
      <c r="S171" s="1392"/>
    </row>
    <row r="172" spans="1:19" ht="20.100000000000001" customHeight="1">
      <c r="B172" s="91" t="s">
        <v>465</v>
      </c>
      <c r="C172" s="91"/>
      <c r="D172" s="91"/>
      <c r="E172" s="91"/>
      <c r="F172" s="91"/>
      <c r="G172" s="91"/>
      <c r="H172" s="91"/>
      <c r="I172" s="91"/>
      <c r="J172" s="91"/>
      <c r="K172" s="91"/>
      <c r="L172" s="91"/>
      <c r="M172" s="91"/>
      <c r="N172" s="91"/>
      <c r="O172" s="91"/>
      <c r="P172" s="91"/>
      <c r="Q172" s="91"/>
      <c r="R172" s="97"/>
    </row>
    <row r="173" spans="1:19" ht="15">
      <c r="B173" s="91" t="s">
        <v>390</v>
      </c>
      <c r="C173" s="91"/>
      <c r="D173" s="91"/>
      <c r="E173" s="91"/>
      <c r="F173" s="91"/>
      <c r="G173" s="91"/>
      <c r="H173" s="91"/>
      <c r="I173" s="91"/>
      <c r="J173" s="91"/>
      <c r="K173" s="91"/>
      <c r="L173" s="91"/>
      <c r="M173" s="91"/>
      <c r="N173" s="91"/>
      <c r="O173" s="91"/>
      <c r="P173" s="91"/>
      <c r="Q173" s="91"/>
      <c r="R173" s="97"/>
    </row>
    <row r="174" spans="1:19" ht="15">
      <c r="A174" s="91"/>
      <c r="B174" s="91" t="s">
        <v>1464</v>
      </c>
    </row>
    <row r="175" spans="1:19" ht="15">
      <c r="A175" s="91"/>
      <c r="B175" s="91"/>
      <c r="C175" s="91"/>
      <c r="D175" s="91"/>
      <c r="E175" s="91"/>
      <c r="F175" s="91"/>
      <c r="G175" s="91"/>
      <c r="H175" s="91"/>
      <c r="I175" s="91"/>
      <c r="J175" s="91"/>
      <c r="K175" s="91"/>
      <c r="L175" s="91"/>
      <c r="M175" s="91"/>
      <c r="N175" s="91"/>
      <c r="O175" s="91"/>
      <c r="P175" s="91"/>
      <c r="Q175" s="91"/>
      <c r="R175" s="97"/>
    </row>
    <row r="176" spans="1:19" ht="15">
      <c r="A176" s="97"/>
      <c r="B176" s="97"/>
      <c r="C176" s="97"/>
      <c r="D176" s="97"/>
      <c r="E176" s="97"/>
      <c r="F176" s="97"/>
      <c r="G176" s="97"/>
      <c r="H176" s="97"/>
      <c r="I176" s="97"/>
      <c r="J176" s="97"/>
      <c r="K176" s="97"/>
      <c r="L176" s="93" t="str">
        <f>"Calibrated by "&amp;Client!B71</f>
        <v xml:space="preserve">Calibrated by </v>
      </c>
      <c r="M176" s="93"/>
      <c r="N176" s="93"/>
      <c r="O176" s="93"/>
      <c r="P176" s="93"/>
      <c r="Q176" s="93"/>
      <c r="R176" s="117"/>
      <c r="S176" s="48"/>
    </row>
    <row r="177" spans="1:20" ht="15" customHeight="1">
      <c r="A177" s="97"/>
      <c r="B177" s="97"/>
      <c r="C177" s="97"/>
      <c r="D177" s="97"/>
      <c r="E177" s="97"/>
      <c r="F177" s="97"/>
      <c r="G177" s="97"/>
      <c r="H177" s="97"/>
      <c r="I177" s="97"/>
      <c r="J177" s="97"/>
      <c r="K177" s="97"/>
      <c r="L177" s="97"/>
      <c r="M177" s="97"/>
      <c r="N177" s="97"/>
      <c r="O177" s="97"/>
      <c r="P177" s="97"/>
      <c r="Q177" s="97"/>
      <c r="R177" s="97"/>
    </row>
    <row r="178" spans="1:20" ht="18" customHeight="1">
      <c r="A178" s="97"/>
      <c r="B178" s="97"/>
      <c r="C178" s="97"/>
      <c r="D178" s="97"/>
      <c r="E178" s="97"/>
      <c r="F178" s="97"/>
      <c r="G178" s="97"/>
      <c r="H178" s="97"/>
      <c r="I178" s="97"/>
      <c r="J178" s="97"/>
      <c r="K178" s="97"/>
      <c r="L178" s="97"/>
      <c r="M178" s="97"/>
      <c r="N178" s="97"/>
      <c r="O178" s="97"/>
      <c r="P178" s="97"/>
      <c r="Q178" s="97"/>
      <c r="R178" s="97"/>
    </row>
    <row r="179" spans="1:20" ht="15" customHeight="1">
      <c r="A179" s="97"/>
      <c r="B179" s="97"/>
      <c r="C179" s="97"/>
      <c r="D179" s="97"/>
      <c r="E179" s="97"/>
      <c r="F179" s="97"/>
      <c r="G179" s="97"/>
      <c r="H179" s="97"/>
      <c r="I179" s="97"/>
      <c r="J179" s="97"/>
      <c r="K179" s="97"/>
      <c r="L179" s="97"/>
      <c r="M179" s="97"/>
      <c r="N179" s="97"/>
      <c r="O179" s="97"/>
      <c r="P179" s="97"/>
      <c r="Q179" s="97"/>
      <c r="R179" s="97"/>
    </row>
    <row r="180" spans="1:20" ht="15" customHeight="1">
      <c r="A180" s="91"/>
      <c r="B180" s="91"/>
      <c r="C180" s="91"/>
      <c r="D180" s="91"/>
      <c r="E180" s="91"/>
      <c r="F180" s="91"/>
      <c r="G180" s="91"/>
      <c r="H180" s="91"/>
      <c r="I180" s="91"/>
      <c r="J180" s="91"/>
      <c r="K180" s="91"/>
      <c r="L180" s="91"/>
      <c r="M180" s="91"/>
      <c r="N180" s="91"/>
      <c r="O180" s="91"/>
      <c r="P180" s="91"/>
      <c r="Q180" s="91"/>
      <c r="R180" s="97"/>
    </row>
    <row r="181" spans="1:20">
      <c r="A181" s="420" t="str">
        <f>"Calibration No.: "&amp;$T$12</f>
        <v>Calibration No.: CAL11957/00</v>
      </c>
      <c r="B181" s="421"/>
      <c r="C181" s="421"/>
      <c r="D181" s="421"/>
      <c r="E181" s="421"/>
      <c r="F181" s="421"/>
      <c r="G181" s="421"/>
      <c r="H181" s="421"/>
      <c r="I181" s="422" t="str">
        <f>$G$32</f>
        <v>0</v>
      </c>
      <c r="J181" s="421"/>
      <c r="K181" s="421"/>
      <c r="L181" s="421"/>
      <c r="M181" s="421"/>
      <c r="N181" s="420" t="s">
        <v>360</v>
      </c>
      <c r="O181" s="423"/>
      <c r="P181" s="423"/>
      <c r="Q181" s="423"/>
      <c r="R181" s="423"/>
      <c r="S181" s="423"/>
      <c r="T181" s="423" t="s">
        <v>529</v>
      </c>
    </row>
    <row r="182" spans="1:20">
      <c r="A182" s="97"/>
      <c r="B182" s="97"/>
      <c r="C182" s="97"/>
      <c r="D182" s="97"/>
      <c r="E182" s="97"/>
      <c r="F182" s="97"/>
      <c r="G182" s="97"/>
      <c r="H182" s="97"/>
      <c r="I182" s="97"/>
      <c r="J182" s="97"/>
      <c r="K182" s="97"/>
      <c r="L182" s="97"/>
      <c r="M182" s="97"/>
      <c r="N182" s="97"/>
      <c r="O182" s="97"/>
      <c r="P182" s="97"/>
      <c r="Q182" s="97"/>
      <c r="R182" s="97"/>
    </row>
    <row r="183" spans="1:20">
      <c r="A183" s="97"/>
      <c r="B183" s="97"/>
      <c r="C183" s="97"/>
      <c r="D183" s="97"/>
      <c r="E183" s="97"/>
      <c r="F183" s="97"/>
      <c r="G183" s="97"/>
      <c r="H183" s="97"/>
      <c r="I183" s="97"/>
      <c r="J183" s="97"/>
      <c r="K183" s="97"/>
      <c r="L183" s="97"/>
      <c r="M183" s="97"/>
      <c r="N183" s="97"/>
      <c r="O183" s="97"/>
      <c r="P183" s="97"/>
      <c r="Q183" s="97"/>
      <c r="R183" s="97"/>
    </row>
    <row r="184" spans="1:20">
      <c r="A184" s="97"/>
      <c r="B184" s="97"/>
      <c r="C184" s="97"/>
      <c r="D184" s="97"/>
      <c r="E184" s="97"/>
      <c r="F184" s="97"/>
      <c r="G184" s="97"/>
      <c r="H184" s="97"/>
      <c r="I184" s="97"/>
      <c r="J184" s="97"/>
      <c r="K184" s="97"/>
      <c r="L184" s="97"/>
      <c r="M184" s="97"/>
      <c r="N184" s="97"/>
      <c r="O184" s="97"/>
      <c r="P184" s="97"/>
      <c r="Q184" s="97"/>
      <c r="R184" s="97"/>
    </row>
    <row r="185" spans="1:20">
      <c r="A185" s="97"/>
      <c r="B185" s="97"/>
      <c r="C185" s="97"/>
      <c r="D185" s="97"/>
      <c r="E185" s="97"/>
      <c r="F185" s="97"/>
      <c r="G185" s="97"/>
      <c r="H185" s="97"/>
      <c r="I185" s="97"/>
      <c r="J185" s="97"/>
      <c r="K185" s="97"/>
      <c r="L185" s="97"/>
      <c r="M185" s="97"/>
      <c r="N185" s="97"/>
      <c r="O185" s="97"/>
      <c r="P185" s="97"/>
      <c r="Q185" s="97"/>
      <c r="R185" s="97"/>
    </row>
    <row r="186" spans="1:20">
      <c r="A186" s="97"/>
      <c r="B186" s="97"/>
      <c r="C186" s="97"/>
      <c r="D186" s="97"/>
      <c r="E186" s="97"/>
      <c r="F186" s="97"/>
      <c r="G186" s="97"/>
      <c r="H186" s="97"/>
      <c r="I186" s="97"/>
      <c r="J186" s="97"/>
      <c r="K186" s="97"/>
      <c r="L186" s="97"/>
      <c r="M186" s="97"/>
      <c r="N186" s="97"/>
      <c r="O186" s="97"/>
      <c r="P186" s="97"/>
      <c r="Q186" s="97"/>
      <c r="R186" s="97"/>
    </row>
    <row r="187" spans="1:20">
      <c r="A187" s="97"/>
      <c r="B187" s="97"/>
      <c r="C187" s="97"/>
      <c r="D187" s="97"/>
      <c r="E187" s="97"/>
      <c r="F187" s="97"/>
      <c r="G187" s="97"/>
      <c r="H187" s="97"/>
      <c r="I187" s="97"/>
      <c r="J187" s="97"/>
      <c r="K187" s="97"/>
      <c r="L187" s="97"/>
      <c r="M187" s="97"/>
      <c r="N187" s="97"/>
      <c r="O187" s="97"/>
      <c r="P187" s="97"/>
      <c r="Q187" s="97"/>
      <c r="R187" s="97"/>
    </row>
    <row r="188" spans="1:20">
      <c r="A188" s="97"/>
      <c r="B188" s="97"/>
      <c r="C188" s="97"/>
      <c r="D188" s="97"/>
      <c r="E188" s="97"/>
      <c r="F188" s="97"/>
      <c r="G188" s="97"/>
      <c r="H188" s="97"/>
      <c r="I188" s="97"/>
      <c r="J188" s="97"/>
      <c r="K188" s="97"/>
      <c r="L188" s="97"/>
      <c r="M188" s="97"/>
      <c r="N188" s="97"/>
      <c r="O188" s="97"/>
      <c r="P188" s="97"/>
      <c r="Q188" s="97"/>
      <c r="R188" s="97"/>
    </row>
    <row r="189" spans="1:20">
      <c r="A189" s="97"/>
      <c r="B189" s="97"/>
      <c r="C189" s="97"/>
      <c r="D189" s="97"/>
      <c r="E189" s="97"/>
      <c r="F189" s="97"/>
      <c r="G189" s="97"/>
      <c r="H189" s="97"/>
      <c r="I189" s="97"/>
      <c r="J189" s="97"/>
      <c r="K189" s="97"/>
      <c r="L189" s="97"/>
      <c r="M189" s="97"/>
      <c r="N189" s="97"/>
      <c r="O189" s="97"/>
      <c r="P189" s="97"/>
      <c r="Q189" s="97"/>
      <c r="R189" s="97"/>
    </row>
    <row r="190" spans="1:20">
      <c r="A190" s="97"/>
      <c r="B190" s="97"/>
      <c r="C190" s="97"/>
      <c r="D190" s="97"/>
      <c r="E190" s="97"/>
      <c r="F190" s="97"/>
      <c r="G190" s="97"/>
      <c r="H190" s="97"/>
      <c r="I190" s="97"/>
      <c r="J190" s="97"/>
      <c r="K190" s="97"/>
      <c r="L190" s="97"/>
      <c r="M190" s="97"/>
      <c r="N190" s="97"/>
      <c r="O190" s="97"/>
      <c r="P190" s="97"/>
      <c r="Q190" s="97"/>
      <c r="R190" s="97"/>
    </row>
    <row r="191" spans="1:20">
      <c r="A191" s="97"/>
      <c r="B191" s="97"/>
      <c r="C191" s="97"/>
      <c r="D191" s="97"/>
      <c r="E191" s="97"/>
      <c r="F191" s="97"/>
      <c r="G191" s="97"/>
      <c r="H191" s="97"/>
      <c r="I191" s="97"/>
      <c r="J191" s="97"/>
      <c r="K191" s="97"/>
      <c r="L191" s="97"/>
      <c r="M191" s="97"/>
      <c r="N191" s="97"/>
      <c r="O191" s="97"/>
      <c r="P191" s="97"/>
      <c r="Q191" s="97"/>
      <c r="R191" s="97"/>
    </row>
    <row r="192" spans="1:20">
      <c r="A192" s="97"/>
      <c r="B192" s="97"/>
      <c r="C192" s="97"/>
      <c r="D192" s="97"/>
      <c r="E192" s="97"/>
      <c r="F192" s="97"/>
      <c r="G192" s="97"/>
      <c r="H192" s="97"/>
      <c r="I192" s="97"/>
      <c r="J192" s="97"/>
      <c r="K192" s="97"/>
      <c r="L192" s="97"/>
      <c r="M192" s="97"/>
      <c r="N192" s="97"/>
      <c r="O192" s="97"/>
      <c r="P192" s="97"/>
      <c r="Q192" s="97"/>
      <c r="R192" s="97"/>
    </row>
    <row r="193" spans="1:18">
      <c r="A193" s="97"/>
      <c r="B193" s="97"/>
      <c r="C193" s="97"/>
      <c r="D193" s="97"/>
      <c r="E193" s="97"/>
      <c r="F193" s="97"/>
      <c r="G193" s="97"/>
      <c r="H193" s="97"/>
      <c r="I193" s="97"/>
      <c r="J193" s="97"/>
      <c r="K193" s="97"/>
      <c r="L193" s="97"/>
      <c r="M193" s="97"/>
      <c r="N193" s="97"/>
      <c r="O193" s="97"/>
      <c r="P193" s="97"/>
      <c r="Q193" s="97"/>
      <c r="R193" s="97"/>
    </row>
    <row r="194" spans="1:18">
      <c r="A194" s="97"/>
      <c r="B194" s="97"/>
      <c r="C194" s="97"/>
      <c r="D194" s="97"/>
      <c r="E194" s="97"/>
      <c r="F194" s="97"/>
      <c r="G194" s="97"/>
      <c r="H194" s="97"/>
      <c r="I194" s="97"/>
      <c r="J194" s="97"/>
      <c r="K194" s="97"/>
      <c r="L194" s="97"/>
      <c r="M194" s="97"/>
      <c r="N194" s="97"/>
      <c r="O194" s="97"/>
      <c r="P194" s="97"/>
      <c r="Q194" s="97"/>
      <c r="R194" s="97"/>
    </row>
    <row r="195" spans="1:18">
      <c r="A195" s="97"/>
      <c r="B195" s="97"/>
      <c r="C195" s="97"/>
      <c r="D195" s="97"/>
      <c r="E195" s="97"/>
      <c r="F195" s="97"/>
      <c r="G195" s="97"/>
      <c r="H195" s="97"/>
      <c r="I195" s="97"/>
      <c r="J195" s="97"/>
      <c r="K195" s="97"/>
      <c r="L195" s="97"/>
      <c r="M195" s="97"/>
      <c r="N195" s="97"/>
      <c r="O195" s="97"/>
      <c r="P195" s="97"/>
      <c r="Q195" s="97"/>
      <c r="R195" s="97"/>
    </row>
    <row r="196" spans="1:18">
      <c r="A196" s="97"/>
      <c r="B196" s="97"/>
      <c r="C196" s="97"/>
      <c r="D196" s="97"/>
      <c r="E196" s="97"/>
      <c r="F196" s="97"/>
      <c r="G196" s="97"/>
      <c r="H196" s="97"/>
      <c r="I196" s="97"/>
      <c r="J196" s="97"/>
      <c r="K196" s="97"/>
      <c r="L196" s="97"/>
      <c r="M196" s="97"/>
      <c r="N196" s="97"/>
      <c r="O196" s="97"/>
      <c r="P196" s="97"/>
      <c r="Q196" s="97"/>
      <c r="R196" s="97"/>
    </row>
    <row r="197" spans="1:18">
      <c r="A197" s="97"/>
      <c r="B197" s="97"/>
      <c r="C197" s="97"/>
      <c r="D197" s="97"/>
      <c r="E197" s="97"/>
      <c r="F197" s="97"/>
      <c r="G197" s="97"/>
      <c r="H197" s="97"/>
      <c r="I197" s="97"/>
      <c r="J197" s="97"/>
      <c r="K197" s="97"/>
      <c r="L197" s="97"/>
      <c r="M197" s="97"/>
      <c r="N197" s="97"/>
      <c r="O197" s="97"/>
      <c r="P197" s="97"/>
      <c r="Q197" s="97"/>
      <c r="R197" s="97"/>
    </row>
    <row r="198" spans="1:18">
      <c r="A198" s="97"/>
      <c r="B198" s="97"/>
      <c r="C198" s="97"/>
      <c r="D198" s="97"/>
      <c r="E198" s="97"/>
      <c r="F198" s="97"/>
      <c r="G198" s="97"/>
      <c r="H198" s="97"/>
      <c r="I198" s="97"/>
      <c r="J198" s="97"/>
      <c r="K198" s="97"/>
      <c r="L198" s="97"/>
      <c r="M198" s="97"/>
      <c r="N198" s="97"/>
      <c r="O198" s="97"/>
      <c r="P198" s="97"/>
      <c r="Q198" s="97"/>
      <c r="R198" s="97"/>
    </row>
    <row r="199" spans="1:18">
      <c r="A199" s="97"/>
      <c r="B199" s="97"/>
      <c r="C199" s="97"/>
      <c r="D199" s="97"/>
      <c r="E199" s="97"/>
      <c r="F199" s="97"/>
      <c r="G199" s="97"/>
      <c r="H199" s="97"/>
      <c r="I199" s="97"/>
      <c r="J199" s="97"/>
      <c r="K199" s="97"/>
      <c r="L199" s="97"/>
      <c r="M199" s="97"/>
      <c r="N199" s="97"/>
      <c r="O199" s="97"/>
      <c r="P199" s="97"/>
      <c r="Q199" s="97"/>
      <c r="R199" s="97"/>
    </row>
    <row r="200" spans="1:18">
      <c r="A200" s="97"/>
      <c r="B200" s="97"/>
      <c r="C200" s="97"/>
      <c r="D200" s="97"/>
      <c r="E200" s="97"/>
      <c r="F200" s="97"/>
      <c r="G200" s="97"/>
      <c r="H200" s="97"/>
      <c r="I200" s="97"/>
      <c r="J200" s="97"/>
      <c r="K200" s="97"/>
      <c r="L200" s="97"/>
      <c r="M200" s="97"/>
      <c r="N200" s="97"/>
      <c r="O200" s="97"/>
      <c r="P200" s="97"/>
      <c r="Q200" s="97"/>
      <c r="R200" s="97"/>
    </row>
    <row r="201" spans="1:18">
      <c r="A201" s="97"/>
      <c r="B201" s="97"/>
      <c r="C201" s="97"/>
      <c r="D201" s="97"/>
      <c r="E201" s="97"/>
      <c r="F201" s="97"/>
      <c r="G201" s="97"/>
      <c r="H201" s="97"/>
      <c r="I201" s="97"/>
      <c r="J201" s="97"/>
      <c r="K201" s="97"/>
      <c r="L201" s="97"/>
      <c r="M201" s="97"/>
      <c r="N201" s="97"/>
      <c r="O201" s="97"/>
      <c r="P201" s="97"/>
      <c r="Q201" s="97"/>
      <c r="R201" s="97"/>
    </row>
    <row r="202" spans="1:18">
      <c r="A202" s="97"/>
      <c r="B202" s="97"/>
      <c r="C202" s="97"/>
      <c r="D202" s="97"/>
      <c r="E202" s="97"/>
      <c r="F202" s="97"/>
      <c r="G202" s="97"/>
      <c r="H202" s="97"/>
      <c r="I202" s="97"/>
      <c r="J202" s="97"/>
      <c r="K202" s="97"/>
      <c r="L202" s="97"/>
      <c r="M202" s="97"/>
      <c r="N202" s="97"/>
      <c r="O202" s="97"/>
      <c r="P202" s="97"/>
      <c r="Q202" s="97"/>
      <c r="R202" s="97"/>
    </row>
    <row r="203" spans="1:18">
      <c r="A203" s="97"/>
      <c r="B203" s="97"/>
      <c r="C203" s="97"/>
      <c r="D203" s="97"/>
      <c r="E203" s="97"/>
      <c r="F203" s="97"/>
      <c r="G203" s="97"/>
      <c r="H203" s="97"/>
      <c r="I203" s="97"/>
      <c r="J203" s="97"/>
      <c r="K203" s="97"/>
      <c r="L203" s="97"/>
      <c r="M203" s="97"/>
      <c r="N203" s="97"/>
      <c r="O203" s="97"/>
      <c r="P203" s="97"/>
      <c r="Q203" s="97"/>
      <c r="R203" s="97"/>
    </row>
    <row r="204" spans="1:18">
      <c r="A204" s="97"/>
      <c r="B204" s="97"/>
      <c r="C204" s="97"/>
      <c r="D204" s="97"/>
      <c r="E204" s="97"/>
      <c r="F204" s="97"/>
      <c r="G204" s="97"/>
      <c r="H204" s="97"/>
      <c r="I204" s="97"/>
      <c r="J204" s="97"/>
      <c r="K204" s="97"/>
      <c r="L204" s="97"/>
      <c r="M204" s="97"/>
      <c r="N204" s="97"/>
      <c r="O204" s="97"/>
      <c r="P204" s="97"/>
      <c r="Q204" s="97"/>
      <c r="R204" s="97"/>
    </row>
    <row r="205" spans="1:18">
      <c r="A205" s="97"/>
      <c r="B205" s="97"/>
      <c r="C205" s="97"/>
      <c r="D205" s="97"/>
      <c r="E205" s="97"/>
      <c r="F205" s="97"/>
      <c r="G205" s="97"/>
      <c r="H205" s="97"/>
      <c r="I205" s="97"/>
      <c r="J205" s="97"/>
      <c r="K205" s="97"/>
      <c r="L205" s="97"/>
      <c r="M205" s="97"/>
      <c r="N205" s="97"/>
      <c r="O205" s="97"/>
      <c r="P205" s="97"/>
      <c r="Q205" s="97"/>
      <c r="R205" s="97"/>
    </row>
    <row r="206" spans="1:18">
      <c r="A206" s="97"/>
      <c r="B206" s="97"/>
      <c r="C206" s="97"/>
      <c r="D206" s="97"/>
      <c r="E206" s="97"/>
      <c r="F206" s="97"/>
      <c r="G206" s="97"/>
      <c r="H206" s="97"/>
      <c r="I206" s="97"/>
      <c r="J206" s="97"/>
      <c r="K206" s="97"/>
      <c r="L206" s="97"/>
      <c r="M206" s="97"/>
      <c r="N206" s="97"/>
      <c r="O206" s="97"/>
      <c r="P206" s="97"/>
      <c r="Q206" s="97"/>
      <c r="R206" s="97"/>
    </row>
    <row r="207" spans="1:18">
      <c r="A207" s="97"/>
      <c r="B207" s="97"/>
      <c r="C207" s="97"/>
      <c r="D207" s="97"/>
      <c r="E207" s="97"/>
      <c r="F207" s="97"/>
      <c r="G207" s="97"/>
      <c r="H207" s="97"/>
      <c r="I207" s="97"/>
      <c r="J207" s="97"/>
      <c r="K207" s="97"/>
      <c r="L207" s="97"/>
      <c r="M207" s="97"/>
      <c r="N207" s="97"/>
      <c r="O207" s="97"/>
      <c r="P207" s="97"/>
      <c r="Q207" s="97"/>
      <c r="R207" s="97"/>
    </row>
    <row r="208" spans="1:18">
      <c r="A208" s="97"/>
      <c r="B208" s="97"/>
      <c r="C208" s="97"/>
      <c r="D208" s="97"/>
      <c r="E208" s="97"/>
      <c r="F208" s="97"/>
      <c r="G208" s="97"/>
      <c r="H208" s="97"/>
      <c r="I208" s="97"/>
      <c r="J208" s="97"/>
      <c r="K208" s="97"/>
      <c r="L208" s="97"/>
      <c r="M208" s="97"/>
      <c r="N208" s="97"/>
      <c r="O208" s="97"/>
      <c r="P208" s="97"/>
      <c r="Q208" s="97"/>
      <c r="R208" s="97"/>
    </row>
    <row r="209" spans="1:18">
      <c r="A209" s="97"/>
      <c r="B209" s="97"/>
      <c r="C209" s="97"/>
      <c r="D209" s="97"/>
      <c r="E209" s="97"/>
      <c r="F209" s="97"/>
      <c r="G209" s="97"/>
      <c r="H209" s="97"/>
      <c r="I209" s="97"/>
      <c r="J209" s="97"/>
      <c r="K209" s="97"/>
      <c r="L209" s="97"/>
      <c r="M209" s="97"/>
      <c r="N209" s="97"/>
      <c r="O209" s="97"/>
      <c r="P209" s="97"/>
      <c r="Q209" s="97"/>
      <c r="R209" s="97"/>
    </row>
    <row r="210" spans="1:18">
      <c r="A210" s="97"/>
      <c r="B210" s="97"/>
      <c r="C210" s="97"/>
      <c r="D210" s="97"/>
      <c r="E210" s="97"/>
      <c r="F210" s="97"/>
      <c r="G210" s="97"/>
      <c r="H210" s="97"/>
      <c r="I210" s="97"/>
      <c r="J210" s="97"/>
      <c r="K210" s="97"/>
      <c r="L210" s="97"/>
      <c r="M210" s="97"/>
      <c r="N210" s="97"/>
      <c r="O210" s="97"/>
      <c r="P210" s="97"/>
      <c r="Q210" s="97"/>
      <c r="R210" s="97"/>
    </row>
    <row r="211" spans="1:18">
      <c r="A211" s="97"/>
      <c r="B211" s="97"/>
      <c r="C211" s="97"/>
      <c r="D211" s="97"/>
      <c r="E211" s="97"/>
      <c r="F211" s="97"/>
      <c r="G211" s="97"/>
      <c r="H211" s="97"/>
      <c r="I211" s="97"/>
      <c r="J211" s="97"/>
      <c r="K211" s="97"/>
      <c r="L211" s="97"/>
      <c r="M211" s="97"/>
      <c r="N211" s="97"/>
      <c r="O211" s="97"/>
      <c r="P211" s="97"/>
      <c r="Q211" s="97"/>
      <c r="R211" s="97"/>
    </row>
    <row r="212" spans="1:18">
      <c r="A212" s="97"/>
      <c r="B212" s="97"/>
      <c r="C212" s="97"/>
      <c r="D212" s="97"/>
      <c r="E212" s="97"/>
      <c r="F212" s="97"/>
      <c r="G212" s="97"/>
      <c r="H212" s="97"/>
      <c r="I212" s="97"/>
      <c r="J212" s="97"/>
      <c r="K212" s="97"/>
      <c r="L212" s="97"/>
      <c r="M212" s="97"/>
      <c r="N212" s="97"/>
      <c r="O212" s="97"/>
      <c r="P212" s="97"/>
      <c r="Q212" s="97"/>
      <c r="R212" s="97"/>
    </row>
    <row r="213" spans="1:18">
      <c r="A213" s="97"/>
      <c r="B213" s="97"/>
      <c r="C213" s="97"/>
      <c r="D213" s="97"/>
      <c r="E213" s="97"/>
      <c r="F213" s="97"/>
      <c r="G213" s="97"/>
      <c r="H213" s="97"/>
      <c r="I213" s="97"/>
      <c r="J213" s="97"/>
      <c r="K213" s="97"/>
      <c r="L213" s="97"/>
      <c r="M213" s="97"/>
      <c r="N213" s="97"/>
      <c r="O213" s="97"/>
      <c r="P213" s="97"/>
      <c r="Q213" s="97"/>
      <c r="R213" s="97"/>
    </row>
    <row r="214" spans="1:18">
      <c r="A214" s="97"/>
      <c r="B214" s="97"/>
      <c r="C214" s="97"/>
      <c r="D214" s="97"/>
      <c r="E214" s="97"/>
      <c r="F214" s="97"/>
      <c r="G214" s="97"/>
      <c r="H214" s="97"/>
      <c r="I214" s="97"/>
      <c r="J214" s="97"/>
      <c r="K214" s="97"/>
      <c r="L214" s="97"/>
      <c r="M214" s="97"/>
      <c r="N214" s="97"/>
      <c r="O214" s="97"/>
      <c r="P214" s="97"/>
      <c r="Q214" s="97"/>
      <c r="R214" s="97"/>
    </row>
    <row r="215" spans="1:18">
      <c r="A215" s="97"/>
      <c r="B215" s="97"/>
      <c r="C215" s="97"/>
      <c r="D215" s="97"/>
      <c r="E215" s="97"/>
      <c r="F215" s="97"/>
      <c r="G215" s="97"/>
      <c r="H215" s="97"/>
      <c r="I215" s="97"/>
      <c r="J215" s="97"/>
      <c r="K215" s="97"/>
      <c r="L215" s="97"/>
      <c r="M215" s="97"/>
      <c r="N215" s="97"/>
      <c r="O215" s="97"/>
      <c r="P215" s="97"/>
      <c r="Q215" s="97"/>
      <c r="R215" s="97"/>
    </row>
    <row r="216" spans="1:18">
      <c r="A216" s="97"/>
      <c r="B216" s="97"/>
      <c r="C216" s="97"/>
      <c r="D216" s="97"/>
      <c r="E216" s="97"/>
      <c r="F216" s="97"/>
      <c r="G216" s="97"/>
      <c r="H216" s="97"/>
      <c r="I216" s="97"/>
      <c r="J216" s="97"/>
      <c r="K216" s="97"/>
      <c r="L216" s="97"/>
      <c r="M216" s="97"/>
      <c r="N216" s="97"/>
      <c r="O216" s="97"/>
      <c r="P216" s="97"/>
      <c r="Q216" s="97"/>
      <c r="R216" s="97"/>
    </row>
    <row r="217" spans="1:18">
      <c r="A217" s="97"/>
      <c r="B217" s="97"/>
      <c r="C217" s="97"/>
      <c r="D217" s="97"/>
      <c r="E217" s="97"/>
      <c r="F217" s="97"/>
      <c r="G217" s="97"/>
      <c r="H217" s="97"/>
      <c r="I217" s="97"/>
      <c r="J217" s="97"/>
      <c r="K217" s="97"/>
      <c r="L217" s="97"/>
      <c r="M217" s="97"/>
      <c r="N217" s="97"/>
      <c r="O217" s="97"/>
      <c r="P217" s="97"/>
      <c r="Q217" s="97"/>
      <c r="R217" s="97"/>
    </row>
    <row r="218" spans="1:18">
      <c r="A218" s="97"/>
      <c r="B218" s="97"/>
      <c r="C218" s="97"/>
      <c r="D218" s="97"/>
      <c r="E218" s="97"/>
      <c r="F218" s="97"/>
      <c r="G218" s="97"/>
      <c r="H218" s="97"/>
      <c r="I218" s="97"/>
      <c r="J218" s="97"/>
      <c r="K218" s="97"/>
      <c r="L218" s="97"/>
      <c r="M218" s="97"/>
      <c r="N218" s="97"/>
      <c r="O218" s="97"/>
      <c r="P218" s="97"/>
      <c r="Q218" s="97"/>
      <c r="R218" s="97"/>
    </row>
    <row r="219" spans="1:18">
      <c r="A219" s="97"/>
      <c r="B219" s="97"/>
      <c r="C219" s="97"/>
      <c r="D219" s="97"/>
      <c r="E219" s="97"/>
      <c r="F219" s="97"/>
      <c r="G219" s="97"/>
      <c r="H219" s="97"/>
      <c r="I219" s="97"/>
      <c r="J219" s="97"/>
      <c r="K219" s="97"/>
      <c r="L219" s="97"/>
      <c r="M219" s="97"/>
      <c r="N219" s="97"/>
      <c r="O219" s="97"/>
      <c r="P219" s="97"/>
      <c r="Q219" s="97"/>
      <c r="R219" s="97"/>
    </row>
    <row r="220" spans="1:18">
      <c r="A220" s="97"/>
      <c r="B220" s="97"/>
      <c r="C220" s="97"/>
      <c r="D220" s="97"/>
      <c r="E220" s="97"/>
      <c r="F220" s="97"/>
      <c r="G220" s="97"/>
      <c r="H220" s="97"/>
      <c r="I220" s="97"/>
      <c r="J220" s="97"/>
      <c r="K220" s="97"/>
      <c r="L220" s="97"/>
      <c r="M220" s="97"/>
      <c r="N220" s="97"/>
      <c r="O220" s="97"/>
      <c r="P220" s="97"/>
      <c r="Q220" s="97"/>
      <c r="R220" s="97"/>
    </row>
    <row r="221" spans="1:18">
      <c r="A221" s="97"/>
      <c r="B221" s="97"/>
      <c r="C221" s="97"/>
      <c r="D221" s="97"/>
      <c r="E221" s="97"/>
      <c r="F221" s="97"/>
      <c r="G221" s="97"/>
      <c r="H221" s="97"/>
      <c r="I221" s="97"/>
      <c r="J221" s="97"/>
      <c r="K221" s="97"/>
      <c r="L221" s="97"/>
      <c r="M221" s="97"/>
      <c r="N221" s="97"/>
      <c r="O221" s="97"/>
      <c r="P221" s="97"/>
      <c r="Q221" s="97"/>
      <c r="R221" s="97"/>
    </row>
    <row r="222" spans="1:18">
      <c r="A222" s="97"/>
      <c r="B222" s="97"/>
      <c r="C222" s="97"/>
      <c r="D222" s="97"/>
      <c r="E222" s="97"/>
      <c r="F222" s="97"/>
      <c r="G222" s="97"/>
      <c r="H222" s="97"/>
      <c r="I222" s="97"/>
      <c r="J222" s="97"/>
      <c r="K222" s="97"/>
      <c r="L222" s="97"/>
      <c r="M222" s="97"/>
      <c r="N222" s="97"/>
      <c r="O222" s="97"/>
      <c r="P222" s="97"/>
      <c r="Q222" s="97"/>
      <c r="R222" s="97"/>
    </row>
    <row r="223" spans="1:18">
      <c r="A223" s="97"/>
      <c r="B223" s="97"/>
      <c r="C223" s="97"/>
      <c r="D223" s="97"/>
      <c r="E223" s="97"/>
      <c r="F223" s="97"/>
      <c r="G223" s="97"/>
      <c r="H223" s="97"/>
      <c r="I223" s="97"/>
      <c r="J223" s="97"/>
      <c r="K223" s="97"/>
      <c r="L223" s="97"/>
      <c r="M223" s="97"/>
      <c r="N223" s="97"/>
      <c r="O223" s="97"/>
      <c r="P223" s="97"/>
      <c r="Q223" s="97"/>
      <c r="R223" s="97"/>
    </row>
    <row r="224" spans="1:18">
      <c r="A224" s="97"/>
      <c r="B224" s="97"/>
      <c r="C224" s="97"/>
      <c r="D224" s="97"/>
      <c r="E224" s="97"/>
      <c r="F224" s="97"/>
      <c r="G224" s="97"/>
      <c r="H224" s="97"/>
      <c r="I224" s="97"/>
      <c r="J224" s="97"/>
      <c r="K224" s="97"/>
      <c r="L224" s="97"/>
      <c r="M224" s="97"/>
      <c r="N224" s="97"/>
      <c r="O224" s="97"/>
      <c r="P224" s="97"/>
      <c r="Q224" s="97"/>
      <c r="R224" s="97"/>
    </row>
    <row r="225" spans="1:18">
      <c r="A225" s="97"/>
      <c r="B225" s="97"/>
      <c r="C225" s="97"/>
      <c r="D225" s="97"/>
      <c r="E225" s="97"/>
      <c r="F225" s="97"/>
      <c r="G225" s="97"/>
      <c r="H225" s="97"/>
      <c r="I225" s="97"/>
      <c r="J225" s="97"/>
      <c r="K225" s="97"/>
      <c r="L225" s="97"/>
      <c r="M225" s="97"/>
      <c r="N225" s="97"/>
      <c r="O225" s="97"/>
      <c r="P225" s="97"/>
      <c r="Q225" s="97"/>
      <c r="R225" s="97"/>
    </row>
    <row r="226" spans="1:18">
      <c r="A226" s="97"/>
      <c r="B226" s="97"/>
      <c r="C226" s="97"/>
      <c r="D226" s="97"/>
      <c r="E226" s="97"/>
      <c r="F226" s="97"/>
      <c r="G226" s="97"/>
      <c r="H226" s="97"/>
      <c r="I226" s="97"/>
      <c r="J226" s="97"/>
      <c r="K226" s="97"/>
      <c r="L226" s="97"/>
      <c r="M226" s="97"/>
      <c r="N226" s="97"/>
      <c r="O226" s="97"/>
      <c r="P226" s="97"/>
      <c r="Q226" s="97"/>
      <c r="R226" s="97"/>
    </row>
    <row r="227" spans="1:18">
      <c r="A227" s="97"/>
      <c r="B227" s="97"/>
      <c r="C227" s="97"/>
      <c r="D227" s="97"/>
      <c r="E227" s="97"/>
      <c r="F227" s="97"/>
      <c r="G227" s="97"/>
      <c r="H227" s="97"/>
      <c r="I227" s="97"/>
      <c r="J227" s="97"/>
      <c r="K227" s="97"/>
      <c r="L227" s="97"/>
      <c r="M227" s="97"/>
      <c r="N227" s="97"/>
      <c r="O227" s="97"/>
      <c r="P227" s="97"/>
      <c r="Q227" s="97"/>
      <c r="R227" s="97"/>
    </row>
    <row r="228" spans="1:18">
      <c r="A228" s="97"/>
      <c r="B228" s="97"/>
      <c r="C228" s="97"/>
      <c r="D228" s="97"/>
      <c r="E228" s="97"/>
      <c r="F228" s="97"/>
      <c r="G228" s="97"/>
      <c r="H228" s="97"/>
      <c r="I228" s="97"/>
      <c r="J228" s="97"/>
      <c r="K228" s="97"/>
      <c r="L228" s="97"/>
      <c r="M228" s="97"/>
      <c r="N228" s="97"/>
      <c r="O228" s="97"/>
      <c r="P228" s="97"/>
      <c r="Q228" s="97"/>
      <c r="R228" s="97"/>
    </row>
    <row r="229" spans="1:18">
      <c r="A229" s="97"/>
      <c r="B229" s="97"/>
      <c r="C229" s="97"/>
      <c r="D229" s="97"/>
      <c r="E229" s="97"/>
      <c r="F229" s="97"/>
      <c r="G229" s="97"/>
      <c r="H229" s="97"/>
      <c r="I229" s="97"/>
      <c r="J229" s="97"/>
      <c r="K229" s="97"/>
      <c r="L229" s="97"/>
      <c r="M229" s="97"/>
      <c r="N229" s="97"/>
      <c r="O229" s="97"/>
      <c r="P229" s="97"/>
      <c r="Q229" s="97"/>
      <c r="R229" s="97"/>
    </row>
    <row r="230" spans="1:18">
      <c r="A230" s="97"/>
      <c r="B230" s="97"/>
      <c r="C230" s="97"/>
      <c r="D230" s="97"/>
      <c r="E230" s="97"/>
      <c r="F230" s="97"/>
      <c r="G230" s="97"/>
      <c r="H230" s="97"/>
      <c r="I230" s="97"/>
      <c r="J230" s="97"/>
      <c r="K230" s="97"/>
      <c r="L230" s="97"/>
      <c r="M230" s="97"/>
      <c r="N230" s="97"/>
      <c r="O230" s="97"/>
      <c r="P230" s="97"/>
      <c r="Q230" s="97"/>
      <c r="R230" s="97"/>
    </row>
    <row r="231" spans="1:18">
      <c r="A231" s="97"/>
      <c r="B231" s="97"/>
      <c r="C231" s="97"/>
      <c r="D231" s="97"/>
      <c r="E231" s="97"/>
      <c r="F231" s="97"/>
      <c r="G231" s="97"/>
      <c r="H231" s="97"/>
      <c r="I231" s="97"/>
      <c r="J231" s="97"/>
      <c r="K231" s="97"/>
      <c r="L231" s="97"/>
      <c r="M231" s="97"/>
      <c r="N231" s="97"/>
      <c r="O231" s="97"/>
      <c r="P231" s="97"/>
      <c r="Q231" s="97"/>
      <c r="R231" s="97"/>
    </row>
    <row r="232" spans="1:18">
      <c r="A232" s="97"/>
      <c r="B232" s="97"/>
      <c r="C232" s="97"/>
      <c r="D232" s="97"/>
      <c r="E232" s="97"/>
      <c r="F232" s="97"/>
      <c r="G232" s="97"/>
      <c r="H232" s="97"/>
      <c r="I232" s="97"/>
      <c r="J232" s="97"/>
      <c r="K232" s="97"/>
      <c r="L232" s="97"/>
      <c r="M232" s="97"/>
      <c r="N232" s="97"/>
      <c r="O232" s="97"/>
      <c r="P232" s="97"/>
      <c r="Q232" s="97"/>
      <c r="R232" s="97"/>
    </row>
    <row r="233" spans="1:18">
      <c r="A233" s="97"/>
      <c r="B233" s="97"/>
      <c r="C233" s="97"/>
      <c r="D233" s="97"/>
      <c r="E233" s="97"/>
      <c r="F233" s="97"/>
      <c r="G233" s="97"/>
      <c r="H233" s="97"/>
      <c r="I233" s="97"/>
      <c r="J233" s="97"/>
      <c r="K233" s="97"/>
      <c r="L233" s="97"/>
      <c r="M233" s="97"/>
      <c r="N233" s="97"/>
      <c r="O233" s="97"/>
      <c r="P233" s="97"/>
      <c r="Q233" s="97"/>
      <c r="R233" s="97"/>
    </row>
    <row r="234" spans="1:18">
      <c r="A234" s="97"/>
      <c r="B234" s="97"/>
      <c r="C234" s="97"/>
      <c r="D234" s="97"/>
      <c r="E234" s="97"/>
      <c r="F234" s="97"/>
      <c r="G234" s="97"/>
      <c r="H234" s="97"/>
      <c r="I234" s="97"/>
      <c r="J234" s="97"/>
      <c r="K234" s="97"/>
      <c r="L234" s="97"/>
      <c r="M234" s="97"/>
      <c r="N234" s="97"/>
      <c r="O234" s="97"/>
      <c r="P234" s="97"/>
      <c r="Q234" s="97"/>
      <c r="R234" s="97"/>
    </row>
    <row r="235" spans="1:18">
      <c r="A235" s="97"/>
      <c r="B235" s="97"/>
      <c r="C235" s="97"/>
      <c r="D235" s="97"/>
      <c r="E235" s="97"/>
      <c r="F235" s="97"/>
      <c r="G235" s="97"/>
      <c r="H235" s="97"/>
      <c r="I235" s="97"/>
      <c r="J235" s="97"/>
      <c r="K235" s="97"/>
      <c r="L235" s="97"/>
      <c r="M235" s="97"/>
      <c r="N235" s="97"/>
      <c r="O235" s="97"/>
      <c r="P235" s="97"/>
      <c r="Q235" s="97"/>
      <c r="R235" s="97"/>
    </row>
    <row r="236" spans="1:18">
      <c r="A236" s="97"/>
      <c r="B236" s="97"/>
      <c r="C236" s="97"/>
      <c r="D236" s="97"/>
      <c r="E236" s="97"/>
      <c r="F236" s="97"/>
      <c r="G236" s="97"/>
      <c r="H236" s="97"/>
      <c r="I236" s="97"/>
      <c r="J236" s="97"/>
      <c r="K236" s="97"/>
      <c r="L236" s="97"/>
      <c r="M236" s="97"/>
      <c r="N236" s="97"/>
      <c r="O236" s="97"/>
      <c r="P236" s="97"/>
      <c r="Q236" s="97"/>
      <c r="R236" s="97"/>
    </row>
    <row r="237" spans="1:18">
      <c r="A237" s="97"/>
      <c r="B237" s="97"/>
      <c r="C237" s="97"/>
      <c r="D237" s="97"/>
      <c r="E237" s="97"/>
      <c r="F237" s="97"/>
      <c r="G237" s="97"/>
      <c r="H237" s="97"/>
      <c r="I237" s="97"/>
      <c r="J237" s="97"/>
      <c r="K237" s="97"/>
      <c r="L237" s="97"/>
      <c r="M237" s="97"/>
      <c r="N237" s="97"/>
      <c r="O237" s="97"/>
      <c r="P237" s="97"/>
      <c r="Q237" s="97"/>
      <c r="R237" s="97"/>
    </row>
    <row r="238" spans="1:18">
      <c r="A238" s="97"/>
      <c r="B238" s="97"/>
      <c r="C238" s="97"/>
      <c r="D238" s="97"/>
      <c r="E238" s="97"/>
      <c r="F238" s="97"/>
      <c r="G238" s="97"/>
      <c r="H238" s="97"/>
      <c r="I238" s="97"/>
      <c r="J238" s="97"/>
      <c r="K238" s="97"/>
      <c r="L238" s="97"/>
      <c r="M238" s="97"/>
      <c r="N238" s="97"/>
      <c r="O238" s="97"/>
      <c r="P238" s="97"/>
      <c r="Q238" s="97"/>
      <c r="R238" s="97"/>
    </row>
    <row r="239" spans="1:18">
      <c r="A239" s="97"/>
      <c r="B239" s="97"/>
      <c r="C239" s="97"/>
      <c r="D239" s="97"/>
      <c r="E239" s="97"/>
      <c r="F239" s="97"/>
      <c r="G239" s="97"/>
      <c r="H239" s="97"/>
      <c r="I239" s="97"/>
      <c r="J239" s="97"/>
      <c r="K239" s="97"/>
      <c r="L239" s="97"/>
      <c r="M239" s="97"/>
      <c r="N239" s="97"/>
      <c r="O239" s="97"/>
      <c r="P239" s="97"/>
      <c r="Q239" s="97"/>
      <c r="R239" s="97"/>
    </row>
    <row r="240" spans="1:18">
      <c r="A240" s="97"/>
      <c r="B240" s="97"/>
      <c r="C240" s="97"/>
      <c r="D240" s="97"/>
      <c r="E240" s="97"/>
      <c r="F240" s="97"/>
      <c r="G240" s="97"/>
      <c r="H240" s="97"/>
      <c r="I240" s="97"/>
      <c r="J240" s="97"/>
      <c r="K240" s="97"/>
      <c r="L240" s="97"/>
      <c r="M240" s="97"/>
      <c r="N240" s="97"/>
      <c r="O240" s="97"/>
      <c r="P240" s="97"/>
      <c r="Q240" s="97"/>
      <c r="R240" s="97"/>
    </row>
    <row r="241" spans="1:18">
      <c r="A241" s="97"/>
      <c r="B241" s="97"/>
      <c r="C241" s="97"/>
      <c r="D241" s="97"/>
      <c r="E241" s="97"/>
      <c r="F241" s="97"/>
      <c r="G241" s="97"/>
      <c r="H241" s="97"/>
      <c r="I241" s="97"/>
      <c r="J241" s="97"/>
      <c r="K241" s="97"/>
      <c r="L241" s="97"/>
      <c r="M241" s="97"/>
      <c r="N241" s="97"/>
      <c r="O241" s="97"/>
      <c r="P241" s="97"/>
      <c r="Q241" s="97"/>
      <c r="R241" s="97"/>
    </row>
    <row r="242" spans="1:18">
      <c r="A242" s="97"/>
      <c r="B242" s="97"/>
      <c r="C242" s="97"/>
      <c r="D242" s="97"/>
      <c r="E242" s="97"/>
      <c r="F242" s="97"/>
      <c r="G242" s="97"/>
      <c r="H242" s="97"/>
      <c r="I242" s="97"/>
      <c r="J242" s="97"/>
      <c r="K242" s="97"/>
      <c r="L242" s="97"/>
      <c r="M242" s="97"/>
      <c r="N242" s="97"/>
      <c r="O242" s="97"/>
      <c r="P242" s="97"/>
      <c r="Q242" s="97"/>
      <c r="R242" s="97"/>
    </row>
    <row r="243" spans="1:18">
      <c r="A243" s="97"/>
      <c r="B243" s="97"/>
      <c r="C243" s="97"/>
      <c r="D243" s="97"/>
      <c r="E243" s="97"/>
      <c r="F243" s="97"/>
      <c r="G243" s="97"/>
      <c r="H243" s="97"/>
      <c r="I243" s="97"/>
      <c r="J243" s="97"/>
      <c r="K243" s="97"/>
      <c r="L243" s="97"/>
      <c r="M243" s="97"/>
      <c r="N243" s="97"/>
      <c r="O243" s="97"/>
      <c r="P243" s="97"/>
      <c r="Q243" s="97"/>
      <c r="R243" s="97"/>
    </row>
    <row r="244" spans="1:18">
      <c r="A244" s="97"/>
      <c r="B244" s="97"/>
      <c r="C244" s="97"/>
      <c r="D244" s="97"/>
      <c r="E244" s="97"/>
      <c r="F244" s="97"/>
      <c r="G244" s="97"/>
      <c r="H244" s="97"/>
      <c r="I244" s="97"/>
      <c r="J244" s="97"/>
      <c r="K244" s="97"/>
      <c r="L244" s="97"/>
      <c r="M244" s="97"/>
      <c r="N244" s="97"/>
      <c r="O244" s="97"/>
      <c r="P244" s="97"/>
      <c r="Q244" s="97"/>
      <c r="R244" s="97"/>
    </row>
    <row r="245" spans="1:18">
      <c r="A245" s="97"/>
      <c r="B245" s="97"/>
      <c r="C245" s="97"/>
      <c r="D245" s="97"/>
      <c r="E245" s="97"/>
      <c r="F245" s="97"/>
      <c r="G245" s="97"/>
      <c r="H245" s="97"/>
      <c r="I245" s="97"/>
      <c r="J245" s="97"/>
      <c r="K245" s="97"/>
      <c r="L245" s="97"/>
      <c r="M245" s="97"/>
      <c r="N245" s="97"/>
      <c r="O245" s="97"/>
      <c r="P245" s="97"/>
      <c r="Q245" s="97"/>
      <c r="R245" s="97"/>
    </row>
    <row r="246" spans="1:18">
      <c r="A246" s="97"/>
      <c r="B246" s="97"/>
      <c r="C246" s="97"/>
      <c r="D246" s="97"/>
      <c r="E246" s="97"/>
      <c r="F246" s="97"/>
      <c r="G246" s="97"/>
      <c r="H246" s="97"/>
      <c r="I246" s="97"/>
      <c r="J246" s="97"/>
      <c r="K246" s="97"/>
      <c r="L246" s="97"/>
      <c r="M246" s="97"/>
      <c r="N246" s="97"/>
      <c r="O246" s="97"/>
      <c r="P246" s="97"/>
      <c r="Q246" s="97"/>
      <c r="R246" s="97"/>
    </row>
    <row r="247" spans="1:18">
      <c r="A247" s="97"/>
      <c r="B247" s="97"/>
      <c r="C247" s="97"/>
      <c r="D247" s="97"/>
      <c r="E247" s="97"/>
      <c r="F247" s="97"/>
      <c r="G247" s="97"/>
      <c r="H247" s="97"/>
      <c r="I247" s="97"/>
      <c r="J247" s="97"/>
      <c r="K247" s="97"/>
      <c r="L247" s="97"/>
      <c r="M247" s="97"/>
      <c r="N247" s="97"/>
      <c r="O247" s="97"/>
      <c r="P247" s="97"/>
      <c r="Q247" s="97"/>
      <c r="R247" s="97"/>
    </row>
    <row r="248" spans="1:18">
      <c r="A248" s="97"/>
      <c r="B248" s="97"/>
      <c r="C248" s="97"/>
      <c r="D248" s="97"/>
      <c r="E248" s="97"/>
      <c r="F248" s="97"/>
      <c r="G248" s="97"/>
      <c r="H248" s="97"/>
      <c r="I248" s="97"/>
      <c r="J248" s="97"/>
      <c r="K248" s="97"/>
      <c r="L248" s="97"/>
      <c r="M248" s="97"/>
      <c r="N248" s="97"/>
      <c r="O248" s="97"/>
      <c r="P248" s="97"/>
      <c r="Q248" s="97"/>
      <c r="R248" s="97"/>
    </row>
    <row r="249" spans="1:18">
      <c r="A249" s="97"/>
      <c r="B249" s="97"/>
      <c r="C249" s="97"/>
      <c r="D249" s="97"/>
      <c r="E249" s="97"/>
      <c r="F249" s="97"/>
      <c r="G249" s="97"/>
      <c r="H249" s="97"/>
      <c r="I249" s="97"/>
      <c r="J249" s="97"/>
      <c r="K249" s="97"/>
      <c r="L249" s="97"/>
      <c r="M249" s="97"/>
      <c r="N249" s="97"/>
      <c r="O249" s="97"/>
      <c r="P249" s="97"/>
      <c r="Q249" s="97"/>
      <c r="R249" s="97"/>
    </row>
    <row r="250" spans="1:18">
      <c r="A250" s="97"/>
      <c r="B250" s="97"/>
      <c r="C250" s="97"/>
      <c r="D250" s="97"/>
      <c r="E250" s="97"/>
      <c r="F250" s="97"/>
      <c r="G250" s="97"/>
      <c r="H250" s="97"/>
      <c r="I250" s="97"/>
      <c r="J250" s="97"/>
      <c r="K250" s="97"/>
      <c r="L250" s="97"/>
      <c r="M250" s="97"/>
      <c r="N250" s="97"/>
      <c r="O250" s="97"/>
      <c r="P250" s="97"/>
      <c r="Q250" s="97"/>
      <c r="R250" s="97"/>
    </row>
    <row r="251" spans="1:18">
      <c r="A251" s="97"/>
      <c r="B251" s="97"/>
      <c r="C251" s="97"/>
      <c r="D251" s="97"/>
      <c r="E251" s="97"/>
      <c r="F251" s="97"/>
      <c r="G251" s="97"/>
      <c r="H251" s="97"/>
      <c r="I251" s="97"/>
      <c r="J251" s="97"/>
      <c r="K251" s="97"/>
      <c r="L251" s="97"/>
      <c r="M251" s="97"/>
      <c r="N251" s="97"/>
      <c r="O251" s="97"/>
      <c r="P251" s="97"/>
      <c r="Q251" s="97"/>
      <c r="R251" s="97"/>
    </row>
    <row r="252" spans="1:18">
      <c r="A252" s="97"/>
      <c r="B252" s="97"/>
      <c r="C252" s="97"/>
      <c r="D252" s="97"/>
      <c r="E252" s="97"/>
      <c r="F252" s="97"/>
      <c r="G252" s="97"/>
      <c r="H252" s="97"/>
      <c r="I252" s="97"/>
      <c r="J252" s="97"/>
      <c r="K252" s="97"/>
      <c r="L252" s="97"/>
      <c r="M252" s="97"/>
      <c r="N252" s="97"/>
      <c r="O252" s="97"/>
      <c r="P252" s="97"/>
      <c r="Q252" s="97"/>
      <c r="R252" s="97"/>
    </row>
    <row r="253" spans="1:18">
      <c r="A253" s="97"/>
      <c r="B253" s="97"/>
      <c r="C253" s="97"/>
      <c r="D253" s="97"/>
      <c r="E253" s="97"/>
      <c r="F253" s="97"/>
      <c r="G253" s="97"/>
      <c r="H253" s="97"/>
      <c r="I253" s="97"/>
      <c r="J253" s="97"/>
      <c r="K253" s="97"/>
      <c r="L253" s="97"/>
      <c r="M253" s="97"/>
      <c r="N253" s="97"/>
      <c r="O253" s="97"/>
      <c r="P253" s="97"/>
      <c r="Q253" s="97"/>
      <c r="R253" s="97"/>
    </row>
    <row r="254" spans="1:18">
      <c r="A254" s="97"/>
      <c r="B254" s="97"/>
      <c r="C254" s="97"/>
      <c r="D254" s="97"/>
      <c r="E254" s="97"/>
      <c r="F254" s="97"/>
      <c r="G254" s="97"/>
      <c r="H254" s="97"/>
      <c r="I254" s="97"/>
      <c r="J254" s="97"/>
      <c r="K254" s="97"/>
      <c r="L254" s="97"/>
      <c r="M254" s="97"/>
      <c r="N254" s="97"/>
      <c r="O254" s="97"/>
      <c r="P254" s="97"/>
      <c r="Q254" s="97"/>
      <c r="R254" s="97"/>
    </row>
    <row r="255" spans="1:18">
      <c r="A255" s="97"/>
      <c r="B255" s="97"/>
      <c r="C255" s="97"/>
      <c r="D255" s="97"/>
      <c r="E255" s="97"/>
      <c r="F255" s="97"/>
      <c r="G255" s="97"/>
      <c r="H255" s="97"/>
      <c r="I255" s="97"/>
      <c r="J255" s="97"/>
      <c r="K255" s="97"/>
      <c r="L255" s="97"/>
      <c r="M255" s="97"/>
      <c r="N255" s="97"/>
      <c r="O255" s="97"/>
      <c r="P255" s="97"/>
      <c r="Q255" s="97"/>
      <c r="R255" s="97"/>
    </row>
    <row r="256" spans="1:18">
      <c r="A256" s="97"/>
      <c r="B256" s="97"/>
      <c r="C256" s="97"/>
      <c r="D256" s="97"/>
      <c r="E256" s="97"/>
      <c r="F256" s="97"/>
      <c r="G256" s="97"/>
      <c r="H256" s="97"/>
      <c r="I256" s="97"/>
      <c r="J256" s="97"/>
      <c r="K256" s="97"/>
      <c r="L256" s="97"/>
      <c r="M256" s="97"/>
      <c r="N256" s="97"/>
      <c r="O256" s="97"/>
      <c r="P256" s="97"/>
      <c r="Q256" s="97"/>
      <c r="R256" s="97"/>
    </row>
    <row r="257" spans="1:18">
      <c r="A257" s="97"/>
      <c r="B257" s="97"/>
      <c r="C257" s="97"/>
      <c r="D257" s="97"/>
      <c r="E257" s="97"/>
      <c r="F257" s="97"/>
      <c r="G257" s="97"/>
      <c r="H257" s="97"/>
      <c r="I257" s="97"/>
      <c r="J257" s="97"/>
      <c r="K257" s="97"/>
      <c r="L257" s="97"/>
      <c r="M257" s="97"/>
      <c r="N257" s="97"/>
      <c r="O257" s="97"/>
      <c r="P257" s="97"/>
      <c r="Q257" s="97"/>
      <c r="R257" s="97"/>
    </row>
    <row r="258" spans="1:18">
      <c r="A258" s="97"/>
      <c r="B258" s="97"/>
      <c r="C258" s="97"/>
      <c r="D258" s="97"/>
      <c r="E258" s="97"/>
      <c r="F258" s="97"/>
      <c r="G258" s="97"/>
      <c r="H258" s="97"/>
      <c r="I258" s="97"/>
      <c r="J258" s="97"/>
      <c r="K258" s="97"/>
      <c r="L258" s="97"/>
      <c r="M258" s="97"/>
      <c r="N258" s="97"/>
      <c r="O258" s="97"/>
      <c r="P258" s="97"/>
      <c r="Q258" s="97"/>
      <c r="R258" s="97"/>
    </row>
    <row r="259" spans="1:18">
      <c r="A259" s="97"/>
      <c r="B259" s="97"/>
      <c r="C259" s="97"/>
      <c r="D259" s="97"/>
      <c r="E259" s="97"/>
      <c r="F259" s="97"/>
      <c r="G259" s="97"/>
      <c r="H259" s="97"/>
      <c r="I259" s="97"/>
      <c r="J259" s="97"/>
      <c r="K259" s="97"/>
      <c r="L259" s="97"/>
      <c r="M259" s="97"/>
      <c r="N259" s="97"/>
      <c r="O259" s="97"/>
      <c r="P259" s="97"/>
      <c r="Q259" s="97"/>
      <c r="R259" s="97"/>
    </row>
    <row r="260" spans="1:18">
      <c r="A260" s="97"/>
      <c r="B260" s="97"/>
      <c r="C260" s="97"/>
      <c r="D260" s="97"/>
      <c r="E260" s="97"/>
      <c r="F260" s="97"/>
      <c r="G260" s="97"/>
      <c r="H260" s="97"/>
      <c r="I260" s="97"/>
      <c r="J260" s="97"/>
      <c r="K260" s="97"/>
      <c r="L260" s="97"/>
      <c r="M260" s="97"/>
      <c r="N260" s="97"/>
      <c r="O260" s="97"/>
      <c r="P260" s="97"/>
      <c r="Q260" s="97"/>
      <c r="R260" s="97"/>
    </row>
    <row r="261" spans="1:18">
      <c r="A261" s="97"/>
      <c r="B261" s="97"/>
      <c r="C261" s="97"/>
      <c r="D261" s="97"/>
      <c r="E261" s="97"/>
      <c r="F261" s="97"/>
      <c r="G261" s="97"/>
      <c r="H261" s="97"/>
      <c r="I261" s="97"/>
      <c r="J261" s="97"/>
      <c r="K261" s="97"/>
      <c r="L261" s="97"/>
      <c r="M261" s="97"/>
      <c r="N261" s="97"/>
      <c r="O261" s="97"/>
      <c r="P261" s="97"/>
      <c r="Q261" s="97"/>
      <c r="R261" s="97"/>
    </row>
    <row r="262" spans="1:18">
      <c r="A262" s="97"/>
      <c r="B262" s="97"/>
      <c r="C262" s="97"/>
      <c r="D262" s="97"/>
      <c r="E262" s="97"/>
      <c r="F262" s="97"/>
      <c r="G262" s="97"/>
      <c r="H262" s="97"/>
      <c r="I262" s="97"/>
      <c r="J262" s="97"/>
      <c r="K262" s="97"/>
      <c r="L262" s="97"/>
      <c r="M262" s="97"/>
      <c r="N262" s="97"/>
      <c r="O262" s="97"/>
      <c r="P262" s="97"/>
      <c r="Q262" s="97"/>
      <c r="R262" s="97"/>
    </row>
    <row r="263" spans="1:18">
      <c r="A263" s="97"/>
      <c r="B263" s="97"/>
      <c r="C263" s="97"/>
      <c r="D263" s="97"/>
      <c r="E263" s="97"/>
      <c r="F263" s="97"/>
      <c r="G263" s="97"/>
      <c r="H263" s="97"/>
      <c r="I263" s="97"/>
      <c r="J263" s="97"/>
      <c r="K263" s="97"/>
      <c r="L263" s="97"/>
      <c r="M263" s="97"/>
      <c r="N263" s="97"/>
      <c r="O263" s="97"/>
      <c r="P263" s="97"/>
      <c r="Q263" s="97"/>
      <c r="R263" s="97"/>
    </row>
    <row r="264" spans="1:18">
      <c r="A264" s="97"/>
      <c r="B264" s="97"/>
      <c r="C264" s="97"/>
      <c r="D264" s="97"/>
      <c r="E264" s="97"/>
      <c r="F264" s="97"/>
      <c r="G264" s="97"/>
      <c r="H264" s="97"/>
      <c r="I264" s="97"/>
      <c r="J264" s="97"/>
      <c r="K264" s="97"/>
      <c r="L264" s="97"/>
      <c r="M264" s="97"/>
      <c r="N264" s="97"/>
      <c r="O264" s="97"/>
      <c r="P264" s="97"/>
      <c r="Q264" s="97"/>
      <c r="R264" s="97"/>
    </row>
    <row r="265" spans="1:18">
      <c r="A265" s="97"/>
      <c r="B265" s="97"/>
      <c r="C265" s="97"/>
      <c r="D265" s="97"/>
      <c r="E265" s="97"/>
      <c r="F265" s="97"/>
      <c r="G265" s="97"/>
      <c r="H265" s="97"/>
      <c r="I265" s="97"/>
      <c r="J265" s="97"/>
      <c r="K265" s="97"/>
      <c r="L265" s="97"/>
      <c r="M265" s="97"/>
      <c r="N265" s="97"/>
      <c r="O265" s="97"/>
      <c r="P265" s="97"/>
      <c r="Q265" s="97"/>
      <c r="R265" s="97"/>
    </row>
    <row r="266" spans="1:18">
      <c r="A266" s="97"/>
      <c r="B266" s="97"/>
      <c r="C266" s="97"/>
      <c r="D266" s="97"/>
      <c r="E266" s="97"/>
      <c r="F266" s="97"/>
      <c r="G266" s="97"/>
      <c r="H266" s="97"/>
      <c r="I266" s="97"/>
      <c r="J266" s="97"/>
      <c r="K266" s="97"/>
      <c r="L266" s="97"/>
      <c r="M266" s="97"/>
      <c r="N266" s="97"/>
      <c r="O266" s="97"/>
      <c r="P266" s="97"/>
      <c r="Q266" s="97"/>
      <c r="R266" s="97"/>
    </row>
    <row r="267" spans="1:18">
      <c r="A267" s="97"/>
      <c r="B267" s="97"/>
      <c r="C267" s="97"/>
      <c r="D267" s="97"/>
      <c r="E267" s="97"/>
      <c r="F267" s="97"/>
      <c r="G267" s="97"/>
      <c r="H267" s="97"/>
      <c r="I267" s="97"/>
      <c r="J267" s="97"/>
      <c r="K267" s="97"/>
      <c r="L267" s="97"/>
      <c r="M267" s="97"/>
      <c r="N267" s="97"/>
      <c r="O267" s="97"/>
      <c r="P267" s="97"/>
      <c r="Q267" s="97"/>
      <c r="R267" s="97"/>
    </row>
    <row r="268" spans="1:18">
      <c r="A268" s="97"/>
      <c r="B268" s="97"/>
      <c r="C268" s="97"/>
      <c r="D268" s="97"/>
      <c r="E268" s="97"/>
      <c r="F268" s="97"/>
      <c r="G268" s="97"/>
      <c r="H268" s="97"/>
      <c r="I268" s="97"/>
      <c r="J268" s="97"/>
      <c r="K268" s="97"/>
      <c r="L268" s="97"/>
      <c r="M268" s="97"/>
      <c r="N268" s="97"/>
      <c r="O268" s="97"/>
      <c r="P268" s="97"/>
      <c r="Q268" s="97"/>
      <c r="R268" s="97"/>
    </row>
    <row r="269" spans="1:18">
      <c r="A269" s="97"/>
      <c r="B269" s="97"/>
      <c r="C269" s="97"/>
      <c r="D269" s="97"/>
      <c r="E269" s="97"/>
      <c r="F269" s="97"/>
      <c r="G269" s="97"/>
      <c r="H269" s="97"/>
      <c r="I269" s="97"/>
      <c r="J269" s="97"/>
      <c r="K269" s="97"/>
      <c r="L269" s="97"/>
      <c r="M269" s="97"/>
      <c r="N269" s="97"/>
      <c r="O269" s="97"/>
      <c r="P269" s="97"/>
      <c r="Q269" s="97"/>
      <c r="R269" s="97"/>
    </row>
    <row r="270" spans="1:18">
      <c r="A270" s="97"/>
      <c r="B270" s="97"/>
      <c r="C270" s="97"/>
      <c r="D270" s="97"/>
      <c r="E270" s="97"/>
      <c r="F270" s="97"/>
      <c r="G270" s="97"/>
      <c r="H270" s="97"/>
      <c r="I270" s="97"/>
      <c r="J270" s="97"/>
      <c r="K270" s="97"/>
      <c r="L270" s="97"/>
      <c r="M270" s="97"/>
      <c r="N270" s="97"/>
      <c r="O270" s="97"/>
      <c r="P270" s="97"/>
      <c r="Q270" s="97"/>
      <c r="R270" s="97"/>
    </row>
    <row r="271" spans="1:18">
      <c r="A271" s="97"/>
      <c r="B271" s="97"/>
      <c r="C271" s="97"/>
      <c r="D271" s="97"/>
      <c r="E271" s="97"/>
      <c r="F271" s="97"/>
      <c r="G271" s="97"/>
      <c r="H271" s="97"/>
      <c r="I271" s="97"/>
      <c r="J271" s="97"/>
      <c r="K271" s="97"/>
      <c r="L271" s="97"/>
      <c r="M271" s="97"/>
      <c r="N271" s="97"/>
      <c r="O271" s="97"/>
      <c r="P271" s="97"/>
      <c r="Q271" s="97"/>
      <c r="R271" s="97"/>
    </row>
    <row r="272" spans="1:18">
      <c r="A272" s="97"/>
      <c r="B272" s="97"/>
      <c r="C272" s="97"/>
      <c r="D272" s="97"/>
      <c r="E272" s="97"/>
      <c r="F272" s="97"/>
      <c r="G272" s="97"/>
      <c r="H272" s="97"/>
      <c r="I272" s="97"/>
      <c r="J272" s="97"/>
      <c r="K272" s="97"/>
      <c r="L272" s="97"/>
      <c r="M272" s="97"/>
      <c r="N272" s="97"/>
      <c r="O272" s="97"/>
      <c r="P272" s="97"/>
      <c r="Q272" s="97"/>
      <c r="R272" s="97"/>
    </row>
    <row r="273" spans="1:18">
      <c r="A273" s="97"/>
      <c r="B273" s="97"/>
      <c r="C273" s="97"/>
      <c r="D273" s="97"/>
      <c r="E273" s="97"/>
      <c r="F273" s="97"/>
      <c r="G273" s="97"/>
      <c r="H273" s="97"/>
      <c r="I273" s="97"/>
      <c r="J273" s="97"/>
      <c r="K273" s="97"/>
      <c r="L273" s="97"/>
      <c r="M273" s="97"/>
      <c r="N273" s="97"/>
      <c r="O273" s="97"/>
      <c r="P273" s="97"/>
      <c r="Q273" s="97"/>
      <c r="R273" s="97"/>
    </row>
    <row r="274" spans="1:18">
      <c r="A274" s="97"/>
      <c r="B274" s="97"/>
      <c r="C274" s="97"/>
      <c r="D274" s="97"/>
      <c r="E274" s="97"/>
      <c r="F274" s="97"/>
      <c r="G274" s="97"/>
      <c r="H274" s="97"/>
      <c r="I274" s="97"/>
      <c r="J274" s="97"/>
      <c r="K274" s="97"/>
      <c r="L274" s="97"/>
      <c r="M274" s="97"/>
      <c r="N274" s="97"/>
      <c r="O274" s="97"/>
      <c r="P274" s="97"/>
      <c r="Q274" s="97"/>
      <c r="R274" s="97"/>
    </row>
    <row r="275" spans="1:18">
      <c r="A275" s="97"/>
      <c r="B275" s="97"/>
      <c r="C275" s="97"/>
      <c r="D275" s="97"/>
      <c r="E275" s="97"/>
      <c r="F275" s="97"/>
      <c r="G275" s="97"/>
      <c r="H275" s="97"/>
      <c r="I275" s="97"/>
      <c r="J275" s="97"/>
      <c r="K275" s="97"/>
      <c r="L275" s="97"/>
      <c r="M275" s="97"/>
      <c r="N275" s="97"/>
      <c r="O275" s="97"/>
      <c r="P275" s="97"/>
      <c r="Q275" s="97"/>
      <c r="R275" s="97"/>
    </row>
    <row r="276" spans="1:18">
      <c r="A276" s="97"/>
      <c r="B276" s="97"/>
      <c r="C276" s="97"/>
      <c r="D276" s="97"/>
      <c r="E276" s="97"/>
      <c r="F276" s="97"/>
      <c r="G276" s="97"/>
      <c r="H276" s="97"/>
      <c r="I276" s="97"/>
      <c r="J276" s="97"/>
      <c r="K276" s="97"/>
      <c r="L276" s="97"/>
      <c r="M276" s="97"/>
      <c r="N276" s="97"/>
      <c r="O276" s="97"/>
      <c r="P276" s="97"/>
      <c r="Q276" s="97"/>
      <c r="R276" s="97"/>
    </row>
    <row r="277" spans="1:18">
      <c r="A277" s="97"/>
      <c r="B277" s="97"/>
      <c r="C277" s="97"/>
      <c r="D277" s="97"/>
      <c r="E277" s="97"/>
      <c r="F277" s="97"/>
      <c r="G277" s="97"/>
      <c r="H277" s="97"/>
      <c r="I277" s="97"/>
      <c r="J277" s="97"/>
      <c r="K277" s="97"/>
      <c r="L277" s="97"/>
      <c r="M277" s="97"/>
      <c r="N277" s="97"/>
      <c r="O277" s="97"/>
      <c r="P277" s="97"/>
      <c r="Q277" s="97"/>
      <c r="R277" s="97"/>
    </row>
    <row r="278" spans="1:18">
      <c r="A278" s="97"/>
      <c r="B278" s="97"/>
      <c r="C278" s="97"/>
      <c r="D278" s="97"/>
      <c r="E278" s="97"/>
      <c r="F278" s="97"/>
      <c r="G278" s="97"/>
      <c r="H278" s="97"/>
      <c r="I278" s="97"/>
      <c r="J278" s="97"/>
      <c r="K278" s="97"/>
      <c r="L278" s="97"/>
      <c r="M278" s="97"/>
      <c r="N278" s="97"/>
      <c r="O278" s="97"/>
      <c r="P278" s="97"/>
      <c r="Q278" s="97"/>
      <c r="R278" s="97"/>
    </row>
    <row r="279" spans="1:18">
      <c r="A279" s="97"/>
      <c r="B279" s="97"/>
      <c r="C279" s="97"/>
      <c r="D279" s="97"/>
      <c r="E279" s="97"/>
      <c r="F279" s="97"/>
      <c r="G279" s="97"/>
      <c r="H279" s="97"/>
      <c r="I279" s="97"/>
      <c r="J279" s="97"/>
      <c r="K279" s="97"/>
      <c r="L279" s="97"/>
      <c r="M279" s="97"/>
      <c r="N279" s="97"/>
      <c r="O279" s="97"/>
      <c r="P279" s="97"/>
      <c r="Q279" s="97"/>
      <c r="R279" s="97"/>
    </row>
    <row r="280" spans="1:18">
      <c r="A280" s="97"/>
      <c r="B280" s="97"/>
      <c r="C280" s="97"/>
      <c r="D280" s="97"/>
      <c r="E280" s="97"/>
      <c r="F280" s="97"/>
      <c r="G280" s="97"/>
      <c r="H280" s="97"/>
      <c r="I280" s="97"/>
      <c r="J280" s="97"/>
      <c r="K280" s="97"/>
      <c r="L280" s="97"/>
      <c r="M280" s="97"/>
      <c r="N280" s="97"/>
      <c r="O280" s="97"/>
      <c r="P280" s="97"/>
      <c r="Q280" s="97"/>
      <c r="R280" s="97"/>
    </row>
    <row r="281" spans="1:18">
      <c r="A281" s="97"/>
      <c r="B281" s="97"/>
      <c r="C281" s="97"/>
      <c r="D281" s="97"/>
      <c r="E281" s="97"/>
      <c r="F281" s="97"/>
      <c r="G281" s="97"/>
      <c r="H281" s="97"/>
      <c r="I281" s="97"/>
      <c r="J281" s="97"/>
      <c r="K281" s="97"/>
      <c r="L281" s="97"/>
      <c r="M281" s="97"/>
      <c r="N281" s="97"/>
      <c r="O281" s="97"/>
      <c r="P281" s="97"/>
      <c r="Q281" s="97"/>
      <c r="R281" s="97"/>
    </row>
    <row r="282" spans="1:18">
      <c r="A282" s="97"/>
      <c r="B282" s="97"/>
      <c r="C282" s="97"/>
      <c r="D282" s="97"/>
      <c r="E282" s="97"/>
      <c r="F282" s="97"/>
      <c r="G282" s="97"/>
      <c r="H282" s="97"/>
      <c r="I282" s="97"/>
      <c r="J282" s="97"/>
      <c r="K282" s="97"/>
      <c r="L282" s="97"/>
      <c r="M282" s="97"/>
      <c r="N282" s="97"/>
      <c r="O282" s="97"/>
      <c r="P282" s="97"/>
      <c r="Q282" s="97"/>
      <c r="R282" s="97"/>
    </row>
    <row r="283" spans="1:18">
      <c r="A283" s="97"/>
      <c r="B283" s="97"/>
      <c r="C283" s="97"/>
      <c r="D283" s="97"/>
      <c r="E283" s="97"/>
      <c r="F283" s="97"/>
      <c r="G283" s="97"/>
      <c r="H283" s="97"/>
      <c r="I283" s="97"/>
      <c r="J283" s="97"/>
      <c r="K283" s="97"/>
      <c r="L283" s="97"/>
      <c r="M283" s="97"/>
      <c r="N283" s="97"/>
      <c r="O283" s="97"/>
      <c r="P283" s="97"/>
      <c r="Q283" s="97"/>
      <c r="R283" s="97"/>
    </row>
    <row r="284" spans="1:18">
      <c r="A284" s="97"/>
      <c r="B284" s="97"/>
      <c r="C284" s="97"/>
      <c r="D284" s="97"/>
      <c r="E284" s="97"/>
      <c r="F284" s="97"/>
      <c r="G284" s="97"/>
      <c r="H284" s="97"/>
      <c r="I284" s="97"/>
      <c r="J284" s="97"/>
      <c r="K284" s="97"/>
      <c r="L284" s="97"/>
      <c r="M284" s="97"/>
      <c r="N284" s="97"/>
      <c r="O284" s="97"/>
      <c r="P284" s="97"/>
      <c r="Q284" s="97"/>
      <c r="R284" s="97"/>
    </row>
    <row r="285" spans="1:18">
      <c r="A285" s="97"/>
      <c r="B285" s="97"/>
      <c r="C285" s="97"/>
      <c r="D285" s="97"/>
      <c r="E285" s="97"/>
      <c r="F285" s="97"/>
      <c r="G285" s="97"/>
      <c r="H285" s="97"/>
      <c r="I285" s="97"/>
      <c r="J285" s="97"/>
      <c r="K285" s="97"/>
      <c r="L285" s="97"/>
      <c r="M285" s="97"/>
      <c r="N285" s="97"/>
      <c r="O285" s="97"/>
      <c r="P285" s="97"/>
      <c r="Q285" s="97"/>
      <c r="R285" s="97"/>
    </row>
    <row r="286" spans="1:18">
      <c r="A286" s="97"/>
      <c r="B286" s="97"/>
      <c r="C286" s="97"/>
      <c r="D286" s="97"/>
      <c r="E286" s="97"/>
      <c r="F286" s="97"/>
      <c r="G286" s="97"/>
      <c r="H286" s="97"/>
      <c r="I286" s="97"/>
      <c r="J286" s="97"/>
      <c r="K286" s="97"/>
      <c r="L286" s="97"/>
      <c r="M286" s="97"/>
      <c r="N286" s="97"/>
      <c r="O286" s="97"/>
      <c r="P286" s="97"/>
      <c r="Q286" s="97"/>
      <c r="R286" s="97"/>
    </row>
    <row r="287" spans="1:18">
      <c r="A287" s="97"/>
      <c r="B287" s="97"/>
      <c r="C287" s="97"/>
      <c r="D287" s="97"/>
      <c r="E287" s="97"/>
      <c r="F287" s="97"/>
      <c r="G287" s="97"/>
      <c r="H287" s="97"/>
      <c r="I287" s="97"/>
      <c r="J287" s="97"/>
      <c r="K287" s="97"/>
      <c r="L287" s="97"/>
      <c r="M287" s="97"/>
      <c r="N287" s="97"/>
      <c r="O287" s="97"/>
      <c r="P287" s="97"/>
      <c r="Q287" s="97"/>
      <c r="R287" s="97"/>
    </row>
    <row r="288" spans="1:18">
      <c r="A288" s="97"/>
      <c r="B288" s="97"/>
      <c r="C288" s="97"/>
      <c r="D288" s="97"/>
      <c r="E288" s="97"/>
      <c r="F288" s="97"/>
      <c r="G288" s="97"/>
      <c r="H288" s="97"/>
      <c r="I288" s="97"/>
      <c r="J288" s="97"/>
      <c r="K288" s="97"/>
      <c r="L288" s="97"/>
      <c r="M288" s="97"/>
      <c r="N288" s="97"/>
      <c r="O288" s="97"/>
      <c r="P288" s="97"/>
      <c r="Q288" s="97"/>
      <c r="R288" s="97"/>
    </row>
    <row r="289" spans="1:18">
      <c r="A289" s="97"/>
      <c r="B289" s="97"/>
      <c r="C289" s="97"/>
      <c r="D289" s="97"/>
      <c r="E289" s="97"/>
      <c r="F289" s="97"/>
      <c r="G289" s="97"/>
      <c r="H289" s="97"/>
      <c r="I289" s="97"/>
      <c r="J289" s="97"/>
      <c r="K289" s="97"/>
      <c r="L289" s="97"/>
      <c r="M289" s="97"/>
      <c r="N289" s="97"/>
      <c r="O289" s="97"/>
      <c r="P289" s="97"/>
      <c r="Q289" s="97"/>
      <c r="R289" s="97"/>
    </row>
    <row r="290" spans="1:18">
      <c r="A290" s="97"/>
      <c r="B290" s="97"/>
      <c r="C290" s="97"/>
      <c r="D290" s="97"/>
      <c r="E290" s="97"/>
      <c r="F290" s="97"/>
      <c r="G290" s="97"/>
      <c r="H290" s="97"/>
      <c r="I290" s="97"/>
      <c r="J290" s="97"/>
      <c r="K290" s="97"/>
      <c r="L290" s="97"/>
      <c r="M290" s="97"/>
      <c r="N290" s="97"/>
      <c r="O290" s="97"/>
      <c r="P290" s="97"/>
      <c r="Q290" s="97"/>
      <c r="R290" s="97"/>
    </row>
    <row r="291" spans="1:18">
      <c r="A291" s="97"/>
      <c r="B291" s="97"/>
      <c r="C291" s="97"/>
      <c r="D291" s="97"/>
      <c r="E291" s="97"/>
      <c r="F291" s="97"/>
      <c r="G291" s="97"/>
      <c r="H291" s="97"/>
      <c r="I291" s="97"/>
      <c r="J291" s="97"/>
      <c r="K291" s="97"/>
      <c r="L291" s="97"/>
      <c r="M291" s="97"/>
      <c r="N291" s="97"/>
      <c r="O291" s="97"/>
      <c r="P291" s="97"/>
      <c r="Q291" s="97"/>
      <c r="R291" s="97"/>
    </row>
    <row r="292" spans="1:18">
      <c r="A292" s="97"/>
      <c r="B292" s="97"/>
      <c r="C292" s="97"/>
      <c r="D292" s="97"/>
      <c r="E292" s="97"/>
      <c r="F292" s="97"/>
      <c r="G292" s="97"/>
      <c r="H292" s="97"/>
      <c r="I292" s="97"/>
      <c r="J292" s="97"/>
      <c r="K292" s="97"/>
      <c r="L292" s="97"/>
      <c r="M292" s="97"/>
      <c r="N292" s="97"/>
      <c r="O292" s="97"/>
      <c r="P292" s="97"/>
      <c r="Q292" s="97"/>
      <c r="R292" s="97"/>
    </row>
    <row r="293" spans="1:18">
      <c r="A293" s="97"/>
      <c r="B293" s="97"/>
      <c r="C293" s="97"/>
      <c r="D293" s="97"/>
      <c r="E293" s="97"/>
      <c r="F293" s="97"/>
      <c r="G293" s="97"/>
      <c r="H293" s="97"/>
      <c r="I293" s="97"/>
      <c r="J293" s="97"/>
      <c r="K293" s="97"/>
      <c r="L293" s="97"/>
      <c r="M293" s="97"/>
      <c r="N293" s="97"/>
      <c r="O293" s="97"/>
      <c r="P293" s="97"/>
      <c r="Q293" s="97"/>
      <c r="R293" s="97"/>
    </row>
    <row r="294" spans="1:18">
      <c r="A294" s="97"/>
      <c r="B294" s="97"/>
      <c r="C294" s="97"/>
      <c r="D294" s="97"/>
      <c r="E294" s="97"/>
      <c r="F294" s="97"/>
      <c r="G294" s="97"/>
      <c r="H294" s="97"/>
      <c r="I294" s="97"/>
      <c r="J294" s="97"/>
      <c r="K294" s="97"/>
      <c r="L294" s="97"/>
      <c r="M294" s="97"/>
      <c r="N294" s="97"/>
      <c r="O294" s="97"/>
      <c r="P294" s="97"/>
      <c r="Q294" s="97"/>
      <c r="R294" s="97"/>
    </row>
    <row r="295" spans="1:18">
      <c r="A295" s="97"/>
      <c r="B295" s="97"/>
      <c r="C295" s="97"/>
      <c r="D295" s="97"/>
      <c r="E295" s="97"/>
      <c r="F295" s="97"/>
      <c r="G295" s="97"/>
      <c r="H295" s="97"/>
      <c r="I295" s="97"/>
      <c r="J295" s="97"/>
      <c r="K295" s="97"/>
      <c r="L295" s="97"/>
      <c r="M295" s="97"/>
      <c r="N295" s="97"/>
      <c r="O295" s="97"/>
      <c r="P295" s="97"/>
      <c r="Q295" s="97"/>
      <c r="R295" s="97"/>
    </row>
    <row r="296" spans="1:18">
      <c r="A296" s="97"/>
      <c r="B296" s="97"/>
      <c r="C296" s="97"/>
      <c r="D296" s="97"/>
      <c r="E296" s="97"/>
      <c r="F296" s="97"/>
      <c r="G296" s="97"/>
      <c r="H296" s="97"/>
      <c r="I296" s="97"/>
      <c r="J296" s="97"/>
      <c r="K296" s="97"/>
      <c r="L296" s="97"/>
      <c r="M296" s="97"/>
      <c r="N296" s="97"/>
      <c r="O296" s="97"/>
      <c r="P296" s="97"/>
      <c r="Q296" s="97"/>
      <c r="R296" s="97"/>
    </row>
    <row r="297" spans="1:18">
      <c r="A297" s="97"/>
      <c r="B297" s="97"/>
      <c r="C297" s="97"/>
      <c r="D297" s="97"/>
      <c r="E297" s="97"/>
      <c r="F297" s="97"/>
      <c r="G297" s="97"/>
      <c r="H297" s="97"/>
      <c r="I297" s="97"/>
      <c r="J297" s="97"/>
      <c r="K297" s="97"/>
      <c r="L297" s="97"/>
      <c r="M297" s="97"/>
      <c r="N297" s="97"/>
      <c r="O297" s="97"/>
      <c r="P297" s="97"/>
      <c r="Q297" s="97"/>
      <c r="R297" s="97"/>
    </row>
    <row r="298" spans="1:18">
      <c r="A298" s="97"/>
      <c r="B298" s="97"/>
      <c r="C298" s="97"/>
      <c r="D298" s="97"/>
      <c r="E298" s="97"/>
      <c r="F298" s="97"/>
      <c r="G298" s="97"/>
      <c r="H298" s="97"/>
      <c r="I298" s="97"/>
      <c r="J298" s="97"/>
      <c r="K298" s="97"/>
      <c r="L298" s="97"/>
      <c r="M298" s="97"/>
      <c r="N298" s="97"/>
      <c r="O298" s="97"/>
      <c r="P298" s="97"/>
      <c r="Q298" s="97"/>
      <c r="R298" s="97"/>
    </row>
    <row r="299" spans="1:18">
      <c r="A299" s="97"/>
      <c r="B299" s="97"/>
      <c r="C299" s="97"/>
      <c r="D299" s="97"/>
      <c r="E299" s="97"/>
      <c r="F299" s="97"/>
      <c r="G299" s="97"/>
      <c r="H299" s="97"/>
      <c r="I299" s="97"/>
      <c r="J299" s="97"/>
      <c r="K299" s="97"/>
      <c r="L299" s="97"/>
      <c r="M299" s="97"/>
      <c r="N299" s="97"/>
      <c r="O299" s="97"/>
      <c r="P299" s="97"/>
      <c r="Q299" s="97"/>
      <c r="R299" s="97"/>
    </row>
    <row r="300" spans="1:18">
      <c r="A300" s="97"/>
      <c r="B300" s="97"/>
      <c r="C300" s="97"/>
      <c r="D300" s="97"/>
      <c r="E300" s="97"/>
      <c r="F300" s="97"/>
      <c r="G300" s="97"/>
      <c r="H300" s="97"/>
      <c r="I300" s="97"/>
      <c r="J300" s="97"/>
      <c r="K300" s="97"/>
      <c r="L300" s="97"/>
      <c r="M300" s="97"/>
      <c r="N300" s="97"/>
      <c r="O300" s="97"/>
      <c r="P300" s="97"/>
      <c r="Q300" s="97"/>
      <c r="R300" s="97"/>
    </row>
    <row r="301" spans="1:18">
      <c r="A301" s="97"/>
      <c r="B301" s="97"/>
      <c r="C301" s="97"/>
      <c r="D301" s="97"/>
      <c r="E301" s="97"/>
      <c r="F301" s="97"/>
      <c r="G301" s="97"/>
      <c r="H301" s="97"/>
      <c r="I301" s="97"/>
      <c r="J301" s="97"/>
      <c r="K301" s="97"/>
      <c r="L301" s="97"/>
      <c r="M301" s="97"/>
      <c r="N301" s="97"/>
      <c r="O301" s="97"/>
      <c r="P301" s="97"/>
      <c r="Q301" s="97"/>
      <c r="R301" s="97"/>
    </row>
    <row r="302" spans="1:18">
      <c r="A302" s="97"/>
      <c r="B302" s="97"/>
      <c r="C302" s="97"/>
      <c r="D302" s="97"/>
      <c r="E302" s="97"/>
      <c r="F302" s="97"/>
      <c r="G302" s="97"/>
      <c r="H302" s="97"/>
      <c r="I302" s="97"/>
      <c r="J302" s="97"/>
      <c r="K302" s="97"/>
      <c r="L302" s="97"/>
      <c r="M302" s="97"/>
      <c r="N302" s="97"/>
      <c r="O302" s="97"/>
      <c r="P302" s="97"/>
      <c r="Q302" s="97"/>
      <c r="R302" s="97"/>
    </row>
    <row r="303" spans="1:18">
      <c r="A303" s="97"/>
      <c r="B303" s="97"/>
      <c r="C303" s="97"/>
      <c r="D303" s="97"/>
      <c r="E303" s="97"/>
      <c r="F303" s="97"/>
      <c r="G303" s="97"/>
      <c r="H303" s="97"/>
      <c r="I303" s="97"/>
      <c r="J303" s="97"/>
      <c r="K303" s="97"/>
      <c r="L303" s="97"/>
      <c r="M303" s="97"/>
      <c r="N303" s="97"/>
      <c r="O303" s="97"/>
      <c r="P303" s="97"/>
      <c r="Q303" s="97"/>
      <c r="R303" s="97"/>
    </row>
    <row r="304" spans="1:18">
      <c r="A304" s="97"/>
      <c r="B304" s="97"/>
      <c r="C304" s="97"/>
      <c r="D304" s="97"/>
      <c r="E304" s="97"/>
      <c r="F304" s="97"/>
      <c r="G304" s="97"/>
      <c r="H304" s="97"/>
      <c r="I304" s="97"/>
      <c r="J304" s="97"/>
      <c r="K304" s="97"/>
      <c r="L304" s="97"/>
      <c r="M304" s="97"/>
      <c r="N304" s="97"/>
      <c r="O304" s="97"/>
      <c r="P304" s="97"/>
      <c r="Q304" s="97"/>
      <c r="R304" s="97"/>
    </row>
    <row r="305" spans="1:18">
      <c r="A305" s="97"/>
      <c r="B305" s="97"/>
      <c r="C305" s="97"/>
      <c r="D305" s="97"/>
      <c r="E305" s="97"/>
      <c r="F305" s="97"/>
      <c r="G305" s="97"/>
      <c r="H305" s="97"/>
      <c r="I305" s="97"/>
      <c r="J305" s="97"/>
      <c r="K305" s="97"/>
      <c r="L305" s="97"/>
      <c r="M305" s="97"/>
      <c r="N305" s="97"/>
      <c r="O305" s="97"/>
      <c r="P305" s="97"/>
      <c r="Q305" s="97"/>
      <c r="R305" s="97"/>
    </row>
    <row r="306" spans="1:18">
      <c r="A306" s="97"/>
      <c r="B306" s="97"/>
      <c r="C306" s="97"/>
      <c r="D306" s="97"/>
      <c r="E306" s="97"/>
      <c r="F306" s="97"/>
      <c r="G306" s="97"/>
      <c r="H306" s="97"/>
      <c r="I306" s="97"/>
      <c r="J306" s="97"/>
      <c r="K306" s="97"/>
      <c r="L306" s="97"/>
      <c r="M306" s="97"/>
      <c r="N306" s="97"/>
      <c r="O306" s="97"/>
      <c r="P306" s="97"/>
      <c r="Q306" s="97"/>
      <c r="R306" s="97"/>
    </row>
    <row r="307" spans="1:18">
      <c r="A307" s="97"/>
      <c r="B307" s="97"/>
      <c r="C307" s="97"/>
      <c r="D307" s="97"/>
      <c r="E307" s="97"/>
      <c r="F307" s="97"/>
      <c r="G307" s="97"/>
      <c r="H307" s="97"/>
      <c r="I307" s="97"/>
      <c r="J307" s="97"/>
      <c r="K307" s="97"/>
      <c r="L307" s="97"/>
      <c r="M307" s="97"/>
      <c r="N307" s="97"/>
      <c r="O307" s="97"/>
      <c r="P307" s="97"/>
      <c r="Q307" s="97"/>
      <c r="R307" s="97"/>
    </row>
    <row r="308" spans="1:18">
      <c r="A308" s="97"/>
      <c r="B308" s="97"/>
      <c r="C308" s="97"/>
      <c r="D308" s="97"/>
      <c r="E308" s="97"/>
      <c r="F308" s="97"/>
      <c r="G308" s="97"/>
      <c r="H308" s="97"/>
      <c r="I308" s="97"/>
      <c r="J308" s="97"/>
      <c r="K308" s="97"/>
      <c r="L308" s="97"/>
      <c r="M308" s="97"/>
      <c r="N308" s="97"/>
      <c r="O308" s="97"/>
      <c r="P308" s="97"/>
      <c r="Q308" s="97"/>
      <c r="R308" s="97"/>
    </row>
    <row r="309" spans="1:18">
      <c r="A309" s="97"/>
      <c r="B309" s="97"/>
      <c r="C309" s="97"/>
      <c r="D309" s="97"/>
      <c r="E309" s="97"/>
      <c r="F309" s="97"/>
      <c r="G309" s="97"/>
      <c r="H309" s="97"/>
      <c r="I309" s="97"/>
      <c r="J309" s="97"/>
      <c r="K309" s="97"/>
      <c r="L309" s="97"/>
      <c r="M309" s="97"/>
      <c r="N309" s="97"/>
      <c r="O309" s="97"/>
      <c r="P309" s="97"/>
      <c r="Q309" s="97"/>
      <c r="R309" s="97"/>
    </row>
    <row r="310" spans="1:18">
      <c r="A310" s="97"/>
      <c r="B310" s="97"/>
      <c r="C310" s="97"/>
      <c r="D310" s="97"/>
      <c r="E310" s="97"/>
      <c r="F310" s="97"/>
      <c r="G310" s="97"/>
      <c r="H310" s="97"/>
      <c r="I310" s="97"/>
      <c r="J310" s="97"/>
      <c r="K310" s="97"/>
      <c r="L310" s="97"/>
      <c r="M310" s="97"/>
      <c r="N310" s="97"/>
      <c r="O310" s="97"/>
      <c r="P310" s="97"/>
      <c r="Q310" s="97"/>
      <c r="R310" s="97"/>
    </row>
    <row r="311" spans="1:18">
      <c r="A311" s="97"/>
      <c r="B311" s="97"/>
      <c r="C311" s="97"/>
      <c r="D311" s="97"/>
      <c r="E311" s="97"/>
      <c r="F311" s="97"/>
      <c r="G311" s="97"/>
      <c r="H311" s="97"/>
      <c r="I311" s="97"/>
      <c r="J311" s="97"/>
      <c r="K311" s="97"/>
      <c r="L311" s="97"/>
      <c r="M311" s="97"/>
      <c r="N311" s="97"/>
      <c r="O311" s="97"/>
      <c r="P311" s="97"/>
      <c r="Q311" s="97"/>
      <c r="R311" s="97"/>
    </row>
    <row r="312" spans="1:18">
      <c r="A312" s="97"/>
      <c r="B312" s="97"/>
      <c r="C312" s="97"/>
      <c r="D312" s="97"/>
      <c r="E312" s="97"/>
      <c r="F312" s="97"/>
      <c r="G312" s="97"/>
      <c r="H312" s="97"/>
      <c r="I312" s="97"/>
      <c r="J312" s="97"/>
      <c r="K312" s="97"/>
      <c r="L312" s="97"/>
      <c r="M312" s="97"/>
      <c r="N312" s="97"/>
      <c r="O312" s="97"/>
      <c r="P312" s="97"/>
      <c r="Q312" s="97"/>
      <c r="R312" s="97"/>
    </row>
    <row r="313" spans="1:18">
      <c r="A313" s="97"/>
      <c r="B313" s="97"/>
      <c r="C313" s="97"/>
      <c r="D313" s="97"/>
      <c r="E313" s="97"/>
      <c r="F313" s="97"/>
      <c r="G313" s="97"/>
      <c r="H313" s="97"/>
      <c r="I313" s="97"/>
      <c r="J313" s="97"/>
      <c r="K313" s="97"/>
      <c r="L313" s="97"/>
      <c r="M313" s="97"/>
      <c r="N313" s="97"/>
      <c r="O313" s="97"/>
      <c r="P313" s="97"/>
      <c r="Q313" s="97"/>
      <c r="R313" s="97"/>
    </row>
    <row r="314" spans="1:18">
      <c r="A314" s="97"/>
      <c r="B314" s="97"/>
      <c r="C314" s="97"/>
      <c r="D314" s="97"/>
      <c r="E314" s="97"/>
      <c r="F314" s="97"/>
      <c r="G314" s="97"/>
      <c r="H314" s="97"/>
      <c r="I314" s="97"/>
      <c r="J314" s="97"/>
      <c r="K314" s="97"/>
      <c r="L314" s="97"/>
      <c r="M314" s="97"/>
      <c r="N314" s="97"/>
      <c r="O314" s="97"/>
      <c r="P314" s="97"/>
      <c r="Q314" s="97"/>
      <c r="R314" s="97"/>
    </row>
    <row r="315" spans="1:18">
      <c r="A315" s="97"/>
      <c r="B315" s="97"/>
      <c r="C315" s="97"/>
      <c r="D315" s="97"/>
      <c r="E315" s="97"/>
      <c r="F315" s="97"/>
      <c r="G315" s="97"/>
      <c r="H315" s="97"/>
      <c r="I315" s="97"/>
      <c r="J315" s="97"/>
      <c r="K315" s="97"/>
      <c r="L315" s="97"/>
      <c r="M315" s="97"/>
      <c r="N315" s="97"/>
      <c r="O315" s="97"/>
      <c r="P315" s="97"/>
      <c r="Q315" s="97"/>
      <c r="R315" s="97"/>
    </row>
    <row r="316" spans="1:18">
      <c r="A316" s="97"/>
      <c r="B316" s="97"/>
      <c r="C316" s="97"/>
      <c r="D316" s="97"/>
      <c r="E316" s="97"/>
      <c r="F316" s="97"/>
      <c r="G316" s="97"/>
      <c r="H316" s="97"/>
      <c r="I316" s="97"/>
      <c r="J316" s="97"/>
      <c r="K316" s="97"/>
      <c r="L316" s="97"/>
      <c r="M316" s="97"/>
      <c r="N316" s="97"/>
      <c r="O316" s="97"/>
      <c r="P316" s="97"/>
      <c r="Q316" s="97"/>
      <c r="R316" s="97"/>
    </row>
    <row r="317" spans="1:18">
      <c r="A317" s="97"/>
      <c r="B317" s="97"/>
      <c r="C317" s="97"/>
      <c r="D317" s="97"/>
      <c r="E317" s="97"/>
      <c r="F317" s="97"/>
      <c r="G317" s="97"/>
      <c r="H317" s="97"/>
      <c r="I317" s="97"/>
      <c r="J317" s="97"/>
      <c r="K317" s="97"/>
      <c r="L317" s="97"/>
      <c r="M317" s="97"/>
      <c r="N317" s="97"/>
      <c r="O317" s="97"/>
      <c r="P317" s="97"/>
      <c r="Q317" s="97"/>
      <c r="R317" s="97"/>
    </row>
    <row r="318" spans="1:18">
      <c r="A318" s="97"/>
      <c r="B318" s="97"/>
      <c r="C318" s="97"/>
      <c r="D318" s="97"/>
      <c r="E318" s="97"/>
      <c r="F318" s="97"/>
      <c r="G318" s="97"/>
      <c r="H318" s="97"/>
      <c r="I318" s="97"/>
      <c r="J318" s="97"/>
      <c r="K318" s="97"/>
      <c r="L318" s="97"/>
      <c r="M318" s="97"/>
      <c r="N318" s="97"/>
      <c r="O318" s="97"/>
      <c r="P318" s="97"/>
      <c r="Q318" s="97"/>
      <c r="R318" s="97"/>
    </row>
  </sheetData>
  <mergeCells count="101">
    <mergeCell ref="K171:L171"/>
    <mergeCell ref="M171:N171"/>
    <mergeCell ref="R171:S171"/>
    <mergeCell ref="O171:Q171"/>
    <mergeCell ref="B171:D171"/>
    <mergeCell ref="E171:F171"/>
    <mergeCell ref="G171:H171"/>
    <mergeCell ref="I171:J171"/>
    <mergeCell ref="O170:Q170"/>
    <mergeCell ref="R170:S170"/>
    <mergeCell ref="B170:D170"/>
    <mergeCell ref="E170:F170"/>
    <mergeCell ref="G170:H170"/>
    <mergeCell ref="I170:J170"/>
    <mergeCell ref="K170:L170"/>
    <mergeCell ref="M170:N170"/>
    <mergeCell ref="M168:N168"/>
    <mergeCell ref="O168:Q168"/>
    <mergeCell ref="R168:S168"/>
    <mergeCell ref="B169:D169"/>
    <mergeCell ref="E169:F169"/>
    <mergeCell ref="G169:H169"/>
    <mergeCell ref="I169:J169"/>
    <mergeCell ref="K169:L169"/>
    <mergeCell ref="M169:N169"/>
    <mergeCell ref="O169:Q169"/>
    <mergeCell ref="R169:S169"/>
    <mergeCell ref="B168:D168"/>
    <mergeCell ref="E168:F168"/>
    <mergeCell ref="G168:H168"/>
    <mergeCell ref="I168:J168"/>
    <mergeCell ref="K168:L168"/>
    <mergeCell ref="M166:N166"/>
    <mergeCell ref="O166:Q166"/>
    <mergeCell ref="R166:S166"/>
    <mergeCell ref="B167:D167"/>
    <mergeCell ref="E167:F167"/>
    <mergeCell ref="G167:H167"/>
    <mergeCell ref="I167:J167"/>
    <mergeCell ref="K167:L167"/>
    <mergeCell ref="M167:N167"/>
    <mergeCell ref="O167:Q167"/>
    <mergeCell ref="R167:S167"/>
    <mergeCell ref="B166:D166"/>
    <mergeCell ref="E166:F166"/>
    <mergeCell ref="G166:H166"/>
    <mergeCell ref="I166:J166"/>
    <mergeCell ref="K166:L166"/>
    <mergeCell ref="R164:S164"/>
    <mergeCell ref="B165:D165"/>
    <mergeCell ref="E165:F165"/>
    <mergeCell ref="G165:H165"/>
    <mergeCell ref="I165:J165"/>
    <mergeCell ref="K165:L165"/>
    <mergeCell ref="M165:N165"/>
    <mergeCell ref="O165:Q165"/>
    <mergeCell ref="R165:S165"/>
    <mergeCell ref="M164:N164"/>
    <mergeCell ref="O164:Q164"/>
    <mergeCell ref="B164:D164"/>
    <mergeCell ref="E164:F164"/>
    <mergeCell ref="G164:H164"/>
    <mergeCell ref="I164:J164"/>
    <mergeCell ref="K164:L164"/>
    <mergeCell ref="O162:Q162"/>
    <mergeCell ref="I162:J162"/>
    <mergeCell ref="K162:L162"/>
    <mergeCell ref="B80:T80"/>
    <mergeCell ref="B83:T83"/>
    <mergeCell ref="B84:T84"/>
    <mergeCell ref="B100:T100"/>
    <mergeCell ref="B87:Q87"/>
    <mergeCell ref="B90:Q90"/>
    <mergeCell ref="M162:N162"/>
    <mergeCell ref="B162:D162"/>
    <mergeCell ref="E162:F162"/>
    <mergeCell ref="G162:H162"/>
    <mergeCell ref="A6:T6"/>
    <mergeCell ref="A7:T7"/>
    <mergeCell ref="A8:T8"/>
    <mergeCell ref="A9:T9"/>
    <mergeCell ref="A14:T14"/>
    <mergeCell ref="M163:N163"/>
    <mergeCell ref="O163:Q163"/>
    <mergeCell ref="R163:S163"/>
    <mergeCell ref="B163:D163"/>
    <mergeCell ref="E163:F163"/>
    <mergeCell ref="G163:H163"/>
    <mergeCell ref="I163:J163"/>
    <mergeCell ref="K163:L163"/>
    <mergeCell ref="A15:T15"/>
    <mergeCell ref="B104:T104"/>
    <mergeCell ref="B105:T105"/>
    <mergeCell ref="A143:T143"/>
    <mergeCell ref="A16:T16"/>
    <mergeCell ref="A58:T58"/>
    <mergeCell ref="B74:T74"/>
    <mergeCell ref="B77:T77"/>
    <mergeCell ref="O38:R38"/>
    <mergeCell ref="T28:T40"/>
    <mergeCell ref="R162:S162"/>
  </mergeCells>
  <pageMargins left="0.62992125984251968" right="0.62992125984251968" top="0.35433070866141736" bottom="0.35433070866141736" header="0.31496062992125984" footer="0.31496062992125984"/>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expression" priority="2" id="{84A63C80-6920-43D9-8677-4FA142353539}">
            <xm:f xml:space="preserve"> LEX!S22="No"</xm:f>
            <x14:dxf>
              <font>
                <color theme="0"/>
              </font>
            </x14:dxf>
          </x14:cfRule>
          <xm:sqref>B174</xm:sqref>
        </x14:conditionalFormatting>
        <x14:conditionalFormatting xmlns:xm="http://schemas.microsoft.com/office/excel/2006/main">
          <x14:cfRule type="expression" priority="1" id="{8318EE96-2698-4FA1-9312-071B19F3EF75}">
            <xm:f xml:space="preserve"> LEX!$S$22="No"</xm:f>
            <x14:dxf>
              <font>
                <color theme="0"/>
              </font>
              <fill>
                <patternFill>
                  <bgColor theme="0"/>
                </patternFill>
              </fill>
              <border>
                <left/>
                <right/>
                <top style="thin">
                  <color auto="1"/>
                </top>
                <bottom/>
                <vertical/>
                <horizontal/>
              </border>
            </x14:dxf>
          </x14:cfRule>
          <xm:sqref>B171:S171</xm:sqref>
        </x14:conditionalFormatting>
      </x14:conditionalFormatting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pageSetUpPr fitToPage="1"/>
  </sheetPr>
  <dimension ref="A1:AA92"/>
  <sheetViews>
    <sheetView workbookViewId="0">
      <selection activeCell="H8" sqref="H8"/>
    </sheetView>
  </sheetViews>
  <sheetFormatPr defaultColWidth="9.140625" defaultRowHeight="12.75"/>
  <cols>
    <col min="1" max="1" width="29.42578125" style="56" customWidth="1"/>
    <col min="2" max="6" width="14.28515625" style="56" customWidth="1"/>
    <col min="7" max="7" width="13" style="56" customWidth="1"/>
    <col min="8" max="8" width="21.5703125" style="56" bestFit="1" customWidth="1"/>
    <col min="9" max="9" width="11.140625" style="56" customWidth="1"/>
    <col min="10" max="17" width="12.42578125" style="56" customWidth="1"/>
    <col min="18" max="18" width="11.5703125" style="56" customWidth="1"/>
    <col min="19" max="19" width="12.5703125" style="56" customWidth="1"/>
    <col min="20" max="16384" width="9.140625" style="56"/>
  </cols>
  <sheetData>
    <row r="1" spans="1:20" ht="15.75">
      <c r="A1" s="510" t="s">
        <v>694</v>
      </c>
      <c r="B1" s="511"/>
      <c r="C1" s="511"/>
      <c r="D1" s="511"/>
      <c r="E1" s="511"/>
      <c r="F1" s="511"/>
      <c r="H1" s="511"/>
      <c r="J1" s="511"/>
      <c r="K1" s="511"/>
      <c r="L1" s="239"/>
      <c r="M1" s="239"/>
      <c r="N1" s="239"/>
      <c r="O1" s="224"/>
      <c r="P1" s="58" t="str">
        <f>Intro!$D$4</f>
        <v>IRC-FORM-2100J (ARPANSA-FORM-1856)</v>
      </c>
      <c r="Q1" s="224"/>
      <c r="R1" s="224"/>
      <c r="S1" s="224"/>
    </row>
    <row r="2" spans="1:20" ht="12.75" customHeight="1">
      <c r="A2" s="513"/>
      <c r="B2" s="511"/>
      <c r="C2" s="511"/>
      <c r="D2" s="511"/>
      <c r="E2" s="511"/>
      <c r="F2" s="511"/>
      <c r="G2" s="511"/>
      <c r="H2" s="511"/>
      <c r="I2" s="511"/>
      <c r="J2" s="511"/>
      <c r="K2" s="511"/>
      <c r="L2" s="224"/>
      <c r="M2" s="224"/>
      <c r="N2" s="224"/>
      <c r="O2" s="224"/>
      <c r="P2" s="69" t="str">
        <f>Intro!$D$5</f>
        <v>23-Production</v>
      </c>
      <c r="Q2" s="224"/>
      <c r="R2" s="224"/>
      <c r="S2" s="224"/>
      <c r="T2" s="434" t="s">
        <v>825</v>
      </c>
    </row>
    <row r="3" spans="1:20">
      <c r="A3" s="514" t="str">
        <f>Client!B5</f>
        <v>CAL11957</v>
      </c>
      <c r="B3" s="515" t="str">
        <f>Client!B6</f>
        <v>De-identified for distribution</v>
      </c>
      <c r="C3" s="516"/>
      <c r="D3" s="516"/>
      <c r="E3" s="517"/>
      <c r="F3" s="517"/>
      <c r="G3" s="517"/>
      <c r="H3" s="517"/>
      <c r="I3" s="517"/>
      <c r="J3" s="518"/>
      <c r="K3" s="69"/>
      <c r="L3" s="226"/>
      <c r="M3" s="226"/>
      <c r="N3" s="226"/>
      <c r="O3" s="226"/>
      <c r="P3" s="69" t="str">
        <f>Intro!$B$10</f>
        <v>Validated: Note yet</v>
      </c>
      <c r="Q3" s="226"/>
      <c r="R3" s="226"/>
      <c r="S3" s="226"/>
      <c r="T3" s="434" t="s">
        <v>826</v>
      </c>
    </row>
    <row r="4" spans="1:20">
      <c r="A4" s="188" t="s">
        <v>27</v>
      </c>
      <c r="B4" s="1171" t="str">
        <f>Client!B29</f>
        <v>IBA FC65-G</v>
      </c>
      <c r="C4" s="1218"/>
      <c r="D4" s="70"/>
      <c r="E4" s="70"/>
      <c r="G4" s="70"/>
      <c r="I4" s="70"/>
    </row>
    <row r="5" spans="1:20">
      <c r="A5" s="56" t="s">
        <v>28</v>
      </c>
      <c r="B5" s="1171" t="str">
        <f>Client!B30</f>
        <v>457</v>
      </c>
      <c r="C5" s="1218"/>
      <c r="F5" s="70"/>
      <c r="L5" s="225"/>
      <c r="M5" s="976" t="s">
        <v>1442</v>
      </c>
      <c r="N5" s="225"/>
      <c r="O5" s="225"/>
      <c r="P5" s="225"/>
      <c r="Q5" s="225"/>
      <c r="R5" s="225"/>
      <c r="S5" s="225"/>
    </row>
    <row r="6" spans="1:20" ht="14.25">
      <c r="A6" s="548" t="s">
        <v>415</v>
      </c>
      <c r="B6" s="1404" t="str">
        <f xml:space="preserve"> Client!V10&amp;" "&amp;Client!Q10</f>
        <v>-242 V Central Electrode Negative</v>
      </c>
      <c r="C6" s="1340"/>
      <c r="E6" s="58" t="s">
        <v>1022</v>
      </c>
      <c r="H6" s="988" t="str" cm="1">
        <f t="array" ref="H6">make_Date_range(M6,M7)</f>
        <v>0</v>
      </c>
      <c r="I6" s="989"/>
      <c r="J6" s="69" t="s">
        <v>853</v>
      </c>
      <c r="M6" s="975" t="str">
        <f>IF(MIN(C13,D13,F13,H13,J13)&lt;30000,"",MIN(C13,D13,F13,H13,J13))</f>
        <v/>
      </c>
      <c r="N6" s="225"/>
      <c r="O6" s="225"/>
      <c r="P6" s="225"/>
      <c r="Q6" s="225"/>
      <c r="R6" s="225"/>
      <c r="S6" s="225"/>
    </row>
    <row r="7" spans="1:20">
      <c r="D7" s="70"/>
      <c r="I7" s="225"/>
      <c r="J7" s="225"/>
      <c r="K7" s="225"/>
      <c r="L7" s="225"/>
      <c r="M7" s="975" t="str">
        <f>IF(MAX(C13,D13,F13,H13,J13)&lt;30000,"",MAX(C13,D13,F13,H13,J13))</f>
        <v/>
      </c>
      <c r="N7" s="225"/>
      <c r="O7" s="225"/>
      <c r="P7" s="225"/>
      <c r="Q7" s="225"/>
      <c r="R7" s="225"/>
      <c r="S7" s="225"/>
    </row>
    <row r="8" spans="1:20">
      <c r="G8" s="929" t="s">
        <v>1364</v>
      </c>
      <c r="H8" s="634" t="s">
        <v>826</v>
      </c>
    </row>
    <row r="9" spans="1:20" ht="15">
      <c r="A9" s="228" t="s">
        <v>650</v>
      </c>
      <c r="B9" s="239"/>
      <c r="C9" s="239"/>
      <c r="D9" s="239"/>
      <c r="E9" s="224"/>
      <c r="F9" s="224"/>
      <c r="G9" s="225"/>
      <c r="H9" s="225"/>
      <c r="I9" s="225"/>
      <c r="J9" s="225"/>
      <c r="K9" s="225"/>
      <c r="L9" s="225"/>
      <c r="M9" s="225"/>
      <c r="N9" s="225"/>
      <c r="O9" s="225"/>
      <c r="P9" s="225"/>
      <c r="Q9" s="225"/>
      <c r="R9" s="225"/>
      <c r="S9" s="225"/>
    </row>
    <row r="10" spans="1:20" ht="15.75">
      <c r="A10" s="226"/>
      <c r="B10" s="240"/>
      <c r="C10" s="241" t="s">
        <v>651</v>
      </c>
      <c r="D10" s="241" t="s">
        <v>651</v>
      </c>
      <c r="E10" s="242"/>
      <c r="F10" s="241" t="s">
        <v>651</v>
      </c>
      <c r="G10" s="243"/>
      <c r="H10" s="241" t="s">
        <v>651</v>
      </c>
      <c r="I10" s="243"/>
      <c r="J10" s="241" t="s">
        <v>651</v>
      </c>
      <c r="K10" s="243"/>
      <c r="L10" s="244"/>
      <c r="M10" s="245"/>
      <c r="N10" s="225"/>
      <c r="O10" s="228" t="s">
        <v>652</v>
      </c>
      <c r="P10" s="225"/>
      <c r="Q10" s="227"/>
      <c r="R10" s="227"/>
      <c r="S10" s="227"/>
    </row>
    <row r="11" spans="1:20">
      <c r="A11" s="225"/>
      <c r="B11" s="246" t="s">
        <v>653</v>
      </c>
      <c r="C11" s="247" t="s">
        <v>7</v>
      </c>
      <c r="D11" s="247" t="s">
        <v>7</v>
      </c>
      <c r="E11" s="248"/>
      <c r="F11" s="247" t="s">
        <v>7</v>
      </c>
      <c r="G11" s="249"/>
      <c r="H11" s="247" t="s">
        <v>7</v>
      </c>
      <c r="I11" s="249"/>
      <c r="J11" s="247" t="s">
        <v>7</v>
      </c>
      <c r="K11" s="249"/>
      <c r="L11" s="246" t="s">
        <v>141</v>
      </c>
      <c r="M11" s="245"/>
      <c r="N11" s="225"/>
      <c r="O11" s="250" t="s">
        <v>649</v>
      </c>
      <c r="P11" s="234" t="s">
        <v>654</v>
      </c>
      <c r="Q11" s="234" t="s">
        <v>655</v>
      </c>
      <c r="R11" s="234" t="s">
        <v>656</v>
      </c>
      <c r="S11" s="230"/>
    </row>
    <row r="12" spans="1:20">
      <c r="A12" s="225"/>
      <c r="B12" s="251" t="s">
        <v>657</v>
      </c>
      <c r="C12" s="252" t="s">
        <v>703</v>
      </c>
      <c r="D12" s="252" t="s">
        <v>704</v>
      </c>
      <c r="E12" s="251" t="s">
        <v>658</v>
      </c>
      <c r="F12" s="252" t="s">
        <v>705</v>
      </c>
      <c r="G12" s="253" t="s">
        <v>658</v>
      </c>
      <c r="H12" s="252" t="s">
        <v>706</v>
      </c>
      <c r="I12" s="253" t="s">
        <v>658</v>
      </c>
      <c r="J12" s="252" t="s">
        <v>707</v>
      </c>
      <c r="K12" s="253" t="s">
        <v>658</v>
      </c>
      <c r="L12" s="251" t="s">
        <v>140</v>
      </c>
      <c r="M12" s="254"/>
      <c r="N12" s="225"/>
      <c r="O12" s="234" t="s">
        <v>659</v>
      </c>
      <c r="P12" s="234" t="s">
        <v>660</v>
      </c>
      <c r="Q12" s="234" t="s">
        <v>7</v>
      </c>
      <c r="R12" s="222"/>
      <c r="S12" s="227"/>
    </row>
    <row r="13" spans="1:20">
      <c r="A13" s="230"/>
      <c r="B13" s="251"/>
      <c r="C13" s="990"/>
      <c r="D13" s="946"/>
      <c r="E13" s="252"/>
      <c r="F13" s="946"/>
      <c r="G13" s="252"/>
      <c r="H13" s="237"/>
      <c r="I13" s="252"/>
      <c r="J13" s="237"/>
      <c r="K13" s="252"/>
      <c r="L13" s="252"/>
      <c r="N13" s="225"/>
      <c r="O13" s="234" t="s">
        <v>134</v>
      </c>
      <c r="P13" s="952">
        <v>0.56899999999999995</v>
      </c>
      <c r="Q13" s="376" t="e">
        <f>Co!D17/(Co!N22*Co!N34)</f>
        <v>#VALUE!</v>
      </c>
      <c r="R13" s="286" t="e">
        <f>Q13/Q$13</f>
        <v>#VALUE!</v>
      </c>
      <c r="S13" s="227"/>
    </row>
    <row r="14" spans="1:20">
      <c r="A14" s="255" t="s">
        <v>661</v>
      </c>
      <c r="B14" s="238"/>
      <c r="C14" s="238"/>
      <c r="D14" s="238"/>
      <c r="E14" s="283" t="str">
        <f>IF(D14="","",(D14-$C14)/$C14*100)</f>
        <v/>
      </c>
      <c r="F14" s="947"/>
      <c r="G14" s="283" t="str">
        <f>IF(F14="","",(F14-$C14)/$C14*100)</f>
        <v/>
      </c>
      <c r="H14" s="731"/>
      <c r="I14" s="283" t="str">
        <f>IF(H14="","",(H14-$C14)/$C14*100)</f>
        <v/>
      </c>
      <c r="J14" s="731"/>
      <c r="K14" s="283" t="str">
        <f>IF(J14="","",(J14-$C14)/$C14*100)</f>
        <v/>
      </c>
      <c r="L14" s="285">
        <v>0.3</v>
      </c>
      <c r="M14" s="257"/>
      <c r="N14" s="225"/>
      <c r="O14" s="222">
        <v>6</v>
      </c>
      <c r="P14" s="952">
        <v>0.68400000000000005</v>
      </c>
      <c r="Q14" s="287" t="e">
        <f>AVERAGE(C14:D14,F14,H14,J14)</f>
        <v>#DIV/0!</v>
      </c>
      <c r="R14" s="286" t="e">
        <f>Q14/Q$13</f>
        <v>#DIV/0!</v>
      </c>
      <c r="S14" s="227"/>
    </row>
    <row r="15" spans="1:20">
      <c r="A15" s="255" t="s">
        <v>662</v>
      </c>
      <c r="B15" s="238"/>
      <c r="C15" s="238"/>
      <c r="D15" s="238"/>
      <c r="E15" s="283" t="str">
        <f>IF(D15="","",(D15-$C15)/$C15*100)</f>
        <v/>
      </c>
      <c r="F15" s="284"/>
      <c r="G15" s="283" t="str">
        <f>IF(F15="","",(F15-$C15)/$C15*100)</f>
        <v/>
      </c>
      <c r="H15" s="284"/>
      <c r="I15" s="283" t="str">
        <f>IF(H15="","",(H15-$C15)/$C15*100)</f>
        <v/>
      </c>
      <c r="J15" s="284"/>
      <c r="K15" s="283" t="str">
        <f>IF(J15="","",(J15-$C15)/$C15*100)</f>
        <v/>
      </c>
      <c r="L15" s="285">
        <v>0.3</v>
      </c>
      <c r="M15" s="257"/>
      <c r="N15" s="225"/>
      <c r="O15" s="222">
        <v>10</v>
      </c>
      <c r="P15" s="952">
        <v>0.73299999999999998</v>
      </c>
      <c r="Q15" s="287" t="e">
        <f>AVERAGE(C15:D15,F15,H15,J15)</f>
        <v>#DIV/0!</v>
      </c>
      <c r="R15" s="286" t="e">
        <f>Q15/Q$13</f>
        <v>#DIV/0!</v>
      </c>
      <c r="S15" s="227"/>
    </row>
    <row r="16" spans="1:20">
      <c r="A16" s="255" t="s">
        <v>663</v>
      </c>
      <c r="B16" s="238"/>
      <c r="C16" s="238"/>
      <c r="D16" s="238"/>
      <c r="E16" s="283" t="str">
        <f>IF(D16="","",(D16-$C16)/$C16*100)</f>
        <v/>
      </c>
      <c r="F16" s="284"/>
      <c r="G16" s="283" t="str">
        <f>IF(F16="","",(F16-$C16)/$C16*100)</f>
        <v/>
      </c>
      <c r="H16" s="284"/>
      <c r="I16" s="283" t="str">
        <f>IF(H16="","",(H16-$C16)/$C16*100)</f>
        <v/>
      </c>
      <c r="J16" s="284"/>
      <c r="K16" s="283" t="str">
        <f>IF(J16="","",(J16-$C16)/$C16*100)</f>
        <v/>
      </c>
      <c r="L16" s="285">
        <v>0.3</v>
      </c>
      <c r="M16" s="257"/>
      <c r="N16" s="225"/>
      <c r="O16" s="222">
        <v>18</v>
      </c>
      <c r="P16" s="952">
        <v>0.77900000000000003</v>
      </c>
      <c r="Q16" s="287" t="e">
        <f>AVERAGE(C16:D16,F16,H16,J16)</f>
        <v>#DIV/0!</v>
      </c>
      <c r="R16" s="286" t="e">
        <f>Q16/Q$13</f>
        <v>#DIV/0!</v>
      </c>
      <c r="S16" s="227"/>
    </row>
    <row r="17" spans="1:21">
      <c r="A17" s="225"/>
      <c r="B17" s="225"/>
      <c r="C17" s="225"/>
      <c r="D17" s="225"/>
      <c r="E17" s="225"/>
      <c r="F17" s="225"/>
      <c r="G17" s="225"/>
      <c r="H17" s="225"/>
      <c r="I17" s="225"/>
      <c r="J17" s="225"/>
      <c r="K17" s="258"/>
      <c r="L17" s="258"/>
      <c r="M17" s="225"/>
      <c r="N17" s="225"/>
      <c r="O17" s="225"/>
      <c r="P17" s="225"/>
      <c r="Q17" s="225"/>
      <c r="R17" s="225"/>
    </row>
    <row r="18" spans="1:21">
      <c r="A18" s="225"/>
      <c r="B18" s="227"/>
      <c r="C18" s="258"/>
      <c r="D18" s="258"/>
      <c r="E18" s="330"/>
      <c r="F18" s="993" t="s">
        <v>1472</v>
      </c>
      <c r="G18" s="994">
        <f>COUNTA(C14,D14,F14,H14,J14)</f>
        <v>0</v>
      </c>
      <c r="H18" s="258"/>
    </row>
    <row r="19" spans="1:21">
      <c r="A19" s="229" t="s">
        <v>899</v>
      </c>
      <c r="B19" s="227"/>
      <c r="C19" s="258"/>
      <c r="D19" s="258"/>
      <c r="E19" s="330"/>
      <c r="F19" s="225"/>
      <c r="I19" s="225"/>
      <c r="J19" s="225"/>
      <c r="K19" s="228" t="s">
        <v>664</v>
      </c>
      <c r="L19" s="225"/>
      <c r="M19" s="225"/>
      <c r="N19" s="225"/>
      <c r="O19" s="227"/>
      <c r="P19" s="225"/>
      <c r="Q19" s="225"/>
      <c r="R19" s="225"/>
    </row>
    <row r="20" spans="1:21">
      <c r="A20" s="225"/>
      <c r="E20" s="330"/>
      <c r="F20" s="225"/>
      <c r="I20" s="225"/>
      <c r="J20" s="225"/>
      <c r="K20" s="250"/>
      <c r="L20" s="234" t="s">
        <v>654</v>
      </c>
      <c r="M20" s="234" t="s">
        <v>655</v>
      </c>
      <c r="N20" s="234" t="s">
        <v>656</v>
      </c>
      <c r="O20" s="234" t="s">
        <v>665</v>
      </c>
      <c r="P20" s="222" t="s">
        <v>658</v>
      </c>
      <c r="Q20" s="234" t="s">
        <v>666</v>
      </c>
      <c r="R20" s="234" t="s">
        <v>658</v>
      </c>
      <c r="S20" s="234" t="s">
        <v>666</v>
      </c>
      <c r="T20" s="234" t="s">
        <v>658</v>
      </c>
    </row>
    <row r="21" spans="1:21" ht="15.75">
      <c r="A21" s="225"/>
      <c r="B21" s="227"/>
      <c r="C21" s="743" t="s">
        <v>1011</v>
      </c>
      <c r="D21" s="743" t="s">
        <v>1012</v>
      </c>
      <c r="E21" s="330"/>
      <c r="F21" s="479"/>
      <c r="G21" s="479"/>
      <c r="I21" s="225"/>
      <c r="J21" s="225"/>
      <c r="K21" s="234" t="s">
        <v>659</v>
      </c>
      <c r="L21" s="234" t="s">
        <v>660</v>
      </c>
      <c r="M21" s="234" t="s">
        <v>7</v>
      </c>
      <c r="N21" s="222"/>
      <c r="O21" s="222"/>
      <c r="P21" s="222"/>
      <c r="Q21" s="965" t="s">
        <v>1425</v>
      </c>
      <c r="R21" s="259"/>
      <c r="S21" s="965" t="s">
        <v>1424</v>
      </c>
      <c r="T21" s="259"/>
      <c r="U21" s="69"/>
    </row>
    <row r="22" spans="1:21" ht="15.75" customHeight="1">
      <c r="A22" s="260"/>
      <c r="B22" s="475" t="s">
        <v>661</v>
      </c>
      <c r="C22" s="359"/>
      <c r="D22" s="359"/>
      <c r="E22" s="337"/>
      <c r="F22" s="549"/>
      <c r="G22" s="549"/>
      <c r="H22" s="225"/>
      <c r="I22" s="225"/>
      <c r="J22" s="225"/>
      <c r="K22" s="550">
        <v>6</v>
      </c>
      <c r="L22" s="550">
        <f>P14</f>
        <v>0.68400000000000005</v>
      </c>
      <c r="M22" s="360" t="e">
        <f>IF(L22&lt;=P$16,IF(L22="","",cubic_spline_safe(P$13:P$16,Q$13:Q$16,L22)),cubic_spline_safe(N$29:N$41,O$29:O$41,L22)*Q$13)</f>
        <v>#VALUE!</v>
      </c>
      <c r="N22" s="361" t="e">
        <f>IF(M22="","",M22/Q$13)</f>
        <v>#VALUE!</v>
      </c>
      <c r="O22" s="362" t="e">
        <f ca="1">IF(L22="","",(VLOOKUP(C$37&amp;"",A$55:E$63,2,FALSE)+VLOOKUP(C$37&amp;"",A$55:E$63,3,FALSE)*L22+VLOOKUP(C$37&amp;"",A$55:E$63,4,FALSE)*L22^2+VLOOKUP(C$37&amp;"",A$55:E$63,5,FALSE)*L22^3)*Q$13)</f>
        <v>#VALUE!</v>
      </c>
      <c r="P22" s="363" t="e">
        <f ca="1">IF(O22="","",(M22-O22)/O22*100)</f>
        <v>#VALUE!</v>
      </c>
      <c r="Q22" s="362" t="e">
        <f ca="1">IF(L22="","",cubic_spline_safe(A$70:A$84,OFFSET(A$70:A$84,0,MATCH(C$37&amp;"",B$68:I$68,0)),L22)*Q$13)</f>
        <v>#VALUE!</v>
      </c>
      <c r="R22" s="966" t="e">
        <f ca="1">(M22-Q22)/Q22*100</f>
        <v>#VALUE!</v>
      </c>
      <c r="S22" s="362" t="e">
        <f ca="1">(1+EXP((L$91-0.57)/L$92))/(1+EXP((L$91-P14)/L$92))*Q$13</f>
        <v>#VALUE!</v>
      </c>
      <c r="T22" s="363" t="e">
        <f ca="1">(M22-S22)/S22*100</f>
        <v>#VALUE!</v>
      </c>
      <c r="U22" s="69"/>
    </row>
    <row r="23" spans="1:21" ht="15.75" customHeight="1">
      <c r="A23" s="260"/>
      <c r="B23" s="476" t="s">
        <v>662</v>
      </c>
      <c r="C23" s="359"/>
      <c r="D23" s="359"/>
      <c r="E23" s="337"/>
      <c r="F23" s="549"/>
      <c r="G23" s="549"/>
      <c r="H23" s="225"/>
      <c r="I23" s="225"/>
      <c r="J23" s="225"/>
      <c r="K23" s="550">
        <v>10</v>
      </c>
      <c r="L23" s="550">
        <f t="shared" ref="L23:L24" si="0">P15</f>
        <v>0.73299999999999998</v>
      </c>
      <c r="M23" s="360" t="e">
        <f>IF(L23&lt;=P$16,IF(L23="","",cubic_spline_safe(P$13:P$16,Q$13:Q$16,L23)),cubic_spline_safe(N$29:N$41,O$29:O$41,L23)*Q$13)</f>
        <v>#VALUE!</v>
      </c>
      <c r="N23" s="361" t="e">
        <f>IF(M23="","",M23/Q$13)</f>
        <v>#VALUE!</v>
      </c>
      <c r="O23" s="362" t="e">
        <f ca="1">IF(L23="","",(VLOOKUP(C$37&amp;"",A$55:E$63,2,FALSE)+VLOOKUP(C$37&amp;"",A$55:E$63,3,FALSE)*L23+VLOOKUP(C$37&amp;"",A$55:E$63,4,FALSE)*L23^2+VLOOKUP(C$37&amp;"",A$55:E$63,5,FALSE)*L23^3)*Q$13)</f>
        <v>#VALUE!</v>
      </c>
      <c r="P23" s="363" t="e">
        <f ca="1">IF(O23="","",(M23-O23)/O23*100)</f>
        <v>#VALUE!</v>
      </c>
      <c r="Q23" s="362" t="e">
        <f ca="1">IF(L23="","",cubic_spline_safe(A$70:A$84,OFFSET(A$70:A$84,0,MATCH(C$37&amp;"",B$68:I$68,0)),L23)*Q$13)</f>
        <v>#VALUE!</v>
      </c>
      <c r="R23" s="966" t="e">
        <f ca="1">(M23-Q23)/Q23*100</f>
        <v>#VALUE!</v>
      </c>
      <c r="S23" s="362" t="e">
        <f t="shared" ref="S23:S24" ca="1" si="1">(1+EXP((L$91-0.57)/L$92))/(1+EXP((L$91-P15)/L$92))*Q$13</f>
        <v>#VALUE!</v>
      </c>
      <c r="T23" s="363" t="e">
        <f t="shared" ref="T23:T24" ca="1" si="2">(M23-S23)/S23*100</f>
        <v>#VALUE!</v>
      </c>
      <c r="U23" s="69"/>
    </row>
    <row r="24" spans="1:21" ht="15.75" customHeight="1">
      <c r="A24" s="261"/>
      <c r="B24" s="475" t="s">
        <v>663</v>
      </c>
      <c r="C24" s="359"/>
      <c r="D24" s="957"/>
      <c r="E24" s="337"/>
      <c r="F24" s="549"/>
      <c r="G24" s="549"/>
      <c r="H24" s="225"/>
      <c r="I24" s="225"/>
      <c r="J24" s="258"/>
      <c r="K24" s="550">
        <v>18</v>
      </c>
      <c r="L24" s="550">
        <f t="shared" si="0"/>
        <v>0.77900000000000003</v>
      </c>
      <c r="M24" s="360" t="e">
        <f>IF(L24&lt;=P$16,IF(L24="","",cubic_spline_safe(P$13:P$16,Q$13:Q$16,L24)),cubic_spline_safe(N$29:N$41,O$29:O$41,L24)*Q$13)</f>
        <v>#VALUE!</v>
      </c>
      <c r="N24" s="361" t="e">
        <f>IF(M24="","",M24/Q$13)</f>
        <v>#VALUE!</v>
      </c>
      <c r="O24" s="362" t="e">
        <f ca="1">IF(L24="","",(VLOOKUP(C$37&amp;"",A$55:E$63,2,FALSE)+VLOOKUP(C$37&amp;"",A$55:E$63,3,FALSE)*L24+VLOOKUP(C$37&amp;"",A$55:E$63,4,FALSE)*L24^2+VLOOKUP(C$37&amp;"",A$55:E$63,5,FALSE)*L24^3)*Q$13)</f>
        <v>#VALUE!</v>
      </c>
      <c r="P24" s="363" t="e">
        <f ca="1">IF(O24="","",(M24-O24)/O24*100)</f>
        <v>#VALUE!</v>
      </c>
      <c r="Q24" s="362" t="e">
        <f ca="1">IF(L24="","",cubic_spline_safe(A$70:A$84,OFFSET(A$70:A$84,0,MATCH(C$37&amp;"",B$68:I$68,0)),L24)*Q$13)</f>
        <v>#VALUE!</v>
      </c>
      <c r="R24" s="966" t="e">
        <f ca="1">(M24-Q24)/Q24*100</f>
        <v>#VALUE!</v>
      </c>
      <c r="S24" s="362" t="e">
        <f t="shared" ca="1" si="1"/>
        <v>#VALUE!</v>
      </c>
      <c r="T24" s="363" t="e">
        <f t="shared" ca="1" si="2"/>
        <v>#VALUE!</v>
      </c>
      <c r="U24" s="69"/>
    </row>
    <row r="25" spans="1:21" ht="15.75" customHeight="1">
      <c r="A25" s="262"/>
      <c r="B25" s="258"/>
      <c r="C25" s="477"/>
      <c r="D25" s="477"/>
      <c r="E25" s="478"/>
      <c r="F25" s="225"/>
      <c r="G25" s="225"/>
      <c r="H25" s="225"/>
      <c r="I25" s="225"/>
      <c r="J25" s="225"/>
      <c r="K25" s="550"/>
      <c r="L25" s="550"/>
      <c r="M25" s="360"/>
      <c r="N25" s="361"/>
      <c r="O25" s="362"/>
      <c r="P25" s="363"/>
      <c r="Q25" s="362"/>
      <c r="R25" s="363"/>
      <c r="S25" s="362"/>
      <c r="T25" s="363"/>
      <c r="U25" s="69"/>
    </row>
    <row r="26" spans="1:21" ht="15.75" customHeight="1">
      <c r="A26" s="229" t="s">
        <v>1434</v>
      </c>
      <c r="I26" s="225"/>
      <c r="J26" s="225"/>
      <c r="K26" s="225"/>
      <c r="L26" s="225"/>
      <c r="M26" s="225"/>
      <c r="N26" s="225"/>
      <c r="O26" s="225"/>
      <c r="P26" s="225"/>
      <c r="Q26" s="225"/>
      <c r="R26" s="225"/>
      <c r="U26" s="69"/>
    </row>
    <row r="27" spans="1:21">
      <c r="C27" s="231" t="s">
        <v>6</v>
      </c>
      <c r="D27" s="231" t="s">
        <v>39</v>
      </c>
      <c r="E27" s="231" t="s">
        <v>658</v>
      </c>
      <c r="F27" s="231" t="s">
        <v>6</v>
      </c>
      <c r="G27" s="231" t="s">
        <v>39</v>
      </c>
      <c r="H27" s="231" t="s">
        <v>658</v>
      </c>
      <c r="I27" s="225"/>
      <c r="J27" s="225"/>
      <c r="K27" s="225"/>
      <c r="L27" s="225"/>
      <c r="M27" s="225"/>
      <c r="N27" s="225"/>
      <c r="O27" s="225"/>
      <c r="P27" s="225"/>
      <c r="Q27" s="225"/>
      <c r="R27" s="225"/>
      <c r="U27" s="69"/>
    </row>
    <row r="28" spans="1:21">
      <c r="A28" s="967" t="s">
        <v>1417</v>
      </c>
      <c r="B28" s="227"/>
      <c r="C28" s="232" t="s">
        <v>8</v>
      </c>
      <c r="D28" s="232" t="s">
        <v>8</v>
      </c>
      <c r="E28" s="497" t="str">
        <f>Client!B5</f>
        <v>CAL11957</v>
      </c>
      <c r="F28" s="232" t="s">
        <v>8</v>
      </c>
      <c r="G28" s="232" t="s">
        <v>8</v>
      </c>
      <c r="H28" s="497" t="str">
        <f>Client!B5</f>
        <v>CAL11957</v>
      </c>
      <c r="I28" s="225"/>
      <c r="J28" s="225"/>
      <c r="K28" s="228" t="s">
        <v>667</v>
      </c>
      <c r="L28" s="225"/>
      <c r="M28" s="225"/>
      <c r="N28" s="225"/>
      <c r="O28" s="225"/>
      <c r="P28" s="225"/>
      <c r="Q28" s="58" t="s">
        <v>1416</v>
      </c>
      <c r="U28" s="69"/>
    </row>
    <row r="29" spans="1:21">
      <c r="A29" s="959" t="s">
        <v>1418</v>
      </c>
      <c r="B29" s="890"/>
      <c r="C29" s="253">
        <f>Co!C25</f>
        <v>0</v>
      </c>
      <c r="D29" s="497" t="str">
        <f>Client!B5</f>
        <v>CAL11957</v>
      </c>
      <c r="E29" s="232" t="s">
        <v>5</v>
      </c>
      <c r="F29" s="232">
        <f>C29</f>
        <v>0</v>
      </c>
      <c r="G29" s="497" t="str">
        <f>Client!B5</f>
        <v>CAL11957</v>
      </c>
      <c r="H29" s="232" t="s">
        <v>5</v>
      </c>
      <c r="I29" s="225"/>
      <c r="J29" s="225"/>
      <c r="K29" s="263" t="s">
        <v>668</v>
      </c>
      <c r="L29" s="264"/>
      <c r="M29" s="264"/>
      <c r="N29" s="293">
        <v>0.55000000000000004</v>
      </c>
      <c r="O29" s="294" t="e">
        <f t="shared" ref="O29:O40" si="3">L$30*N29^2+L$31*N29+L$32</f>
        <v>#VALUE!</v>
      </c>
      <c r="P29" s="225"/>
      <c r="Q29" s="743" t="s">
        <v>660</v>
      </c>
      <c r="R29" s="743" t="s">
        <v>1063</v>
      </c>
      <c r="U29" s="69"/>
    </row>
    <row r="30" spans="1:21">
      <c r="A30" s="960" t="s">
        <v>1428</v>
      </c>
      <c r="B30" s="227"/>
      <c r="C30" s="233" t="s">
        <v>943</v>
      </c>
      <c r="D30" s="233" t="s">
        <v>943</v>
      </c>
      <c r="E30" s="232">
        <f>C29</f>
        <v>0</v>
      </c>
      <c r="F30" s="233" t="s">
        <v>1172</v>
      </c>
      <c r="G30" s="233" t="s">
        <v>1172</v>
      </c>
      <c r="H30" s="232">
        <f>C29</f>
        <v>0</v>
      </c>
      <c r="I30" s="225"/>
      <c r="J30" s="225"/>
      <c r="K30" s="256" t="s">
        <v>669</v>
      </c>
      <c r="L30" s="779" t="e">
        <f>INDEX(LINEST(R13:R16,Q30:R33),1)</f>
        <v>#VALUE!</v>
      </c>
      <c r="M30" s="265"/>
      <c r="N30" s="293">
        <v>0.57499999999999996</v>
      </c>
      <c r="O30" s="294" t="e">
        <f t="shared" si="3"/>
        <v>#VALUE!</v>
      </c>
      <c r="P30" s="225"/>
      <c r="Q30" s="244">
        <f>P13</f>
        <v>0.56899999999999995</v>
      </c>
      <c r="R30" s="244">
        <f>Q30^2</f>
        <v>0.32376099999999997</v>
      </c>
      <c r="U30" s="69"/>
    </row>
    <row r="31" spans="1:21">
      <c r="A31" s="893"/>
      <c r="B31" s="223" t="s">
        <v>661</v>
      </c>
      <c r="C31" s="293" t="str">
        <f>IF(A31="","",IF(A$29="Synergy",R$42*R31+R$43*Q31+R$44,A31/A$34))</f>
        <v/>
      </c>
      <c r="D31" s="494" t="e">
        <f>R14</f>
        <v>#DIV/0!</v>
      </c>
      <c r="E31" s="292" t="str">
        <f>IF(C31="","",(D31-C31)/C31*100)</f>
        <v/>
      </c>
      <c r="F31" s="962" t="e">
        <f>IF(A$29="","",IF(A$29="Synergy",C31*A$34,A31))</f>
        <v>#VALUE!</v>
      </c>
      <c r="G31" s="699" t="e">
        <f>Q14</f>
        <v>#DIV/0!</v>
      </c>
      <c r="H31" s="292" t="e">
        <f>IF(F31="","",(G31-F31)/F31*100)</f>
        <v>#VALUE!</v>
      </c>
      <c r="I31" s="225"/>
      <c r="J31" s="225"/>
      <c r="K31" s="256" t="s">
        <v>670</v>
      </c>
      <c r="L31" s="779" t="e">
        <f>INDEX(LINEST(R13:R16,Q30:R33),1,2)</f>
        <v>#VALUE!</v>
      </c>
      <c r="M31" s="265"/>
      <c r="N31" s="293">
        <v>0.6</v>
      </c>
      <c r="O31" s="294" t="e">
        <f t="shared" si="3"/>
        <v>#VALUE!</v>
      </c>
      <c r="P31" s="225"/>
      <c r="Q31" s="248">
        <f>P14</f>
        <v>0.68400000000000005</v>
      </c>
      <c r="R31" s="248">
        <f>Q31^2</f>
        <v>0.46785600000000005</v>
      </c>
      <c r="U31" s="69"/>
    </row>
    <row r="32" spans="1:21">
      <c r="A32" s="894"/>
      <c r="B32" s="236" t="s">
        <v>662</v>
      </c>
      <c r="C32" s="293" t="str">
        <f>IF(A32="","",IF(A$29="Synergy",R$42*R32+R$43*Q32+R$44,A32/A$34))</f>
        <v/>
      </c>
      <c r="D32" s="495" t="e">
        <f>R15</f>
        <v>#DIV/0!</v>
      </c>
      <c r="E32" s="292" t="str">
        <f>IF(C32="","",(D32-C32)/C32*100)</f>
        <v/>
      </c>
      <c r="F32" s="962" t="e">
        <f>IF(A$29="","",IF(A$29="Synergy",C32*A$34,A32))</f>
        <v>#VALUE!</v>
      </c>
      <c r="G32" s="699" t="e">
        <f>Q15</f>
        <v>#DIV/0!</v>
      </c>
      <c r="H32" s="292" t="e">
        <f>IF(F32="","",(G32-F32)/F32*100)</f>
        <v>#VALUE!</v>
      </c>
      <c r="I32" s="225"/>
      <c r="J32" s="225"/>
      <c r="K32" s="256" t="s">
        <v>671</v>
      </c>
      <c r="L32" s="779" t="e">
        <f>INDEX(LINEST(R13:R16,Q30:R33),1,3)</f>
        <v>#VALUE!</v>
      </c>
      <c r="M32" s="265"/>
      <c r="N32" s="293">
        <v>0.625</v>
      </c>
      <c r="O32" s="294" t="e">
        <f t="shared" si="3"/>
        <v>#VALUE!</v>
      </c>
      <c r="P32" s="225"/>
      <c r="Q32" s="248">
        <f>P15</f>
        <v>0.73299999999999998</v>
      </c>
      <c r="R32" s="248">
        <f>Q32^2</f>
        <v>0.53728900000000002</v>
      </c>
      <c r="U32" s="69"/>
    </row>
    <row r="33" spans="1:27">
      <c r="A33" s="741"/>
      <c r="B33" s="223" t="s">
        <v>663</v>
      </c>
      <c r="C33" s="293" t="str">
        <f>IF(A33="","",IF(A$29="Synergy",R$42*R33+R$43*Q33+R$44,A33/A$34))</f>
        <v/>
      </c>
      <c r="D33" s="495" t="e">
        <f>R16</f>
        <v>#DIV/0!</v>
      </c>
      <c r="E33" s="292" t="str">
        <f>IF(C33="","",(D33-C33)/C33*100)</f>
        <v/>
      </c>
      <c r="F33" s="962" t="e">
        <f>IF(A$29="","",IF(A$29="Synergy",C33*A$34,A33))</f>
        <v>#VALUE!</v>
      </c>
      <c r="G33" s="699" t="e">
        <f>Q16</f>
        <v>#DIV/0!</v>
      </c>
      <c r="H33" s="292" t="e">
        <f>IF(F33="","",(G33-F33)/F33*100)</f>
        <v>#VALUE!</v>
      </c>
      <c r="I33" s="225"/>
      <c r="J33" s="225"/>
      <c r="K33" s="266"/>
      <c r="L33" s="265"/>
      <c r="M33" s="265"/>
      <c r="N33" s="293">
        <v>0.65</v>
      </c>
      <c r="O33" s="294" t="e">
        <f t="shared" si="3"/>
        <v>#VALUE!</v>
      </c>
      <c r="P33" s="225"/>
      <c r="Q33" s="778">
        <f>P16</f>
        <v>0.77900000000000003</v>
      </c>
      <c r="R33" s="778">
        <f>Q33^2</f>
        <v>0.60684100000000007</v>
      </c>
      <c r="S33" s="225"/>
      <c r="U33" s="69"/>
      <c r="V33" s="225"/>
      <c r="W33" s="225"/>
      <c r="X33" s="225"/>
      <c r="Y33" s="225"/>
      <c r="Z33" s="225"/>
      <c r="AA33" s="225"/>
    </row>
    <row r="34" spans="1:27">
      <c r="A34" s="891"/>
      <c r="B34" s="223" t="s">
        <v>134</v>
      </c>
      <c r="C34" s="541"/>
      <c r="D34" s="542"/>
      <c r="E34" s="892" t="s">
        <v>1193</v>
      </c>
      <c r="F34" s="962">
        <f>A34</f>
        <v>0</v>
      </c>
      <c r="G34" s="699" t="e">
        <f>Q13</f>
        <v>#VALUE!</v>
      </c>
      <c r="H34" s="292" t="e">
        <f>IF(F34="","",(G34-F34)/F34*100)</f>
        <v>#VALUE!</v>
      </c>
      <c r="I34" s="225"/>
      <c r="J34" s="225"/>
      <c r="K34" s="266"/>
      <c r="L34" s="265"/>
      <c r="M34" s="265"/>
      <c r="N34" s="293">
        <v>0.67500000000000004</v>
      </c>
      <c r="O34" s="294" t="e">
        <f t="shared" si="3"/>
        <v>#VALUE!</v>
      </c>
      <c r="P34" s="225"/>
      <c r="Q34" s="225"/>
      <c r="R34" s="225"/>
      <c r="S34" s="225"/>
      <c r="U34" s="69"/>
      <c r="V34" s="225"/>
      <c r="W34" s="225"/>
      <c r="X34" s="225"/>
      <c r="Y34" s="225"/>
      <c r="Z34" s="225"/>
      <c r="AA34" s="225"/>
    </row>
    <row r="35" spans="1:27">
      <c r="A35" s="225"/>
      <c r="B35" s="225"/>
      <c r="C35" s="225"/>
      <c r="D35" s="225"/>
      <c r="E35" s="225"/>
      <c r="F35" s="225"/>
      <c r="G35" s="225"/>
      <c r="H35" s="225"/>
      <c r="I35" s="225"/>
      <c r="J35" s="225"/>
      <c r="K35" s="266"/>
      <c r="L35" s="265"/>
      <c r="M35" s="265"/>
      <c r="N35" s="293">
        <v>0.69999999999999896</v>
      </c>
      <c r="O35" s="294" t="e">
        <f t="shared" si="3"/>
        <v>#VALUE!</v>
      </c>
      <c r="P35" s="225"/>
      <c r="Q35" s="58" t="s">
        <v>1460</v>
      </c>
      <c r="S35" s="225"/>
      <c r="U35" s="69"/>
      <c r="V35" s="225"/>
      <c r="W35" s="225"/>
      <c r="X35" s="225"/>
      <c r="Y35" s="225"/>
      <c r="Z35" s="226"/>
      <c r="AA35" s="226"/>
    </row>
    <row r="36" spans="1:27">
      <c r="A36" s="225"/>
      <c r="B36" s="225"/>
      <c r="C36" s="225"/>
      <c r="D36" s="225"/>
      <c r="E36" s="225"/>
      <c r="F36" s="225"/>
      <c r="G36" s="225"/>
      <c r="H36" s="225"/>
      <c r="I36" s="225"/>
      <c r="J36" s="225"/>
      <c r="K36" s="266"/>
      <c r="L36" s="265"/>
      <c r="M36" s="265"/>
      <c r="N36" s="293">
        <v>0.72499999999999898</v>
      </c>
      <c r="O36" s="294" t="e">
        <f t="shared" si="3"/>
        <v>#VALUE!</v>
      </c>
      <c r="P36" s="225"/>
      <c r="Q36" s="743" t="s">
        <v>660</v>
      </c>
      <c r="R36" s="743" t="s">
        <v>1063</v>
      </c>
      <c r="S36" s="225"/>
      <c r="U36" s="69"/>
      <c r="V36" s="225"/>
      <c r="W36" s="225"/>
      <c r="X36" s="225"/>
      <c r="Y36" s="225"/>
      <c r="Z36" s="225"/>
      <c r="AA36" s="225"/>
    </row>
    <row r="37" spans="1:27">
      <c r="A37" s="228" t="s">
        <v>672</v>
      </c>
      <c r="B37" s="225"/>
      <c r="C37" s="865" t="str">
        <f ca="1">IF(Client!$B$29="","",Client!$Y$8)</f>
        <v>FC65-G</v>
      </c>
      <c r="D37" s="930" t="s">
        <v>1172</v>
      </c>
      <c r="E37" s="863"/>
      <c r="F37" s="225"/>
      <c r="G37" s="225"/>
      <c r="H37" s="225"/>
      <c r="I37" s="225"/>
      <c r="J37" s="225"/>
      <c r="K37" s="266"/>
      <c r="L37" s="265"/>
      <c r="M37" s="265"/>
      <c r="N37" s="293">
        <v>0.749999999999999</v>
      </c>
      <c r="O37" s="294" t="e">
        <f t="shared" si="3"/>
        <v>#VALUE!</v>
      </c>
      <c r="P37" s="225"/>
      <c r="Q37" s="244">
        <v>0.56899999999999995</v>
      </c>
      <c r="R37" s="244">
        <f>Q37^2</f>
        <v>0.32376099999999997</v>
      </c>
      <c r="S37" s="225"/>
      <c r="U37" s="69"/>
      <c r="V37" s="225"/>
      <c r="W37" s="225"/>
      <c r="X37" s="225"/>
      <c r="Y37" s="225"/>
      <c r="Z37" s="225"/>
      <c r="AA37" s="225"/>
    </row>
    <row r="38" spans="1:27">
      <c r="A38" s="225"/>
      <c r="B38" s="225"/>
      <c r="C38" s="225"/>
      <c r="D38" s="225"/>
      <c r="E38" s="225"/>
      <c r="F38" s="225"/>
      <c r="G38" s="225"/>
      <c r="H38" s="225"/>
      <c r="I38" s="225"/>
      <c r="J38" s="225"/>
      <c r="K38" s="266"/>
      <c r="L38" s="265"/>
      <c r="M38" s="265"/>
      <c r="N38" s="293">
        <v>0.77499999999999902</v>
      </c>
      <c r="O38" s="294" t="e">
        <f t="shared" si="3"/>
        <v>#VALUE!</v>
      </c>
      <c r="P38" s="225"/>
      <c r="Q38" s="248">
        <v>0.67300000000000004</v>
      </c>
      <c r="R38" s="248">
        <f>Q38^2</f>
        <v>0.45292900000000008</v>
      </c>
      <c r="S38" s="225"/>
      <c r="U38" s="69"/>
      <c r="V38" s="225"/>
      <c r="W38" s="225"/>
      <c r="X38" s="225"/>
      <c r="Y38" s="225"/>
      <c r="Z38" s="225"/>
      <c r="AA38" s="225"/>
    </row>
    <row r="39" spans="1:27">
      <c r="A39" s="235" t="s">
        <v>174</v>
      </c>
      <c r="B39" s="235"/>
      <c r="C39" s="231" t="s">
        <v>56</v>
      </c>
      <c r="D39" s="231" t="s">
        <v>172</v>
      </c>
      <c r="E39" s="231" t="s">
        <v>2</v>
      </c>
      <c r="F39" s="231" t="s">
        <v>1</v>
      </c>
      <c r="G39" s="488" t="s">
        <v>2</v>
      </c>
      <c r="H39" s="269"/>
      <c r="I39" s="225"/>
      <c r="J39" s="225"/>
      <c r="K39" s="266"/>
      <c r="L39" s="265"/>
      <c r="M39" s="265"/>
      <c r="N39" s="293">
        <v>0.79999999999999905</v>
      </c>
      <c r="O39" s="294" t="e">
        <f t="shared" si="3"/>
        <v>#VALUE!</v>
      </c>
      <c r="P39" s="225"/>
      <c r="Q39" s="248">
        <v>0.73399999999999999</v>
      </c>
      <c r="R39" s="248">
        <f>Q39^2</f>
        <v>0.53875600000000001</v>
      </c>
      <c r="S39" s="225"/>
      <c r="U39" s="69"/>
      <c r="V39" s="225"/>
      <c r="W39" s="225"/>
      <c r="X39" s="225"/>
      <c r="Y39" s="225"/>
      <c r="Z39" s="225"/>
      <c r="AA39" s="225"/>
    </row>
    <row r="40" spans="1:27">
      <c r="A40" s="251" t="s">
        <v>175</v>
      </c>
      <c r="B40" s="251" t="s">
        <v>673</v>
      </c>
      <c r="C40" s="232" t="s">
        <v>169</v>
      </c>
      <c r="D40" s="251" t="s">
        <v>176</v>
      </c>
      <c r="E40" s="232" t="s">
        <v>4</v>
      </c>
      <c r="F40" s="232" t="s">
        <v>168</v>
      </c>
      <c r="G40" s="489" t="s">
        <v>177</v>
      </c>
      <c r="H40" s="269"/>
      <c r="I40" s="225"/>
      <c r="J40" s="225"/>
      <c r="K40" s="266"/>
      <c r="L40" s="265"/>
      <c r="M40" s="265"/>
      <c r="N40" s="293">
        <v>0.82499999999999896</v>
      </c>
      <c r="O40" s="294" t="e">
        <f t="shared" si="3"/>
        <v>#VALUE!</v>
      </c>
      <c r="P40" s="225"/>
      <c r="Q40" s="778">
        <v>0.77700000000000002</v>
      </c>
      <c r="R40" s="778">
        <f>Q40^2</f>
        <v>0.60372900000000007</v>
      </c>
      <c r="S40" s="225"/>
      <c r="U40" s="69"/>
      <c r="V40" s="225"/>
      <c r="W40" s="225"/>
      <c r="X40" s="225"/>
      <c r="Y40" s="225"/>
      <c r="Z40" s="225"/>
      <c r="AA40" s="225"/>
    </row>
    <row r="41" spans="1:27">
      <c r="A41" s="233"/>
      <c r="B41" s="233"/>
      <c r="C41" s="233" t="s">
        <v>173</v>
      </c>
      <c r="D41" s="252" t="s">
        <v>1</v>
      </c>
      <c r="E41" s="233" t="s">
        <v>649</v>
      </c>
      <c r="F41" s="233" t="s">
        <v>38</v>
      </c>
      <c r="G41" s="490" t="s">
        <v>112</v>
      </c>
      <c r="H41" s="269"/>
      <c r="I41" s="254"/>
      <c r="J41" s="225"/>
      <c r="K41" s="267"/>
      <c r="L41" s="268"/>
      <c r="M41" s="268"/>
      <c r="N41" s="293">
        <v>0.84999999999999898</v>
      </c>
      <c r="O41" s="294" t="e">
        <f>L$30*N41^2+L$31*N41+L$32</f>
        <v>#VALUE!</v>
      </c>
      <c r="P41" s="225"/>
      <c r="Q41" s="263" t="s">
        <v>668</v>
      </c>
      <c r="R41" s="264"/>
      <c r="S41" s="225"/>
      <c r="U41" s="69"/>
      <c r="V41" s="225"/>
      <c r="W41" s="225"/>
      <c r="X41" s="225"/>
      <c r="Y41" s="225"/>
      <c r="Z41" s="225"/>
      <c r="AA41" s="225"/>
    </row>
    <row r="42" spans="1:27">
      <c r="A42" s="227"/>
      <c r="B42" s="227"/>
      <c r="C42" s="227"/>
      <c r="D42" s="227"/>
      <c r="E42" s="227"/>
      <c r="F42" s="227"/>
      <c r="G42" s="225"/>
      <c r="H42" s="270"/>
      <c r="I42" s="254"/>
      <c r="J42" s="225"/>
      <c r="K42" s="225"/>
      <c r="L42" s="225"/>
      <c r="M42" s="225"/>
      <c r="N42" s="225"/>
      <c r="O42" s="225"/>
      <c r="P42" s="225"/>
      <c r="Q42" s="256" t="s">
        <v>669</v>
      </c>
      <c r="R42" s="779" t="e">
        <f>INDEX(LINEST(R45:R48,Q37:R40),1)</f>
        <v>#VALUE!</v>
      </c>
      <c r="S42" s="225"/>
      <c r="U42" s="69"/>
      <c r="V42" s="225"/>
      <c r="W42" s="225"/>
      <c r="X42" s="225"/>
      <c r="Y42" s="225"/>
      <c r="Z42" s="225"/>
      <c r="AA42" s="225"/>
    </row>
    <row r="43" spans="1:27">
      <c r="A43" s="304" t="str">
        <f ca="1" xml:space="preserve"> C37</f>
        <v>FC65-G</v>
      </c>
      <c r="B43" s="859" t="s">
        <v>661</v>
      </c>
      <c r="C43" s="300" t="str">
        <f t="array" aca="1" ref="C43" ca="1">IF(D43="kQ",VLOOKUP($C$37&amp;"",TRIM(Limits!$B$31:$K$44),5,FALSE),VLOOKUP($C$37&amp;"",TRIM(Limits!$B$31:$Q$44),11,FALSE))</f>
        <v>47.50</v>
      </c>
      <c r="D43" s="302" t="str">
        <f>D37</f>
        <v>ND,w</v>
      </c>
      <c r="E43" s="286" t="e">
        <f>IF($D$37 = "kQ", R14,Q14)</f>
        <v>#DIV/0!</v>
      </c>
      <c r="H43" s="492"/>
      <c r="I43" s="254"/>
      <c r="J43" s="225"/>
      <c r="K43" s="225"/>
      <c r="L43" s="225"/>
      <c r="M43" s="225"/>
      <c r="N43" s="225"/>
      <c r="O43" s="225"/>
      <c r="P43" s="225"/>
      <c r="Q43" s="256" t="s">
        <v>670</v>
      </c>
      <c r="R43" s="779" t="e">
        <f>INDEX(LINEST(R45:R48,Q37:R40),1,2)</f>
        <v>#VALUE!</v>
      </c>
      <c r="S43" s="225"/>
      <c r="U43" s="69"/>
      <c r="V43" s="225"/>
      <c r="W43" s="225"/>
      <c r="X43" s="225"/>
      <c r="Y43" s="225"/>
      <c r="Z43" s="225"/>
      <c r="AA43" s="225"/>
    </row>
    <row r="44" spans="1:27">
      <c r="A44" s="190"/>
      <c r="B44" s="190"/>
      <c r="C44" s="190"/>
      <c r="D44" s="297" t="s">
        <v>167</v>
      </c>
      <c r="E44" s="298" t="e">
        <f ca="1">(E43-C43)/C43*100</f>
        <v>#DIV/0!</v>
      </c>
      <c r="F44" s="299" t="str">
        <f t="array" aca="1" ref="F44" ca="1">IF(D43="kQ",VLOOKUP($C$37&amp;"",TRIM(Limits!$B$31:$K$44),6,FALSE),VLOOKUP($C$37&amp;"",TRIM(Limits!$B$31:$Q$44),12,FALSE))</f>
        <v>0.7</v>
      </c>
      <c r="G44" s="491" t="e">
        <f ca="1">ABS(E44/F44)</f>
        <v>#DIV/0!</v>
      </c>
      <c r="H44" s="493"/>
      <c r="I44" s="257"/>
      <c r="J44" s="225"/>
      <c r="K44" s="228" t="s">
        <v>1420</v>
      </c>
      <c r="L44" s="225"/>
      <c r="M44" s="225"/>
      <c r="N44" s="225"/>
      <c r="O44" s="225"/>
      <c r="P44" s="225"/>
      <c r="Q44" s="256" t="s">
        <v>671</v>
      </c>
      <c r="R44" s="779" t="e">
        <f>INDEX(LINEST(R45:R48,Q37:R40),1,3)</f>
        <v>#VALUE!</v>
      </c>
      <c r="S44" s="225"/>
      <c r="U44" s="69"/>
      <c r="V44" s="225"/>
      <c r="W44" s="225"/>
      <c r="X44" s="225"/>
      <c r="Y44" s="225"/>
      <c r="Z44" s="225"/>
      <c r="AA44" s="225"/>
    </row>
    <row r="45" spans="1:27">
      <c r="H45" s="492"/>
      <c r="I45" s="339"/>
      <c r="J45" s="225"/>
      <c r="K45" s="301"/>
      <c r="L45" s="302" t="s">
        <v>654</v>
      </c>
      <c r="M45" s="302" t="s">
        <v>655</v>
      </c>
      <c r="N45" s="225"/>
      <c r="O45" s="225"/>
      <c r="P45" s="225"/>
      <c r="Q45" s="234" t="s">
        <v>134</v>
      </c>
      <c r="R45" s="234">
        <v>1</v>
      </c>
      <c r="S45" s="225"/>
      <c r="T45" s="225"/>
      <c r="U45" s="225"/>
      <c r="V45" s="225"/>
      <c r="W45" s="225"/>
      <c r="X45" s="225"/>
      <c r="Y45" s="225"/>
      <c r="Z45" s="225"/>
      <c r="AA45" s="225"/>
    </row>
    <row r="46" spans="1:27">
      <c r="A46" s="295" t="str">
        <f ca="1">C37</f>
        <v>FC65-G</v>
      </c>
      <c r="B46" s="295" t="s">
        <v>662</v>
      </c>
      <c r="C46" s="300" t="str">
        <f t="array" aca="1" ref="C46" ca="1">IF(D46="kQ",VLOOKUP($C$37&amp;"",TRIM(Limits!$B$31:$K$44),7,FALSE),VLOOKUP($C$37&amp;"",TRIM(Limits!$B$31:$Q$44),13,FALSE))</f>
        <v>46.89</v>
      </c>
      <c r="D46" s="302" t="str">
        <f>D37</f>
        <v>ND,w</v>
      </c>
      <c r="E46" s="286" t="e">
        <f>IF($D$37 = "kQ", R15,Q15)</f>
        <v>#DIV/0!</v>
      </c>
      <c r="H46" s="492"/>
      <c r="I46" s="496"/>
      <c r="J46" s="225"/>
      <c r="K46" s="302" t="s">
        <v>659</v>
      </c>
      <c r="L46" s="302" t="s">
        <v>660</v>
      </c>
      <c r="M46" s="302" t="s">
        <v>7</v>
      </c>
      <c r="N46" s="225"/>
      <c r="O46" s="225"/>
      <c r="P46" s="225"/>
      <c r="Q46" s="222">
        <v>6</v>
      </c>
      <c r="R46" s="961" t="e">
        <f>A31/A34</f>
        <v>#DIV/0!</v>
      </c>
      <c r="S46" s="225"/>
      <c r="T46" s="225"/>
      <c r="U46" s="225"/>
      <c r="V46" s="225"/>
      <c r="W46" s="225"/>
      <c r="X46" s="225"/>
      <c r="Y46" s="225"/>
      <c r="Z46" s="225"/>
      <c r="AA46" s="225"/>
    </row>
    <row r="47" spans="1:27">
      <c r="A47" s="190"/>
      <c r="B47" s="190"/>
      <c r="C47" s="190"/>
      <c r="D47" s="297" t="s">
        <v>167</v>
      </c>
      <c r="E47" s="298" t="e">
        <f ca="1">(E46-C46)/C46*100</f>
        <v>#DIV/0!</v>
      </c>
      <c r="F47" s="299" t="str">
        <f t="array" aca="1" ref="F47" ca="1">IF(D46="kQ",VLOOKUP($C$37&amp;"",TRIM(Limits!$B$31:$K$44),8,FALSE),VLOOKUP($C$37&amp;"",TRIM(Limits!$B$31:$Q$44),14,FALSE))</f>
        <v>0.6</v>
      </c>
      <c r="G47" s="491" t="e">
        <f ca="1">ABS(E47/F47)</f>
        <v>#DIV/0!</v>
      </c>
      <c r="H47" s="493"/>
      <c r="I47" s="339"/>
      <c r="J47" s="225"/>
      <c r="K47" s="302" t="s">
        <v>674</v>
      </c>
      <c r="L47" s="190">
        <f>L48-0.001</f>
        <v>0.77800000000000002</v>
      </c>
      <c r="M47" s="302" t="e">
        <f>IF(L47="","",cubic_spline_safe(P$13:P$16,Q$13:Q$16,L47))</f>
        <v>#VALUE!</v>
      </c>
      <c r="N47" s="225"/>
      <c r="O47" s="225"/>
      <c r="P47" s="225"/>
      <c r="Q47" s="222">
        <v>10</v>
      </c>
      <c r="R47" s="961" t="e">
        <f>A32/A34</f>
        <v>#DIV/0!</v>
      </c>
      <c r="S47" s="225"/>
      <c r="T47" s="225"/>
      <c r="U47" s="225"/>
      <c r="V47" s="225"/>
      <c r="W47" s="225"/>
      <c r="X47" s="225"/>
      <c r="Y47" s="225"/>
      <c r="Z47" s="225"/>
      <c r="AA47" s="225"/>
    </row>
    <row r="48" spans="1:27">
      <c r="H48" s="492"/>
      <c r="I48" s="339"/>
      <c r="J48" s="225"/>
      <c r="K48" s="302">
        <v>18</v>
      </c>
      <c r="L48" s="190">
        <f>P16</f>
        <v>0.77900000000000003</v>
      </c>
      <c r="M48" s="302" t="e">
        <f>IF(L48="","",cubic_spline_safe(P$13:P$16,Q$13:Q$16,L48))</f>
        <v>#VALUE!</v>
      </c>
      <c r="N48" s="225"/>
      <c r="O48" s="225"/>
      <c r="P48" s="225"/>
      <c r="Q48" s="222">
        <v>18</v>
      </c>
      <c r="R48" s="961" t="e">
        <f>A33/A34</f>
        <v>#DIV/0!</v>
      </c>
      <c r="S48" s="225"/>
      <c r="T48" s="225"/>
      <c r="U48" s="225"/>
      <c r="V48" s="225"/>
      <c r="W48" s="225"/>
      <c r="X48" s="225"/>
      <c r="Y48" s="225"/>
      <c r="Z48" s="225"/>
      <c r="AA48" s="225"/>
    </row>
    <row r="49" spans="1:26">
      <c r="A49" s="295" t="str">
        <f ca="1">C37</f>
        <v>FC65-G</v>
      </c>
      <c r="B49" s="295" t="s">
        <v>663</v>
      </c>
      <c r="C49" s="300" t="str">
        <f t="array" aca="1" ref="C49" ca="1">IF(D49="kQ",VLOOKUP($C$37&amp;"",TRIM(Limits!$B$31:$K$44),9,FALSE),VLOOKUP($C$37&amp;"",TRIM(Limits!$B$31:$Q$44),15,FALSE))</f>
        <v>46.31</v>
      </c>
      <c r="D49" s="302" t="str">
        <f>D37</f>
        <v>ND,w</v>
      </c>
      <c r="E49" s="286" t="e">
        <f>IF($D$37 = "kQ", R16,Q16)</f>
        <v>#DIV/0!</v>
      </c>
      <c r="H49" s="492"/>
      <c r="I49" s="496"/>
      <c r="J49" s="225"/>
      <c r="K49" s="303"/>
      <c r="L49" s="302" t="s">
        <v>675</v>
      </c>
      <c r="M49" s="190" t="e">
        <f>(M48-M47)/(L48-L47)</f>
        <v>#VALUE!</v>
      </c>
      <c r="N49" s="225"/>
      <c r="O49" s="227"/>
      <c r="P49" s="225"/>
      <c r="Q49" s="225"/>
      <c r="R49" s="225"/>
      <c r="S49" s="225"/>
      <c r="T49" s="225"/>
      <c r="U49" s="225"/>
      <c r="V49" s="225"/>
      <c r="W49" s="225"/>
      <c r="X49" s="225"/>
      <c r="Y49" s="225"/>
      <c r="Z49" s="225"/>
    </row>
    <row r="50" spans="1:26">
      <c r="A50" s="190"/>
      <c r="B50" s="190"/>
      <c r="C50" s="190"/>
      <c r="D50" s="297" t="s">
        <v>167</v>
      </c>
      <c r="E50" s="298" t="e">
        <f ca="1">(E49-C49)/C49*100</f>
        <v>#DIV/0!</v>
      </c>
      <c r="F50" s="299" t="str">
        <f t="array" aca="1" ref="F50" ca="1">IF(D49="kQ",VLOOKUP($C$37&amp;"",TRIM(Limits!$B$31:$K$44),10,FALSE),VLOOKUP($C$37&amp;"",TRIM(Limits!$B$31:$Q$44),16,FALSE))</f>
        <v>0.7</v>
      </c>
      <c r="G50" s="491" t="e">
        <f ca="1">ABS(E50/F50)</f>
        <v>#DIV/0!</v>
      </c>
      <c r="H50" s="493"/>
      <c r="I50" s="339"/>
      <c r="J50" s="225"/>
      <c r="K50" s="257"/>
      <c r="L50" s="254"/>
      <c r="M50" s="258"/>
      <c r="N50" s="225"/>
      <c r="O50" s="227"/>
      <c r="P50" s="225"/>
      <c r="Q50" s="225"/>
      <c r="R50" s="225"/>
      <c r="S50" s="225"/>
      <c r="T50" s="225"/>
      <c r="U50" s="225"/>
      <c r="V50" s="225"/>
      <c r="W50" s="225"/>
      <c r="X50" s="225"/>
      <c r="Y50" s="225"/>
      <c r="Z50" s="226"/>
    </row>
    <row r="51" spans="1:26">
      <c r="A51" s="225"/>
      <c r="B51" s="225"/>
      <c r="C51" s="225"/>
      <c r="D51" s="225"/>
      <c r="E51" s="225"/>
      <c r="F51" s="225"/>
      <c r="G51" s="225"/>
      <c r="H51" s="225"/>
      <c r="I51" s="339"/>
      <c r="J51" s="225"/>
      <c r="K51" s="225"/>
      <c r="L51" s="225"/>
      <c r="M51" s="225"/>
      <c r="N51" s="225"/>
      <c r="O51" s="225"/>
      <c r="P51" s="225"/>
      <c r="Q51" s="225"/>
      <c r="R51" s="225"/>
      <c r="S51" s="225"/>
      <c r="T51" s="225"/>
      <c r="U51" s="225"/>
      <c r="V51" s="225"/>
      <c r="W51" s="225"/>
      <c r="X51" s="225"/>
      <c r="Y51" s="225"/>
      <c r="Z51" s="226"/>
    </row>
    <row r="52" spans="1:26">
      <c r="A52" s="225"/>
      <c r="B52" s="225"/>
      <c r="C52" s="225"/>
      <c r="D52" s="225"/>
      <c r="E52" s="225"/>
      <c r="F52" s="225"/>
      <c r="G52" s="225"/>
      <c r="H52" s="225"/>
      <c r="I52" s="496"/>
      <c r="J52" s="225"/>
      <c r="K52" s="228" t="s">
        <v>676</v>
      </c>
      <c r="L52" s="225"/>
      <c r="M52" s="225"/>
      <c r="N52" s="225"/>
      <c r="O52" s="225"/>
      <c r="P52" s="225"/>
      <c r="Q52" s="225"/>
      <c r="R52" s="225"/>
      <c r="S52" s="225"/>
      <c r="T52" s="225"/>
      <c r="U52" s="225"/>
      <c r="V52" s="225"/>
      <c r="W52" s="225"/>
      <c r="X52" s="225"/>
      <c r="Y52" s="225"/>
      <c r="Z52" s="226"/>
    </row>
    <row r="53" spans="1:26">
      <c r="A53" s="228" t="s">
        <v>679</v>
      </c>
      <c r="B53" s="225"/>
      <c r="C53" s="225"/>
      <c r="D53" s="225"/>
      <c r="E53" s="225"/>
      <c r="F53" s="225"/>
      <c r="G53" s="225"/>
      <c r="H53" s="225"/>
      <c r="I53" s="225"/>
      <c r="J53" s="225"/>
      <c r="K53" s="250"/>
      <c r="L53" s="234" t="s">
        <v>654</v>
      </c>
      <c r="M53" s="1400" t="s">
        <v>677</v>
      </c>
      <c r="N53" s="1401"/>
      <c r="O53" s="1400" t="s">
        <v>678</v>
      </c>
      <c r="P53" s="1401"/>
      <c r="Q53" s="234"/>
      <c r="R53" s="269"/>
      <c r="S53" s="225"/>
      <c r="T53" s="225"/>
      <c r="U53" s="225"/>
      <c r="V53" s="225"/>
      <c r="W53" s="225"/>
      <c r="X53" s="225"/>
      <c r="Y53" s="225"/>
      <c r="Z53" s="226"/>
    </row>
    <row r="54" spans="1:26">
      <c r="A54" s="222" t="s">
        <v>56</v>
      </c>
      <c r="B54" s="222" t="s">
        <v>680</v>
      </c>
      <c r="C54" s="222" t="s">
        <v>681</v>
      </c>
      <c r="D54" s="222" t="s">
        <v>682</v>
      </c>
      <c r="E54" s="222" t="s">
        <v>683</v>
      </c>
      <c r="F54" s="225"/>
      <c r="G54" s="225"/>
      <c r="H54" s="225"/>
      <c r="I54" s="225"/>
      <c r="J54" s="225"/>
      <c r="K54" s="234" t="s">
        <v>659</v>
      </c>
      <c r="L54" s="234" t="s">
        <v>660</v>
      </c>
      <c r="M54" s="1400" t="s">
        <v>0</v>
      </c>
      <c r="N54" s="1401"/>
      <c r="O54" s="1400" t="s">
        <v>0</v>
      </c>
      <c r="P54" s="1401"/>
      <c r="Q54" s="234" t="s">
        <v>658</v>
      </c>
      <c r="R54" s="270"/>
      <c r="S54" s="225"/>
      <c r="T54" s="225"/>
      <c r="U54" s="225"/>
      <c r="V54" s="225"/>
      <c r="W54" s="225"/>
      <c r="X54" s="225"/>
      <c r="Y54" s="225"/>
      <c r="Z54" s="226"/>
    </row>
    <row r="55" spans="1:26">
      <c r="A55" s="776" t="s">
        <v>684</v>
      </c>
      <c r="B55" s="222">
        <v>2.2328000000000001</v>
      </c>
      <c r="C55" s="222">
        <v>-5.5778999999999996</v>
      </c>
      <c r="D55" s="222">
        <v>8.5325000000000006</v>
      </c>
      <c r="E55" s="222">
        <v>-4.4352</v>
      </c>
      <c r="F55" s="225"/>
      <c r="G55" s="225"/>
      <c r="H55" s="225"/>
      <c r="I55" s="225"/>
      <c r="J55" s="225"/>
      <c r="K55" s="285">
        <f>IF(K22="","",K22)</f>
        <v>6</v>
      </c>
      <c r="L55" s="285">
        <f>IF(L22="","",L22)</f>
        <v>0.68400000000000005</v>
      </c>
      <c r="M55" s="1402" t="str">
        <f>IF(L55="","",IF(L55&lt;=L$48,"",cubic_spline_safe(N$29:N$41,O$29:O$41,L55)*Q$13))</f>
        <v/>
      </c>
      <c r="N55" s="1403" t="e">
        <f>IF(M55&lt;=Q$16,IF(M55="","",cubic_spline_safe(Q$13:Q$16,R$13:R$16,M55)),cubic_spline_safe(O$29:O$41,P$29:P$41,M55)*R$13)</f>
        <v>#DIV/0!</v>
      </c>
      <c r="O55" s="1398" t="str">
        <f>IF(L55="","",IF(L55&lt;=L$48,"",M$48+(L55-L$48)*M$49))</f>
        <v/>
      </c>
      <c r="P55" s="1399"/>
      <c r="Q55" s="292" t="str">
        <f>IF(M55="","",(O55-M55)/M55*100)</f>
        <v/>
      </c>
      <c r="R55" s="271"/>
      <c r="S55" s="225"/>
      <c r="T55" s="225"/>
      <c r="U55" s="225"/>
      <c r="V55" s="225"/>
      <c r="W55" s="225"/>
      <c r="X55" s="225"/>
      <c r="Y55" s="225"/>
      <c r="Z55" s="226"/>
    </row>
    <row r="56" spans="1:26">
      <c r="A56" s="222" t="s">
        <v>685</v>
      </c>
      <c r="B56" s="222">
        <v>3.3220999999999998</v>
      </c>
      <c r="C56" s="222">
        <v>-10.2012</v>
      </c>
      <c r="D56" s="222">
        <v>15.0497</v>
      </c>
      <c r="E56" s="222">
        <v>-7.4871999999999996</v>
      </c>
      <c r="F56" s="225"/>
      <c r="G56" s="225"/>
      <c r="H56" s="225"/>
      <c r="I56" s="225"/>
      <c r="J56" s="225"/>
      <c r="K56" s="285">
        <f t="shared" ref="K56:L58" si="4">IF(K23="","",K23)</f>
        <v>10</v>
      </c>
      <c r="L56" s="285">
        <f t="shared" si="4"/>
        <v>0.73299999999999998</v>
      </c>
      <c r="M56" s="1402" t="str">
        <f>IF(L56="","",IF(L56&lt;=L$48,"",cubic_spline_safe(N$29:N$41,O$29:O$41,L56)*Q$13))</f>
        <v/>
      </c>
      <c r="N56" s="1403" t="e">
        <f>IF(M56&lt;=Q$16,IF(M56="","",cubic_spline_safe(Q$13:Q$16,R$13:R$16,M56)),cubic_spline_safe(O$29:O$41,P$29:P$41,M56)*R$13)</f>
        <v>#DIV/0!</v>
      </c>
      <c r="O56" s="1398" t="str">
        <f>IF(L56="","",IF(L56&lt;=L$48,"",M$48+(L56-L$48)*M$49))</f>
        <v/>
      </c>
      <c r="P56" s="1399"/>
      <c r="Q56" s="292" t="str">
        <f>IF(M56="","",(O56-M56)/M56*100)</f>
        <v/>
      </c>
      <c r="R56" s="271"/>
      <c r="S56" s="225"/>
      <c r="T56" s="225"/>
      <c r="U56" s="225"/>
      <c r="V56" s="225"/>
      <c r="W56" s="225"/>
      <c r="X56" s="225"/>
      <c r="Y56" s="225"/>
      <c r="Z56" s="225"/>
    </row>
    <row r="57" spans="1:26">
      <c r="A57" s="775" t="s">
        <v>686</v>
      </c>
      <c r="B57" s="222">
        <v>3.2012</v>
      </c>
      <c r="C57" s="222">
        <v>-9.7210999999999999</v>
      </c>
      <c r="D57" s="222">
        <v>14.421099999999999</v>
      </c>
      <c r="E57" s="222">
        <v>-7.2183999999999999</v>
      </c>
      <c r="F57" s="225"/>
      <c r="G57" s="225"/>
      <c r="H57" s="225"/>
      <c r="I57" s="225"/>
      <c r="J57" s="225"/>
      <c r="K57" s="285">
        <f t="shared" si="4"/>
        <v>18</v>
      </c>
      <c r="L57" s="285">
        <f t="shared" si="4"/>
        <v>0.77900000000000003</v>
      </c>
      <c r="M57" s="1402" t="str">
        <f>IF(L57="","",IF(L57&lt;=L$48,"",cubic_spline_safe(N$29:N$41,O$29:O$41,L57)*Q$13))</f>
        <v/>
      </c>
      <c r="N57" s="1403" t="e">
        <f>IF(M57&lt;=Q$16,IF(M57="","",cubic_spline_safe(Q$13:Q$16,R$13:R$16,M57)),cubic_spline_safe(O$29:O$41,P$29:P$41,M57)*R$13)</f>
        <v>#DIV/0!</v>
      </c>
      <c r="O57" s="1398" t="str">
        <f>IF(L57="","",IF(L57&lt;=L$48,"",M$48+(L57-L$48)*M$49))</f>
        <v/>
      </c>
      <c r="P57" s="1399"/>
      <c r="Q57" s="292" t="str">
        <f>IF(M57="","",(O57-M57)/M57*100)</f>
        <v/>
      </c>
      <c r="R57" s="271"/>
      <c r="S57" s="225"/>
      <c r="T57" s="225"/>
      <c r="U57" s="225"/>
      <c r="V57" s="225"/>
      <c r="W57" s="225"/>
      <c r="X57" s="225"/>
      <c r="Y57" s="225"/>
      <c r="Z57" s="225"/>
    </row>
    <row r="58" spans="1:26">
      <c r="A58" s="222" t="s">
        <v>687</v>
      </c>
      <c r="B58" s="222">
        <v>2.6402000000000001</v>
      </c>
      <c r="C58" s="222">
        <v>-7.2304000000000004</v>
      </c>
      <c r="D58" s="222">
        <v>10.757300000000001</v>
      </c>
      <c r="E58" s="222">
        <v>-5.4294000000000002</v>
      </c>
      <c r="F58" s="225"/>
      <c r="G58" s="225"/>
      <c r="H58" s="225"/>
      <c r="I58" s="225"/>
      <c r="J58" s="225"/>
      <c r="K58" s="285" t="str">
        <f t="shared" si="4"/>
        <v/>
      </c>
      <c r="L58" s="285" t="str">
        <f t="shared" si="4"/>
        <v/>
      </c>
      <c r="M58" s="1402" t="str">
        <f>IF(L58="","",IF(L58&lt;=L$48,"",cubic_spline_safe(N$29:N$41,O$29:O$41,L58)*Q$13))</f>
        <v/>
      </c>
      <c r="N58" s="1403" t="e">
        <f>IF(M58&lt;=Q$16,IF(M58="","",cubic_spline_safe(Q$13:Q$16,R$13:R$16,M58)),cubic_spline_safe(O$29:O$41,P$29:P$41,M58)*R$13)</f>
        <v>#DIV/0!</v>
      </c>
      <c r="O58" s="1398" t="str">
        <f>IF(L58="","",IF(L58&lt;=L$48,"",M$48+(L58-L$48)*M$49))</f>
        <v/>
      </c>
      <c r="P58" s="1399"/>
      <c r="Q58" s="292" t="str">
        <f>IF(M58="","",(O58-M58)/M58*100)</f>
        <v/>
      </c>
      <c r="R58" s="271"/>
      <c r="S58" s="225"/>
      <c r="T58" s="225"/>
      <c r="U58" s="225"/>
      <c r="V58" s="225"/>
      <c r="W58" s="225"/>
      <c r="X58" s="225"/>
      <c r="Y58" s="225"/>
      <c r="Z58" s="225"/>
    </row>
    <row r="59" spans="1:26">
      <c r="A59" s="222" t="s">
        <v>691</v>
      </c>
      <c r="B59" s="222">
        <v>3.1981999999999999</v>
      </c>
      <c r="C59" s="222">
        <v>-9.7181999999999995</v>
      </c>
      <c r="D59" s="222">
        <v>14.420999999999999</v>
      </c>
      <c r="E59" s="222">
        <v>-7.2121000000000004</v>
      </c>
      <c r="F59" s="225"/>
      <c r="G59" s="225"/>
      <c r="H59" s="225"/>
      <c r="I59" s="225"/>
      <c r="J59" s="225"/>
      <c r="K59" s="225"/>
      <c r="L59" s="225"/>
      <c r="M59" s="225"/>
      <c r="N59" s="225"/>
      <c r="O59" s="225"/>
      <c r="P59" s="225"/>
      <c r="Q59" s="225"/>
      <c r="R59" s="225"/>
      <c r="S59" s="225"/>
      <c r="T59" s="225"/>
      <c r="U59" s="225"/>
      <c r="V59" s="225"/>
      <c r="W59" s="225"/>
      <c r="X59" s="225"/>
      <c r="Y59" s="225"/>
      <c r="Z59" s="225"/>
    </row>
    <row r="60" spans="1:26">
      <c r="A60" s="775" t="s">
        <v>1044</v>
      </c>
      <c r="B60" s="222">
        <v>2.4235000000000002</v>
      </c>
      <c r="C60" s="222">
        <v>-6.3178999999999998</v>
      </c>
      <c r="D60" s="222">
        <v>9.4736999999999991</v>
      </c>
      <c r="E60" s="222">
        <v>-4.8307000000000002</v>
      </c>
      <c r="F60" s="225"/>
      <c r="G60" s="225"/>
      <c r="H60" s="225"/>
      <c r="I60" s="225"/>
      <c r="J60" s="225"/>
      <c r="K60" s="225"/>
      <c r="L60" s="225"/>
      <c r="M60" s="225"/>
      <c r="N60" s="225"/>
      <c r="O60" s="225"/>
      <c r="P60" s="225"/>
      <c r="Q60" s="225"/>
      <c r="R60" s="225"/>
      <c r="S60" s="225"/>
      <c r="T60" s="225"/>
      <c r="U60" s="225"/>
      <c r="V60" s="225"/>
      <c r="W60" s="225"/>
      <c r="X60" s="225"/>
      <c r="Y60" s="225"/>
      <c r="Z60" s="225"/>
    </row>
    <row r="61" spans="1:26">
      <c r="A61" s="222" t="s">
        <v>754</v>
      </c>
      <c r="B61" s="222">
        <v>2.4235000000000002</v>
      </c>
      <c r="C61" s="222">
        <v>-6.3178999999999998</v>
      </c>
      <c r="D61" s="222">
        <v>9.4736999999999991</v>
      </c>
      <c r="E61" s="222">
        <v>-4.8307000000000002</v>
      </c>
      <c r="F61" s="225"/>
      <c r="G61" s="225"/>
      <c r="H61" s="225"/>
      <c r="I61" s="225"/>
      <c r="J61" s="225"/>
      <c r="K61" s="225"/>
      <c r="L61" s="225"/>
      <c r="M61" s="225"/>
      <c r="N61" s="225"/>
      <c r="O61" s="225"/>
      <c r="P61" s="225"/>
      <c r="Q61" s="225"/>
      <c r="R61" s="225"/>
      <c r="S61" s="225"/>
      <c r="T61" s="225"/>
      <c r="U61" s="225"/>
      <c r="V61" s="225"/>
      <c r="W61" s="225"/>
      <c r="X61" s="225"/>
      <c r="Y61" s="225"/>
      <c r="Z61" s="225"/>
    </row>
    <row r="62" spans="1:26">
      <c r="A62" s="775" t="s">
        <v>1045</v>
      </c>
      <c r="B62" s="222">
        <v>3.2835999999999999</v>
      </c>
      <c r="C62" s="222">
        <v>-10.061</v>
      </c>
      <c r="D62" s="222">
        <v>14.886699999999999</v>
      </c>
      <c r="E62" s="222">
        <v>-7.4211999999999998</v>
      </c>
      <c r="F62" s="225"/>
      <c r="G62" s="225"/>
      <c r="H62" s="225"/>
      <c r="I62" s="225"/>
      <c r="J62" s="225"/>
      <c r="K62" s="225"/>
      <c r="L62" s="225"/>
      <c r="M62" s="225"/>
      <c r="N62" s="225"/>
      <c r="O62" s="225"/>
      <c r="P62" s="225"/>
      <c r="Q62" s="225"/>
      <c r="R62" s="225"/>
      <c r="S62" s="225"/>
      <c r="T62" s="225"/>
      <c r="U62" s="225"/>
      <c r="V62" s="225"/>
      <c r="W62" s="225"/>
      <c r="X62" s="225"/>
      <c r="Y62" s="225"/>
      <c r="Z62" s="225"/>
    </row>
    <row r="63" spans="1:26">
      <c r="A63" s="222"/>
      <c r="B63" s="222"/>
      <c r="C63" s="222"/>
      <c r="D63" s="222"/>
      <c r="E63" s="222"/>
      <c r="F63" s="225"/>
      <c r="G63" s="225"/>
      <c r="H63" s="225"/>
      <c r="I63" s="225"/>
      <c r="J63" s="225"/>
      <c r="K63" s="225"/>
      <c r="L63" s="225"/>
      <c r="M63" s="225"/>
      <c r="N63" s="225"/>
      <c r="O63" s="225"/>
      <c r="P63" s="225"/>
      <c r="Q63" s="225"/>
      <c r="R63" s="225"/>
      <c r="S63" s="225"/>
      <c r="T63" s="225"/>
      <c r="U63" s="225"/>
      <c r="V63" s="225"/>
      <c r="W63" s="225"/>
      <c r="X63" s="225"/>
      <c r="Y63" s="225"/>
      <c r="Z63" s="225"/>
    </row>
    <row r="64" spans="1:26">
      <c r="A64" s="272" t="s">
        <v>688</v>
      </c>
      <c r="B64" s="273"/>
      <c r="C64" s="273"/>
      <c r="D64" s="273"/>
      <c r="E64" s="274"/>
      <c r="I64" s="225"/>
      <c r="J64" s="225"/>
      <c r="K64" s="225"/>
      <c r="L64" s="225"/>
      <c r="M64" s="225"/>
      <c r="N64" s="225"/>
      <c r="O64" s="225"/>
      <c r="P64" s="225"/>
      <c r="Q64" s="225"/>
      <c r="R64" s="225"/>
      <c r="S64" s="225"/>
      <c r="T64" s="225"/>
      <c r="U64" s="225"/>
      <c r="V64" s="225"/>
      <c r="W64" s="225"/>
      <c r="X64" s="225"/>
      <c r="Y64" s="225"/>
      <c r="Z64" s="225"/>
    </row>
    <row r="65" spans="1:26">
      <c r="I65" s="225"/>
      <c r="J65" s="225"/>
      <c r="K65" s="225"/>
      <c r="L65" s="225"/>
      <c r="M65" s="225"/>
      <c r="N65" s="225"/>
      <c r="O65" s="225"/>
      <c r="P65" s="225"/>
      <c r="Q65" s="225"/>
      <c r="R65" s="225"/>
      <c r="S65" s="225"/>
      <c r="T65" s="225"/>
      <c r="U65" s="225"/>
      <c r="V65" s="225"/>
      <c r="W65" s="225"/>
      <c r="X65" s="225"/>
      <c r="Y65" s="225"/>
      <c r="Z65" s="225"/>
    </row>
    <row r="66" spans="1:26">
      <c r="A66" s="225"/>
      <c r="B66" s="225"/>
      <c r="C66" s="225"/>
      <c r="D66" s="225"/>
      <c r="E66" s="225"/>
      <c r="F66" s="225"/>
      <c r="G66" s="275"/>
      <c r="H66" s="275"/>
    </row>
    <row r="67" spans="1:26" ht="14.25">
      <c r="A67" s="276" t="s">
        <v>689</v>
      </c>
      <c r="B67" s="275"/>
      <c r="C67" s="275"/>
      <c r="D67" s="275"/>
      <c r="E67" s="275"/>
      <c r="F67" s="275"/>
      <c r="G67" s="225"/>
      <c r="H67" s="225"/>
      <c r="I67" s="225"/>
      <c r="J67" s="225"/>
      <c r="K67" s="225"/>
      <c r="L67" s="225"/>
      <c r="M67" s="225"/>
      <c r="N67" s="225"/>
      <c r="O67" s="225"/>
      <c r="P67" s="225"/>
      <c r="Q67" s="225"/>
      <c r="R67" s="225"/>
      <c r="S67" s="225"/>
      <c r="T67" s="225"/>
      <c r="U67" s="225"/>
      <c r="V67" s="225"/>
      <c r="W67" s="225"/>
      <c r="X67" s="225"/>
      <c r="Y67" s="225"/>
      <c r="Z67" s="225"/>
    </row>
    <row r="68" spans="1:26">
      <c r="A68" s="277" t="s">
        <v>690</v>
      </c>
      <c r="B68" s="278" t="s">
        <v>684</v>
      </c>
      <c r="C68" s="278" t="s">
        <v>685</v>
      </c>
      <c r="D68" s="278" t="s">
        <v>686</v>
      </c>
      <c r="E68" s="278" t="s">
        <v>687</v>
      </c>
      <c r="F68" s="278" t="s">
        <v>691</v>
      </c>
      <c r="G68" s="278" t="s">
        <v>1044</v>
      </c>
      <c r="H68" s="278" t="s">
        <v>754</v>
      </c>
      <c r="I68" s="278" t="s">
        <v>1045</v>
      </c>
      <c r="J68" s="278"/>
      <c r="L68" s="278" t="s">
        <v>163</v>
      </c>
      <c r="M68" s="225"/>
      <c r="N68" s="225"/>
      <c r="O68" s="225"/>
      <c r="P68" s="225"/>
      <c r="Q68" s="225"/>
      <c r="R68" s="225"/>
      <c r="S68" s="225"/>
      <c r="T68" s="225"/>
      <c r="U68" s="225"/>
      <c r="V68" s="225"/>
      <c r="W68" s="225"/>
      <c r="X68" s="225"/>
      <c r="Y68" s="225"/>
      <c r="Z68" s="225"/>
    </row>
    <row r="69" spans="1:26" ht="15.75">
      <c r="A69" s="279" t="s">
        <v>692</v>
      </c>
      <c r="B69" s="280" t="s">
        <v>693</v>
      </c>
      <c r="C69" s="280" t="s">
        <v>693</v>
      </c>
      <c r="D69" s="280" t="s">
        <v>693</v>
      </c>
      <c r="E69" s="280" t="s">
        <v>693</v>
      </c>
      <c r="F69" s="280" t="s">
        <v>693</v>
      </c>
      <c r="G69" s="280" t="s">
        <v>693</v>
      </c>
      <c r="H69" s="280" t="s">
        <v>693</v>
      </c>
      <c r="I69" s="280" t="s">
        <v>693</v>
      </c>
      <c r="J69" s="280" t="s">
        <v>693</v>
      </c>
      <c r="L69" s="377" t="str">
        <f ca="1">C37</f>
        <v>FC65-G</v>
      </c>
      <c r="M69" s="258"/>
      <c r="N69" s="258"/>
      <c r="O69" s="258"/>
    </row>
    <row r="70" spans="1:26">
      <c r="A70" s="281">
        <v>0.5</v>
      </c>
      <c r="B70" s="282">
        <v>1.0049999999999999</v>
      </c>
      <c r="C70" s="282">
        <v>1.0049999999999999</v>
      </c>
      <c r="D70" s="282">
        <v>1.002</v>
      </c>
      <c r="E70" s="282">
        <v>1.0009999999999999</v>
      </c>
      <c r="F70" s="282">
        <v>1.0009999999999999</v>
      </c>
      <c r="G70" s="282">
        <v>1.006</v>
      </c>
      <c r="H70" s="282">
        <v>1.006</v>
      </c>
      <c r="I70" s="282">
        <v>1.006</v>
      </c>
      <c r="J70" s="282"/>
      <c r="L70" s="282">
        <f t="shared" ref="L70:L84" ca="1" si="5">OFFSET(A$70:A$84,0,MATCH(C$37&amp;"",B$68:I$68,0))</f>
        <v>1.0049999999999999</v>
      </c>
      <c r="M70" s="225"/>
      <c r="N70" s="225"/>
    </row>
    <row r="71" spans="1:26">
      <c r="A71" s="281">
        <v>0.53</v>
      </c>
      <c r="B71" s="282">
        <v>1.004</v>
      </c>
      <c r="C71" s="282">
        <v>1.004</v>
      </c>
      <c r="D71" s="282">
        <v>1.002</v>
      </c>
      <c r="E71" s="282">
        <v>1.0009999999999999</v>
      </c>
      <c r="F71" s="282">
        <v>1.0009999999999999</v>
      </c>
      <c r="G71" s="282">
        <v>1.004</v>
      </c>
      <c r="H71" s="282">
        <v>1.004</v>
      </c>
      <c r="I71" s="282">
        <v>1.0049999999999999</v>
      </c>
      <c r="J71" s="282"/>
      <c r="L71" s="282">
        <f t="shared" ca="1" si="5"/>
        <v>1.004</v>
      </c>
      <c r="M71" s="225"/>
      <c r="N71" s="225"/>
    </row>
    <row r="72" spans="1:26">
      <c r="A72" s="281">
        <v>0.56000000000000005</v>
      </c>
      <c r="B72" s="282">
        <v>1.002</v>
      </c>
      <c r="C72" s="282">
        <v>1.002</v>
      </c>
      <c r="D72" s="282">
        <v>1</v>
      </c>
      <c r="E72" s="282">
        <v>1</v>
      </c>
      <c r="F72" s="282">
        <v>1.0009999999999999</v>
      </c>
      <c r="G72" s="282">
        <v>1.0009999999999999</v>
      </c>
      <c r="H72" s="282">
        <v>1.0009999999999999</v>
      </c>
      <c r="I72" s="282">
        <v>1.002</v>
      </c>
      <c r="J72" s="282"/>
      <c r="L72" s="282">
        <f t="shared" ca="1" si="5"/>
        <v>1.002</v>
      </c>
      <c r="M72" s="225"/>
      <c r="N72" s="225"/>
    </row>
    <row r="73" spans="1:26">
      <c r="A73" s="281">
        <v>0.59</v>
      </c>
      <c r="B73" s="282">
        <v>1</v>
      </c>
      <c r="C73" s="282">
        <v>1</v>
      </c>
      <c r="D73" s="282">
        <v>0.999</v>
      </c>
      <c r="E73" s="282">
        <v>1</v>
      </c>
      <c r="F73" s="282">
        <v>1</v>
      </c>
      <c r="G73" s="282">
        <v>0.999</v>
      </c>
      <c r="H73" s="282">
        <v>0.999</v>
      </c>
      <c r="I73" s="282">
        <v>1</v>
      </c>
      <c r="J73" s="282"/>
      <c r="L73" s="282">
        <f t="shared" ca="1" si="5"/>
        <v>1</v>
      </c>
      <c r="M73" s="225"/>
      <c r="N73" s="225"/>
    </row>
    <row r="74" spans="1:26">
      <c r="A74" s="281">
        <v>0.62</v>
      </c>
      <c r="B74" s="282">
        <v>0.998</v>
      </c>
      <c r="C74" s="282">
        <v>0.998</v>
      </c>
      <c r="D74" s="282">
        <v>0.997</v>
      </c>
      <c r="E74" s="282">
        <v>0.999</v>
      </c>
      <c r="F74" s="282">
        <v>0.999</v>
      </c>
      <c r="G74" s="282">
        <v>0.998</v>
      </c>
      <c r="H74" s="282">
        <v>0.998</v>
      </c>
      <c r="I74" s="282">
        <v>0.999</v>
      </c>
      <c r="J74" s="282"/>
      <c r="L74" s="282">
        <f t="shared" ca="1" si="5"/>
        <v>0.998</v>
      </c>
      <c r="M74" s="225"/>
      <c r="N74" s="225"/>
    </row>
    <row r="75" spans="1:26">
      <c r="A75" s="281">
        <v>0.65</v>
      </c>
      <c r="B75" s="282">
        <v>0.995</v>
      </c>
      <c r="C75" s="282">
        <v>0.997</v>
      </c>
      <c r="D75" s="282">
        <v>0.99399999999999999</v>
      </c>
      <c r="E75" s="282">
        <v>0.997</v>
      </c>
      <c r="F75" s="282">
        <v>0.997</v>
      </c>
      <c r="G75" s="282">
        <v>0.99399999999999999</v>
      </c>
      <c r="H75" s="282">
        <v>0.99399999999999999</v>
      </c>
      <c r="I75" s="282">
        <v>0.996</v>
      </c>
      <c r="J75" s="282"/>
      <c r="L75" s="282">
        <f t="shared" ca="1" si="5"/>
        <v>0.997</v>
      </c>
      <c r="M75" s="225"/>
      <c r="N75" s="225"/>
    </row>
    <row r="76" spans="1:26">
      <c r="A76" s="281">
        <v>0.68</v>
      </c>
      <c r="B76" s="282">
        <v>0.99299999999999999</v>
      </c>
      <c r="C76" s="282">
        <v>0.995</v>
      </c>
      <c r="D76" s="282">
        <v>0.99</v>
      </c>
      <c r="E76" s="282">
        <v>0.99399999999999999</v>
      </c>
      <c r="F76" s="282">
        <v>0.995</v>
      </c>
      <c r="G76" s="282">
        <v>0.99199999999999999</v>
      </c>
      <c r="H76" s="282">
        <v>0.99199999999999999</v>
      </c>
      <c r="I76" s="282">
        <v>0.99399999999999999</v>
      </c>
      <c r="J76" s="282"/>
      <c r="L76" s="282">
        <f t="shared" ca="1" si="5"/>
        <v>0.995</v>
      </c>
      <c r="M76" s="225"/>
      <c r="N76" s="225"/>
    </row>
    <row r="77" spans="1:26">
      <c r="A77" s="281">
        <v>0.7</v>
      </c>
      <c r="B77" s="282">
        <v>0.99099999999999999</v>
      </c>
      <c r="C77" s="282">
        <v>0.99199999999999999</v>
      </c>
      <c r="D77" s="282">
        <v>0.98799999999999999</v>
      </c>
      <c r="E77" s="282">
        <v>0.99199999999999999</v>
      </c>
      <c r="F77" s="282">
        <v>0.99299999999999999</v>
      </c>
      <c r="G77" s="282">
        <v>0.99</v>
      </c>
      <c r="H77" s="282">
        <v>0.99</v>
      </c>
      <c r="I77" s="282">
        <v>0.99199999999999999</v>
      </c>
      <c r="J77" s="282"/>
      <c r="L77" s="282">
        <f t="shared" ca="1" si="5"/>
        <v>0.99199999999999999</v>
      </c>
      <c r="M77" s="225"/>
      <c r="N77" s="225"/>
    </row>
    <row r="78" spans="1:26">
      <c r="A78" s="281">
        <v>0.72</v>
      </c>
      <c r="B78" s="282">
        <v>0.98899999999999999</v>
      </c>
      <c r="C78" s="282">
        <v>0.98899999999999999</v>
      </c>
      <c r="D78" s="282">
        <v>0.98399999999999999</v>
      </c>
      <c r="E78" s="282">
        <v>0.99</v>
      </c>
      <c r="F78" s="282">
        <v>0.98899999999999999</v>
      </c>
      <c r="G78" s="282">
        <v>0.98799999999999999</v>
      </c>
      <c r="H78" s="282">
        <v>0.98799999999999999</v>
      </c>
      <c r="I78" s="282">
        <v>0.98899999999999999</v>
      </c>
      <c r="J78" s="282"/>
      <c r="L78" s="282">
        <f t="shared" ca="1" si="5"/>
        <v>0.98899999999999999</v>
      </c>
      <c r="M78" s="225"/>
      <c r="N78" s="225"/>
    </row>
    <row r="79" spans="1:26">
      <c r="A79" s="281">
        <v>0.74</v>
      </c>
      <c r="B79" s="282">
        <v>0.98599999999999999</v>
      </c>
      <c r="C79" s="282">
        <v>0.98499999999999999</v>
      </c>
      <c r="D79" s="282">
        <v>0.98</v>
      </c>
      <c r="E79" s="282">
        <v>0.98599999999999999</v>
      </c>
      <c r="F79" s="282">
        <v>0.98499999999999999</v>
      </c>
      <c r="G79" s="282">
        <v>0.98499999999999999</v>
      </c>
      <c r="H79" s="282">
        <v>0.98499999999999999</v>
      </c>
      <c r="I79" s="282">
        <v>0.98599999999999999</v>
      </c>
      <c r="J79" s="282"/>
      <c r="L79" s="282">
        <f t="shared" ca="1" si="5"/>
        <v>0.98499999999999999</v>
      </c>
      <c r="M79" s="225"/>
      <c r="N79" s="225"/>
    </row>
    <row r="80" spans="1:26">
      <c r="A80" s="281">
        <v>0.76</v>
      </c>
      <c r="B80" s="282">
        <v>0.98199999999999998</v>
      </c>
      <c r="C80" s="282">
        <v>0.98099999999999998</v>
      </c>
      <c r="D80" s="282">
        <v>0.97499999999999998</v>
      </c>
      <c r="E80" s="282">
        <v>0.98099999999999998</v>
      </c>
      <c r="F80" s="282">
        <v>0.98</v>
      </c>
      <c r="G80" s="282">
        <v>0.98199999999999998</v>
      </c>
      <c r="H80" s="282">
        <v>0.98199999999999998</v>
      </c>
      <c r="I80" s="282">
        <v>0.98199999999999998</v>
      </c>
      <c r="J80" s="282"/>
      <c r="L80" s="282">
        <f t="shared" ca="1" si="5"/>
        <v>0.98099999999999998</v>
      </c>
      <c r="M80" s="225"/>
      <c r="N80" s="225"/>
    </row>
    <row r="81" spans="1:14">
      <c r="A81" s="281">
        <v>0.78</v>
      </c>
      <c r="B81" s="282">
        <v>0.97499999999999998</v>
      </c>
      <c r="C81" s="282">
        <v>0.97299999999999998</v>
      </c>
      <c r="D81" s="282">
        <v>0.96799999999999997</v>
      </c>
      <c r="E81" s="282">
        <v>0.97399999999999998</v>
      </c>
      <c r="F81" s="282">
        <v>0.97199999999999998</v>
      </c>
      <c r="G81" s="282">
        <v>0.97499999999999998</v>
      </c>
      <c r="H81" s="282">
        <v>0.97499999999999998</v>
      </c>
      <c r="I81" s="282">
        <v>0.97599999999999998</v>
      </c>
      <c r="J81" s="282"/>
      <c r="L81" s="282">
        <f t="shared" ca="1" si="5"/>
        <v>0.97299999999999998</v>
      </c>
      <c r="M81" s="225"/>
      <c r="N81" s="225"/>
    </row>
    <row r="82" spans="1:14">
      <c r="A82" s="281">
        <v>0.8</v>
      </c>
      <c r="B82" s="282">
        <v>0.96899999999999997</v>
      </c>
      <c r="C82" s="282">
        <v>0.96599999999999997</v>
      </c>
      <c r="D82" s="282">
        <v>0.96</v>
      </c>
      <c r="E82" s="282">
        <v>0.96599999999999997</v>
      </c>
      <c r="F82" s="282">
        <v>0.96399999999999997</v>
      </c>
      <c r="G82" s="282">
        <v>0.96899999999999997</v>
      </c>
      <c r="H82" s="282">
        <v>0.96899999999999997</v>
      </c>
      <c r="I82" s="282">
        <v>0.96899999999999997</v>
      </c>
      <c r="J82" s="282"/>
      <c r="L82" s="282">
        <f t="shared" ca="1" si="5"/>
        <v>0.96599999999999997</v>
      </c>
      <c r="M82" s="225"/>
      <c r="N82" s="225"/>
    </row>
    <row r="83" spans="1:14">
      <c r="A83" s="281">
        <v>0.82</v>
      </c>
      <c r="B83" s="282">
        <v>0.96099999999999997</v>
      </c>
      <c r="C83" s="282">
        <v>0.95799999999999996</v>
      </c>
      <c r="D83" s="282">
        <v>0.95199999999999996</v>
      </c>
      <c r="E83" s="282">
        <v>0.95699999999999996</v>
      </c>
      <c r="F83" s="282">
        <v>0.95499999999999996</v>
      </c>
      <c r="G83" s="282">
        <v>0.96099999999999997</v>
      </c>
      <c r="H83" s="282">
        <v>0.96099999999999997</v>
      </c>
      <c r="I83" s="282">
        <v>0.96199999999999997</v>
      </c>
      <c r="J83" s="282"/>
      <c r="L83" s="282">
        <f t="shared" ca="1" si="5"/>
        <v>0.95799999999999996</v>
      </c>
      <c r="M83" s="225"/>
      <c r="N83" s="225"/>
    </row>
    <row r="84" spans="1:14">
      <c r="A84" s="281">
        <v>0.84</v>
      </c>
      <c r="B84" s="282">
        <v>0.94899999999999995</v>
      </c>
      <c r="C84" s="282">
        <v>0.94699999999999995</v>
      </c>
      <c r="D84" s="282">
        <v>0.94</v>
      </c>
      <c r="E84" s="282">
        <v>0.94399999999999995</v>
      </c>
      <c r="F84" s="282">
        <v>0.94299999999999995</v>
      </c>
      <c r="G84" s="282">
        <v>0.94899999999999995</v>
      </c>
      <c r="H84" s="282">
        <v>0.94899999999999995</v>
      </c>
      <c r="I84" s="282">
        <v>0.95</v>
      </c>
      <c r="J84" s="282"/>
      <c r="L84" s="282">
        <f t="shared" ca="1" si="5"/>
        <v>0.94699999999999995</v>
      </c>
      <c r="M84" s="225"/>
      <c r="N84" s="225"/>
    </row>
    <row r="85" spans="1:14">
      <c r="I85" s="225"/>
      <c r="J85" s="225"/>
      <c r="K85" s="227"/>
      <c r="L85" s="225"/>
      <c r="M85" s="225"/>
      <c r="N85" s="225"/>
    </row>
    <row r="86" spans="1:14">
      <c r="A86" s="958" t="s">
        <v>1418</v>
      </c>
    </row>
    <row r="87" spans="1:14">
      <c r="A87" s="958" t="s">
        <v>1419</v>
      </c>
    </row>
    <row r="89" spans="1:14" ht="14.25">
      <c r="A89" s="276" t="s">
        <v>1426</v>
      </c>
      <c r="L89" s="278" t="s">
        <v>163</v>
      </c>
    </row>
    <row r="90" spans="1:14">
      <c r="A90" s="963" t="s">
        <v>1423</v>
      </c>
      <c r="B90" s="278" t="s">
        <v>684</v>
      </c>
      <c r="C90" s="278" t="s">
        <v>685</v>
      </c>
      <c r="D90" s="278" t="s">
        <v>686</v>
      </c>
      <c r="E90" s="278" t="s">
        <v>687</v>
      </c>
      <c r="F90" s="278" t="s">
        <v>691</v>
      </c>
      <c r="G90" s="278" t="s">
        <v>1044</v>
      </c>
      <c r="H90" s="278" t="s">
        <v>754</v>
      </c>
      <c r="I90" s="278" t="s">
        <v>1045</v>
      </c>
      <c r="J90" s="278"/>
      <c r="L90" s="278" t="str">
        <f ca="1">C37</f>
        <v>FC65-G</v>
      </c>
    </row>
    <row r="91" spans="1:14">
      <c r="A91" s="958" t="s">
        <v>1421</v>
      </c>
      <c r="B91" s="964">
        <v>1.09395</v>
      </c>
      <c r="C91" s="964">
        <v>1.1037699999999999</v>
      </c>
      <c r="D91" s="964">
        <v>1.1890400000000001</v>
      </c>
      <c r="E91" s="964">
        <v>1.0978300000000001</v>
      </c>
      <c r="F91" s="964">
        <v>1.1144099999999999</v>
      </c>
      <c r="G91" s="964">
        <v>1.0769899999999999</v>
      </c>
      <c r="H91" s="964">
        <v>1.0769899999999999</v>
      </c>
      <c r="I91" s="964">
        <v>1.12442</v>
      </c>
      <c r="J91" s="964"/>
      <c r="L91" s="964">
        <f ca="1">OFFSET(A91:A92,0,MATCH(C$37&amp;"",B90:J90,0))</f>
        <v>1.1037699999999999</v>
      </c>
    </row>
    <row r="92" spans="1:14">
      <c r="A92" s="958" t="s">
        <v>1422</v>
      </c>
      <c r="B92" s="964">
        <v>-9.3789999999999998E-2</v>
      </c>
      <c r="C92" s="964">
        <v>-9.8400000000000001E-2</v>
      </c>
      <c r="D92" s="964">
        <v>-0.13489000000000001</v>
      </c>
      <c r="E92" s="964">
        <v>-9.5439999999999997E-2</v>
      </c>
      <c r="F92" s="964">
        <v>-0.1026</v>
      </c>
      <c r="G92" s="964">
        <v>-8.7319999999999995E-2</v>
      </c>
      <c r="H92" s="964">
        <v>-8.7319999999999995E-2</v>
      </c>
      <c r="I92" s="964">
        <v>-0.10415000000000001</v>
      </c>
      <c r="J92" s="964"/>
      <c r="L92" s="964">
        <f ca="1">OFFSET(A91:A92,0,MATCH(C$37&amp;"",B90:J90,0))</f>
        <v>-9.8400000000000001E-2</v>
      </c>
    </row>
  </sheetData>
  <sheetProtection sheet="1" selectLockedCells="1"/>
  <dataConsolidate/>
  <mergeCells count="15">
    <mergeCell ref="M58:N58"/>
    <mergeCell ref="M53:N53"/>
    <mergeCell ref="M54:N54"/>
    <mergeCell ref="M55:N55"/>
    <mergeCell ref="B4:C4"/>
    <mergeCell ref="B5:C5"/>
    <mergeCell ref="M56:N56"/>
    <mergeCell ref="M57:N57"/>
    <mergeCell ref="B6:C6"/>
    <mergeCell ref="O58:P58"/>
    <mergeCell ref="O53:P53"/>
    <mergeCell ref="O54:P54"/>
    <mergeCell ref="O55:P55"/>
    <mergeCell ref="O56:P56"/>
    <mergeCell ref="O57:P57"/>
  </mergeCells>
  <conditionalFormatting sqref="K14">
    <cfRule type="expression" dxfId="65" priority="56" stopIfTrue="1">
      <formula>OR(($K$14&lt;-$L$14),($K$14&gt;$L$14))</formula>
    </cfRule>
  </conditionalFormatting>
  <conditionalFormatting sqref="E14">
    <cfRule type="expression" dxfId="64" priority="63" stopIfTrue="1">
      <formula>OR(($E$14&lt;-$L$14),($E$14&gt;$L$14))</formula>
    </cfRule>
  </conditionalFormatting>
  <conditionalFormatting sqref="G14">
    <cfRule type="expression" dxfId="63" priority="62" stopIfTrue="1">
      <formula>OR(($G$14&lt;-$L$14),($G$14&gt;$L$14))</formula>
    </cfRule>
  </conditionalFormatting>
  <conditionalFormatting sqref="I14">
    <cfRule type="expression" dxfId="62" priority="59" stopIfTrue="1">
      <formula>OR(($I$14&lt;-$L$14),($I$14&gt;$L$14))</formula>
    </cfRule>
  </conditionalFormatting>
  <conditionalFormatting sqref="E15">
    <cfRule type="expression" dxfId="61" priority="64" stopIfTrue="1">
      <formula>OR(($E$15&lt;-$L$15),($E$15&gt;$L$15))</formula>
    </cfRule>
  </conditionalFormatting>
  <conditionalFormatting sqref="E16">
    <cfRule type="expression" dxfId="60" priority="65" stopIfTrue="1">
      <formula>OR(($E$16&lt;-$L$16),($E$16&gt;$L$16))</formula>
    </cfRule>
  </conditionalFormatting>
  <conditionalFormatting sqref="G15">
    <cfRule type="expression" dxfId="59" priority="61" stopIfTrue="1">
      <formula>OR(($G$15&lt;-$L$15),($G$15&gt;$L$15))</formula>
    </cfRule>
  </conditionalFormatting>
  <conditionalFormatting sqref="G16">
    <cfRule type="expression" dxfId="58" priority="60" stopIfTrue="1">
      <formula>OR(($G$16&lt;-$L$16),($G$16&gt;$L$16))</formula>
    </cfRule>
  </conditionalFormatting>
  <conditionalFormatting sqref="I15">
    <cfRule type="expression" dxfId="57" priority="58" stopIfTrue="1">
      <formula>OR(($I$15&lt;-$L$15),($I$15&gt;$L$15))</formula>
    </cfRule>
  </conditionalFormatting>
  <conditionalFormatting sqref="I16">
    <cfRule type="expression" dxfId="56" priority="57" stopIfTrue="1">
      <formula>OR(($I$16&lt;-$L$16),($I$16&gt;$L$16))</formula>
    </cfRule>
  </conditionalFormatting>
  <conditionalFormatting sqref="K15">
    <cfRule type="expression" dxfId="55" priority="55" stopIfTrue="1">
      <formula>OR(($K$15&lt;-$L$15),($K$15&gt;$L$15))</formula>
    </cfRule>
  </conditionalFormatting>
  <conditionalFormatting sqref="K16">
    <cfRule type="expression" dxfId="54" priority="54" stopIfTrue="1">
      <formula>OR(($K$16&lt;-$L$16),($K$16&gt;$L$16))</formula>
    </cfRule>
  </conditionalFormatting>
  <conditionalFormatting sqref="I52">
    <cfRule type="expression" dxfId="53" priority="42" stopIfTrue="1">
      <formula>(I52&gt;1)</formula>
    </cfRule>
  </conditionalFormatting>
  <conditionalFormatting sqref="I46">
    <cfRule type="expression" dxfId="52" priority="44" stopIfTrue="1">
      <formula>(I46&gt;1)</formula>
    </cfRule>
  </conditionalFormatting>
  <conditionalFormatting sqref="I49">
    <cfRule type="expression" dxfId="51" priority="43" stopIfTrue="1">
      <formula>(I49&gt;1)</formula>
    </cfRule>
  </conditionalFormatting>
  <conditionalFormatting sqref="H50">
    <cfRule type="expression" dxfId="50" priority="33" stopIfTrue="1">
      <formula>(H50&gt;1)</formula>
    </cfRule>
  </conditionalFormatting>
  <conditionalFormatting sqref="E44">
    <cfRule type="expression" dxfId="49" priority="41" stopIfTrue="1">
      <formula>OR((E44&lt;-F44),(E44&gt;F44))</formula>
    </cfRule>
  </conditionalFormatting>
  <conditionalFormatting sqref="H44">
    <cfRule type="expression" dxfId="48" priority="35" stopIfTrue="1">
      <formula>(H44&gt;1)</formula>
    </cfRule>
  </conditionalFormatting>
  <conditionalFormatting sqref="H47">
    <cfRule type="expression" dxfId="47" priority="34" stopIfTrue="1">
      <formula>(H47&gt;1)</formula>
    </cfRule>
  </conditionalFormatting>
  <conditionalFormatting sqref="E47">
    <cfRule type="expression" dxfId="46" priority="31" stopIfTrue="1">
      <formula>OR((E47&lt;-F47),(E47&gt;F47))</formula>
    </cfRule>
  </conditionalFormatting>
  <conditionalFormatting sqref="E50">
    <cfRule type="expression" dxfId="45" priority="29" stopIfTrue="1">
      <formula>OR((E50&lt;-F50),(E50&gt;F50))</formula>
    </cfRule>
  </conditionalFormatting>
  <conditionalFormatting sqref="G50">
    <cfRule type="expression" dxfId="44" priority="19" stopIfTrue="1">
      <formula>(G50&gt;1)</formula>
    </cfRule>
  </conditionalFormatting>
  <conditionalFormatting sqref="G44">
    <cfRule type="expression" dxfId="43" priority="21" stopIfTrue="1">
      <formula>(G44&gt;1)</formula>
    </cfRule>
  </conditionalFormatting>
  <conditionalFormatting sqref="G47">
    <cfRule type="expression" dxfId="42" priority="20" stopIfTrue="1">
      <formula>(G47&gt;1)</formula>
    </cfRule>
  </conditionalFormatting>
  <conditionalFormatting sqref="E338">
    <cfRule type="expression" dxfId="41" priority="18" stopIfTrue="1">
      <formula>OR(E339&lt;-0.2,E339&gt;0.2)</formula>
    </cfRule>
  </conditionalFormatting>
  <conditionalFormatting sqref="E31">
    <cfRule type="expression" dxfId="40" priority="15" stopIfTrue="1">
      <formula>OR($E$31&lt;-0.2,$E$31&gt;0.2)</formula>
    </cfRule>
  </conditionalFormatting>
  <conditionalFormatting sqref="H31">
    <cfRule type="expression" dxfId="39" priority="12" stopIfTrue="1">
      <formula>OR($H$31&lt;-0.5,$H$31&gt;0.5)</formula>
    </cfRule>
  </conditionalFormatting>
  <conditionalFormatting sqref="H34">
    <cfRule type="expression" dxfId="38" priority="8" stopIfTrue="1">
      <formula>OR($H$34&lt;-0.3,$H$34&gt;0.3)</formula>
    </cfRule>
  </conditionalFormatting>
  <conditionalFormatting sqref="H32">
    <cfRule type="expression" dxfId="37" priority="7" stopIfTrue="1">
      <formula>OR($H$32&lt;-0.5,$H$32&gt;0.5)</formula>
    </cfRule>
  </conditionalFormatting>
  <conditionalFormatting sqref="H33">
    <cfRule type="expression" dxfId="36" priority="6" stopIfTrue="1">
      <formula>OR($H$33&lt;-0.5,$H$33&gt;0.5)</formula>
    </cfRule>
  </conditionalFormatting>
  <conditionalFormatting sqref="E32">
    <cfRule type="expression" dxfId="35" priority="5" stopIfTrue="1">
      <formula>OR($E$32&lt;-0.2,$E$32&gt;0.2)</formula>
    </cfRule>
  </conditionalFormatting>
  <conditionalFormatting sqref="E33">
    <cfRule type="expression" dxfId="34" priority="4" stopIfTrue="1">
      <formula>OR($E$33&lt;-0.2,$E$33&gt;0.2)</formula>
    </cfRule>
  </conditionalFormatting>
  <conditionalFormatting sqref="H8">
    <cfRule type="cellIs" dxfId="33" priority="2" operator="equal">
      <formula>"Yes"</formula>
    </cfRule>
    <cfRule type="cellIs" dxfId="32" priority="3" operator="notEqual">
      <formula>"Yes"</formula>
    </cfRule>
  </conditionalFormatting>
  <dataValidations count="2">
    <dataValidation type="list" allowBlank="1" showInputMessage="1" showErrorMessage="1" sqref="H8" xr:uid="{00000000-0002-0000-0E00-000000000000}">
      <formula1>$T$2:$T$3</formula1>
    </dataValidation>
    <dataValidation type="list" allowBlank="1" showInputMessage="1" showErrorMessage="1" sqref="A29" xr:uid="{6898BB00-16A9-4A54-A3FF-76FF5D9DD0F8}">
      <formula1>$A$86:$A$87</formula1>
    </dataValidation>
  </dataValidations>
  <pageMargins left="0.7" right="0.7" top="0.75" bottom="0.75" header="0.3" footer="0.3"/>
  <pageSetup paperSize="9" scale="34" orientation="landscape" r:id="rId1"/>
  <ignoredErrors>
    <ignoredError sqref="H31"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9609908" r:id="rId4" name="Button 1716">
              <controlPr defaultSize="0" print="0" autoFill="0" autoPict="0" macro="[0]!Button1716_Click">
                <anchor moveWithCells="1" sizeWithCells="1">
                  <from>
                    <xdr:col>8</xdr:col>
                    <xdr:colOff>171450</xdr:colOff>
                    <xdr:row>6</xdr:row>
                    <xdr:rowOff>85725</xdr:rowOff>
                  </from>
                  <to>
                    <xdr:col>10</xdr:col>
                    <xdr:colOff>485775</xdr:colOff>
                    <xdr:row>8</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Limits!$B$68:$B$69</xm:f>
          </x14:formula1>
          <xm:sqref>D37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4"/>
  <dimension ref="A1:AC441"/>
  <sheetViews>
    <sheetView zoomScaleNormal="100" workbookViewId="0">
      <selection activeCell="AC12" sqref="AC12"/>
    </sheetView>
  </sheetViews>
  <sheetFormatPr defaultRowHeight="12.75"/>
  <cols>
    <col min="1" max="21" width="4.42578125" customWidth="1"/>
    <col min="22" max="24" width="5" customWidth="1"/>
    <col min="25" max="25" width="10.7109375" customWidth="1"/>
  </cols>
  <sheetData>
    <row r="1" spans="1:22" ht="12" customHeight="1"/>
    <row r="5" spans="1:22">
      <c r="V5" s="358"/>
    </row>
    <row r="6" spans="1:22" ht="12.75" customHeight="1">
      <c r="A6" s="1109" t="s">
        <v>1173</v>
      </c>
      <c r="B6" s="1109"/>
      <c r="C6" s="1109"/>
      <c r="D6" s="1109"/>
      <c r="E6" s="1109"/>
      <c r="F6" s="1109"/>
      <c r="G6" s="1109"/>
      <c r="H6" s="1109"/>
      <c r="I6" s="1109"/>
      <c r="J6" s="1109"/>
      <c r="K6" s="1109"/>
      <c r="L6" s="1109"/>
      <c r="M6" s="1109"/>
      <c r="N6" s="1109"/>
      <c r="O6" s="1109"/>
      <c r="P6" s="1109"/>
      <c r="Q6" s="1109"/>
      <c r="R6" s="1109"/>
      <c r="S6" s="1109"/>
      <c r="T6" s="1109"/>
    </row>
    <row r="7" spans="1:22">
      <c r="A7" s="1110" t="s">
        <v>340</v>
      </c>
      <c r="B7" s="1110"/>
      <c r="C7" s="1110"/>
      <c r="D7" s="1110"/>
      <c r="E7" s="1110"/>
      <c r="F7" s="1110"/>
      <c r="G7" s="1110"/>
      <c r="H7" s="1110"/>
      <c r="I7" s="1110"/>
      <c r="J7" s="1110"/>
      <c r="K7" s="1110"/>
      <c r="L7" s="1110"/>
      <c r="M7" s="1110"/>
      <c r="N7" s="1110"/>
      <c r="O7" s="1110"/>
      <c r="P7" s="1110"/>
      <c r="Q7" s="1110"/>
      <c r="R7" s="1110"/>
      <c r="S7" s="1110"/>
      <c r="T7" s="1110"/>
    </row>
    <row r="8" spans="1:22">
      <c r="A8" s="1111" t="s">
        <v>341</v>
      </c>
      <c r="B8" s="1111"/>
      <c r="C8" s="1111"/>
      <c r="D8" s="1111"/>
      <c r="E8" s="1111"/>
      <c r="F8" s="1111"/>
      <c r="G8" s="1111"/>
      <c r="H8" s="1111"/>
      <c r="I8" s="1111"/>
      <c r="J8" s="1111"/>
      <c r="K8" s="1111"/>
      <c r="L8" s="1111"/>
      <c r="M8" s="1111"/>
      <c r="N8" s="1111"/>
      <c r="O8" s="1111"/>
      <c r="P8" s="1111"/>
      <c r="Q8" s="1111"/>
      <c r="R8" s="1111"/>
      <c r="S8" s="1111"/>
      <c r="T8" s="1111"/>
    </row>
    <row r="9" spans="1:22" ht="21.75" customHeight="1">
      <c r="A9" s="1112" t="s">
        <v>1175</v>
      </c>
      <c r="B9" s="1113"/>
      <c r="C9" s="1113"/>
      <c r="D9" s="1113"/>
      <c r="E9" s="1113"/>
      <c r="F9" s="1113"/>
      <c r="G9" s="1113"/>
      <c r="H9" s="1113"/>
      <c r="I9" s="1113"/>
      <c r="J9" s="1113"/>
      <c r="K9" s="1113"/>
      <c r="L9" s="1113"/>
      <c r="M9" s="1113"/>
      <c r="N9" s="1113"/>
      <c r="O9" s="1113"/>
      <c r="P9" s="1113"/>
      <c r="Q9" s="1113"/>
      <c r="R9" s="1113"/>
      <c r="S9" s="1113"/>
      <c r="T9" s="1113"/>
    </row>
    <row r="10" spans="1:22" ht="22.5" customHeight="1">
      <c r="A10" s="91"/>
      <c r="B10" s="91"/>
      <c r="C10" s="91"/>
      <c r="D10" s="91"/>
      <c r="E10" s="91"/>
      <c r="F10" s="91"/>
      <c r="G10" s="91"/>
      <c r="H10" s="91"/>
      <c r="I10" s="91"/>
      <c r="J10" s="92"/>
      <c r="K10" s="467"/>
      <c r="L10" s="91"/>
      <c r="M10" s="91"/>
      <c r="N10" s="94"/>
      <c r="O10" s="91"/>
      <c r="P10" s="91"/>
      <c r="T10" s="220" t="s">
        <v>648</v>
      </c>
    </row>
    <row r="11" spans="1:22" ht="15.75">
      <c r="A11" s="91"/>
      <c r="B11" s="91"/>
      <c r="C11" s="91"/>
      <c r="D11" s="91"/>
      <c r="E11" s="91"/>
      <c r="F11" s="91"/>
      <c r="G11" s="91"/>
      <c r="H11" s="91"/>
      <c r="I11" s="91"/>
      <c r="J11" s="91"/>
      <c r="K11" s="91"/>
      <c r="L11" s="91"/>
      <c r="M11" s="91"/>
      <c r="N11" s="94"/>
      <c r="O11" s="91"/>
      <c r="P11" s="91"/>
      <c r="T11" s="220" t="str">
        <f>Client!B4</f>
        <v>None</v>
      </c>
    </row>
    <row r="12" spans="1:22" ht="15.75">
      <c r="A12" s="91"/>
      <c r="B12" s="91"/>
      <c r="C12" s="91"/>
      <c r="D12" s="91"/>
      <c r="E12" s="91"/>
      <c r="F12" s="91"/>
      <c r="G12" s="91"/>
      <c r="H12" s="91"/>
      <c r="I12" s="91"/>
      <c r="J12" s="91"/>
      <c r="K12" s="91"/>
      <c r="L12" s="91"/>
      <c r="M12" s="91"/>
      <c r="N12" s="91"/>
      <c r="O12" s="91"/>
      <c r="P12" s="91"/>
      <c r="Q12" s="91"/>
      <c r="R12" s="96"/>
      <c r="S12" s="96"/>
      <c r="T12" s="95" t="str">
        <f>Client!B5&amp;"/"&amp;TEXT(Client!B89,"00")</f>
        <v>CAL11957/02</v>
      </c>
    </row>
    <row r="13" spans="1:22" ht="15">
      <c r="A13" s="91"/>
      <c r="B13" s="91"/>
      <c r="C13" s="91"/>
      <c r="D13" s="91"/>
      <c r="E13" s="91"/>
      <c r="F13" s="91"/>
      <c r="G13" s="91"/>
      <c r="H13" s="91"/>
      <c r="I13" s="91"/>
      <c r="J13" s="91"/>
      <c r="K13" s="91"/>
      <c r="L13" s="91"/>
      <c r="M13" s="91"/>
      <c r="N13" s="91"/>
      <c r="O13" s="91"/>
      <c r="P13" s="91"/>
      <c r="Q13" s="91"/>
      <c r="R13" s="96"/>
      <c r="S13" s="96"/>
    </row>
    <row r="14" spans="1:22" ht="18.75">
      <c r="A14" s="1114" t="s">
        <v>342</v>
      </c>
      <c r="B14" s="1114"/>
      <c r="C14" s="1114"/>
      <c r="D14" s="1114"/>
      <c r="E14" s="1114"/>
      <c r="F14" s="1114"/>
      <c r="G14" s="1114"/>
      <c r="H14" s="1114"/>
      <c r="I14" s="1114"/>
      <c r="J14" s="1114"/>
      <c r="K14" s="1114"/>
      <c r="L14" s="1114"/>
      <c r="M14" s="1114"/>
      <c r="N14" s="1114"/>
      <c r="O14" s="1114"/>
      <c r="P14" s="1114"/>
      <c r="Q14" s="1114"/>
      <c r="R14" s="1114"/>
      <c r="S14" s="1114"/>
      <c r="T14" s="1114"/>
    </row>
    <row r="15" spans="1:22" ht="15" customHeight="1">
      <c r="A15" s="1142" t="s">
        <v>1310</v>
      </c>
      <c r="B15" s="1142"/>
      <c r="C15" s="1142"/>
      <c r="D15" s="1142"/>
      <c r="E15" s="1142"/>
      <c r="F15" s="1142"/>
      <c r="G15" s="1142"/>
      <c r="H15" s="1142"/>
      <c r="I15" s="1142"/>
      <c r="J15" s="1142"/>
      <c r="K15" s="1142"/>
      <c r="L15" s="1142"/>
      <c r="M15" s="1142"/>
      <c r="N15" s="1142"/>
      <c r="O15" s="1142"/>
      <c r="P15" s="1142"/>
      <c r="Q15" s="1142"/>
      <c r="R15" s="1142"/>
      <c r="S15" s="1142"/>
      <c r="T15" s="1142"/>
    </row>
    <row r="16" spans="1:22" ht="15" customHeight="1">
      <c r="A16" s="1441" t="s">
        <v>1157</v>
      </c>
      <c r="B16" s="1142"/>
      <c r="C16" s="1142"/>
      <c r="D16" s="1142"/>
      <c r="E16" s="1142"/>
      <c r="F16" s="1142"/>
      <c r="G16" s="1142"/>
      <c r="H16" s="1142"/>
      <c r="I16" s="1142"/>
      <c r="J16" s="1142"/>
      <c r="K16" s="1142"/>
      <c r="L16" s="1142"/>
      <c r="M16" s="1142"/>
      <c r="N16" s="1142"/>
      <c r="O16" s="1142"/>
      <c r="P16" s="1142"/>
      <c r="Q16" s="1142"/>
      <c r="R16" s="1142"/>
      <c r="S16" s="1142"/>
      <c r="T16" s="1142"/>
    </row>
    <row r="17" spans="1:20" ht="15" customHeight="1"/>
    <row r="18" spans="1:20" ht="15">
      <c r="A18" s="91"/>
      <c r="B18" s="91"/>
      <c r="C18" s="91"/>
      <c r="D18" s="91"/>
      <c r="E18" s="91"/>
      <c r="F18" s="91"/>
      <c r="G18" s="91"/>
      <c r="H18" s="91"/>
      <c r="I18" s="91"/>
      <c r="J18" s="91"/>
      <c r="K18" s="91"/>
      <c r="L18" s="91"/>
      <c r="M18" s="91"/>
      <c r="N18" s="91"/>
      <c r="O18" s="91"/>
      <c r="P18" s="91"/>
      <c r="Q18" s="91"/>
      <c r="R18" s="96"/>
      <c r="S18" s="96"/>
    </row>
    <row r="19" spans="1:20" ht="15.75">
      <c r="A19" s="98" t="s">
        <v>2</v>
      </c>
      <c r="B19" s="99"/>
      <c r="C19" s="99"/>
      <c r="D19" s="99"/>
      <c r="E19" s="99"/>
      <c r="F19" s="99"/>
      <c r="G19" s="100" t="str">
        <f>Client!B6</f>
        <v>De-identified for distribution</v>
      </c>
      <c r="H19" s="99"/>
      <c r="I19" s="99"/>
      <c r="J19" s="99"/>
      <c r="K19" s="99"/>
      <c r="L19" s="99"/>
      <c r="M19" s="99"/>
      <c r="N19" s="99"/>
      <c r="O19" s="99"/>
      <c r="P19" s="99"/>
      <c r="Q19" s="91"/>
      <c r="R19" s="96"/>
      <c r="S19" s="96"/>
    </row>
    <row r="20" spans="1:20" ht="15.75">
      <c r="A20" s="98"/>
      <c r="B20" s="99"/>
      <c r="C20" s="99"/>
      <c r="D20" s="99"/>
      <c r="E20" s="99"/>
      <c r="F20" s="99"/>
      <c r="G20" s="100" t="str">
        <f>Client!B7</f>
        <v>100 Street Name</v>
      </c>
      <c r="H20" s="99"/>
      <c r="I20" s="99"/>
      <c r="J20" s="99"/>
      <c r="K20" s="99"/>
      <c r="L20" s="99"/>
      <c r="M20" s="99"/>
      <c r="N20" s="99"/>
      <c r="O20" s="99"/>
      <c r="P20" s="99"/>
      <c r="Q20" s="91"/>
      <c r="R20" s="96"/>
      <c r="S20" s="96"/>
    </row>
    <row r="21" spans="1:20" ht="15.75">
      <c r="A21" s="98"/>
      <c r="B21" s="99"/>
      <c r="C21" s="99"/>
      <c r="D21" s="99"/>
      <c r="E21" s="99"/>
      <c r="F21" s="99"/>
      <c r="G21" s="100" t="str">
        <f>Client!B8</f>
        <v>Suburb 2000 NSW</v>
      </c>
      <c r="H21" s="99"/>
      <c r="I21" s="99"/>
      <c r="J21" s="99"/>
      <c r="K21" s="99"/>
      <c r="L21" s="99"/>
      <c r="M21" s="99"/>
      <c r="N21" s="99"/>
      <c r="O21" s="99"/>
      <c r="P21" s="99"/>
      <c r="Q21" s="91"/>
      <c r="R21" s="96"/>
      <c r="S21" s="96"/>
    </row>
    <row r="22" spans="1:20" ht="15.75">
      <c r="A22" s="98"/>
      <c r="B22" s="99"/>
      <c r="C22" s="99"/>
      <c r="D22" s="99"/>
      <c r="E22" s="99"/>
      <c r="F22" s="99"/>
      <c r="G22" s="99" t="str">
        <f xml:space="preserve">  IF(Client!B9="","",Client!B9)</f>
        <v/>
      </c>
      <c r="H22" s="99"/>
      <c r="I22" s="99"/>
      <c r="J22" s="99"/>
      <c r="K22" s="99"/>
      <c r="L22" s="99"/>
      <c r="M22" s="99"/>
      <c r="N22" s="99"/>
      <c r="O22" s="99"/>
      <c r="P22" s="99"/>
      <c r="Q22" s="91"/>
      <c r="R22" s="96"/>
      <c r="S22" s="96"/>
    </row>
    <row r="23" spans="1:20" ht="15.75">
      <c r="A23" s="98"/>
      <c r="B23" s="99"/>
      <c r="C23" s="99"/>
      <c r="D23" s="99"/>
      <c r="E23" s="99"/>
      <c r="F23" s="99"/>
      <c r="G23" s="99"/>
      <c r="H23" s="99"/>
      <c r="I23" s="99"/>
      <c r="J23" s="99"/>
      <c r="K23" s="99"/>
      <c r="L23" s="99"/>
      <c r="M23" s="99"/>
      <c r="N23" s="99"/>
      <c r="O23" s="99"/>
      <c r="P23" s="99"/>
      <c r="Q23" s="91"/>
      <c r="R23" s="96"/>
      <c r="S23" s="96"/>
    </row>
    <row r="24" spans="1:20" ht="15.75">
      <c r="A24" s="98" t="s">
        <v>1311</v>
      </c>
      <c r="B24" s="99"/>
      <c r="C24" s="99"/>
      <c r="D24" s="99"/>
      <c r="E24" s="99"/>
      <c r="F24" s="99"/>
      <c r="G24" s="99" t="str">
        <f>Client!B29&amp;", serial number " &amp;Client!B30</f>
        <v>IBA FC65-G, serial number 457</v>
      </c>
      <c r="H24" s="99"/>
      <c r="I24" s="99"/>
      <c r="J24" s="99"/>
      <c r="K24" s="99"/>
      <c r="L24" s="99"/>
      <c r="M24" s="99"/>
      <c r="N24" s="99"/>
      <c r="O24" s="99"/>
      <c r="P24" s="99"/>
      <c r="Q24" s="91"/>
      <c r="R24" s="96"/>
      <c r="S24" s="96"/>
    </row>
    <row r="25" spans="1:20" ht="15.75">
      <c r="A25" s="98"/>
      <c r="B25" s="99"/>
      <c r="C25" s="99"/>
      <c r="D25" s="99"/>
      <c r="E25" s="99"/>
      <c r="F25" s="99"/>
      <c r="G25" s="99"/>
      <c r="H25" s="99"/>
      <c r="I25" s="99"/>
      <c r="J25" s="99"/>
      <c r="K25" s="99"/>
      <c r="L25" s="99"/>
      <c r="M25" s="99"/>
      <c r="N25" s="99"/>
      <c r="O25" s="99"/>
      <c r="P25" s="99"/>
      <c r="Q25" s="91"/>
      <c r="R25" s="96"/>
      <c r="S25" s="96"/>
    </row>
    <row r="26" spans="1:20" ht="15.75">
      <c r="A26" s="98" t="s">
        <v>334</v>
      </c>
      <c r="B26" s="99"/>
      <c r="C26" s="99"/>
      <c r="D26" s="99"/>
      <c r="E26" s="99"/>
      <c r="F26" s="99"/>
      <c r="G26" s="99" t="str" cm="1">
        <f t="array" ref="G26">make_Date_range(Client!K91,Client!L91)</f>
        <v>30 December 1899</v>
      </c>
      <c r="H26" s="99"/>
      <c r="I26" s="99"/>
      <c r="J26" s="99"/>
      <c r="K26" s="99"/>
      <c r="L26" s="99"/>
      <c r="M26" s="99"/>
      <c r="N26" s="99"/>
      <c r="O26" s="99"/>
      <c r="P26" s="99"/>
      <c r="Q26" s="91"/>
      <c r="R26" s="96"/>
      <c r="S26" s="96"/>
    </row>
    <row r="27" spans="1:20" ht="15.75">
      <c r="A27" s="98"/>
      <c r="B27" s="99"/>
      <c r="C27" s="99"/>
      <c r="D27" s="99"/>
      <c r="E27" s="99"/>
      <c r="F27" s="99"/>
      <c r="G27" s="99"/>
      <c r="H27" s="99"/>
      <c r="I27" s="99"/>
      <c r="J27" s="99"/>
      <c r="K27" s="99"/>
      <c r="L27" s="99"/>
      <c r="M27" s="99"/>
      <c r="N27" s="99"/>
      <c r="O27" s="99"/>
      <c r="P27" s="99"/>
      <c r="Q27" s="91"/>
      <c r="R27" s="96"/>
      <c r="S27" s="96"/>
      <c r="T27" s="1147" t="str">
        <f>Intro!D4&amp;" "&amp;Intro!D5</f>
        <v>IRC-FORM-2100J (ARPANSA-FORM-1856) 23-Production</v>
      </c>
    </row>
    <row r="28" spans="1:20" ht="15.75" customHeight="1">
      <c r="A28" s="98" t="s">
        <v>71</v>
      </c>
      <c r="B28" s="99"/>
      <c r="C28" s="99"/>
      <c r="D28" s="99"/>
      <c r="E28" s="99"/>
      <c r="F28" s="99"/>
      <c r="G28" s="100">
        <f xml:space="preserve"> Client!B92</f>
        <v>0</v>
      </c>
      <c r="H28" s="99"/>
      <c r="I28" s="99"/>
      <c r="J28" s="97"/>
      <c r="K28" s="99"/>
      <c r="L28" s="99"/>
      <c r="M28" s="99"/>
      <c r="N28" s="99"/>
      <c r="O28" s="99"/>
      <c r="P28" s="99"/>
      <c r="R28" s="96"/>
      <c r="S28" s="96"/>
      <c r="T28" s="1147"/>
    </row>
    <row r="29" spans="1:20" ht="15.75">
      <c r="A29" s="98"/>
      <c r="B29" s="99"/>
      <c r="C29" s="99"/>
      <c r="D29" s="99"/>
      <c r="E29" s="99"/>
      <c r="F29" s="99"/>
      <c r="G29" s="99"/>
      <c r="H29" s="99"/>
      <c r="I29" s="99"/>
      <c r="J29" s="99"/>
      <c r="K29" s="99"/>
      <c r="L29" s="99"/>
      <c r="M29" s="99"/>
      <c r="N29" s="99"/>
      <c r="O29" s="99"/>
      <c r="P29" s="99"/>
      <c r="R29" s="96"/>
      <c r="S29" s="96"/>
      <c r="T29" s="1147"/>
    </row>
    <row r="30" spans="1:20" ht="15.75">
      <c r="A30" s="98" t="str">
        <f>IF(Client!L94,"Test and report by","Test by")</f>
        <v>Test and report by</v>
      </c>
      <c r="B30" s="99"/>
      <c r="C30" s="99"/>
      <c r="D30" s="99"/>
      <c r="E30" s="99"/>
      <c r="F30" s="99"/>
      <c r="G30" s="100">
        <f>Client!B93</f>
        <v>0</v>
      </c>
      <c r="H30" s="99"/>
      <c r="I30" s="99"/>
      <c r="J30" s="99"/>
      <c r="K30" s="99"/>
      <c r="L30" s="99"/>
      <c r="M30" s="99"/>
      <c r="N30" s="99"/>
      <c r="O30" s="99"/>
      <c r="P30" s="99"/>
      <c r="R30" s="96"/>
      <c r="S30" s="96"/>
      <c r="T30" s="1147"/>
    </row>
    <row r="31" spans="1:20" ht="15.75" customHeight="1">
      <c r="A31" s="98" t="str">
        <f>IF(Client!L94,"","Report by")</f>
        <v/>
      </c>
      <c r="B31" s="99"/>
      <c r="C31" s="99"/>
      <c r="D31" s="99"/>
      <c r="E31" s="99"/>
      <c r="F31" s="99"/>
      <c r="G31" s="206" t="str">
        <f>IF(Client!L94,"",Client!B94)</f>
        <v/>
      </c>
      <c r="H31" s="99"/>
      <c r="I31" s="99"/>
      <c r="J31" s="99"/>
      <c r="K31" s="99"/>
      <c r="L31" s="99"/>
      <c r="M31" s="99"/>
      <c r="N31" s="99"/>
      <c r="O31" s="99"/>
      <c r="P31" s="99"/>
      <c r="R31" s="96"/>
      <c r="S31" s="96"/>
      <c r="T31" s="1147"/>
    </row>
    <row r="32" spans="1:20" ht="15.75">
      <c r="A32" s="98" t="s">
        <v>333</v>
      </c>
      <c r="B32" s="99"/>
      <c r="C32" s="99"/>
      <c r="D32" s="99"/>
      <c r="E32" s="99"/>
      <c r="F32" s="99"/>
      <c r="G32" s="99" t="str" cm="1">
        <f t="array" ref="G32">date_to_text(Client!B90)</f>
        <v>0</v>
      </c>
      <c r="H32" s="99"/>
      <c r="I32" s="99"/>
      <c r="J32" s="99"/>
      <c r="K32" s="99"/>
      <c r="L32" s="99"/>
      <c r="M32" s="99"/>
      <c r="N32" s="99"/>
      <c r="O32" s="99"/>
      <c r="P32" s="99"/>
      <c r="R32" s="96"/>
      <c r="S32" s="96"/>
      <c r="T32" s="1147"/>
    </row>
    <row r="33" spans="1:20" ht="15.75">
      <c r="A33" s="98"/>
      <c r="B33" s="99"/>
      <c r="C33" s="99"/>
      <c r="D33" s="99"/>
      <c r="E33" s="99"/>
      <c r="F33" s="99"/>
      <c r="G33" s="99"/>
      <c r="H33" s="99"/>
      <c r="I33" s="99"/>
      <c r="J33" s="99"/>
      <c r="K33" s="99"/>
      <c r="L33" s="99"/>
      <c r="M33" s="99"/>
      <c r="N33" s="99"/>
      <c r="O33" s="99"/>
      <c r="P33" s="99"/>
      <c r="R33" s="96"/>
      <c r="S33" s="96"/>
      <c r="T33" s="1147"/>
    </row>
    <row r="34" spans="1:20" ht="15.75">
      <c r="A34" s="99" t="s">
        <v>343</v>
      </c>
      <c r="B34" s="99"/>
      <c r="C34" s="99"/>
      <c r="D34" s="99"/>
      <c r="E34" s="99"/>
      <c r="F34" s="99"/>
      <c r="G34" s="99" t="s">
        <v>344</v>
      </c>
      <c r="H34" s="99"/>
      <c r="I34" s="99"/>
      <c r="J34" s="99"/>
      <c r="K34" s="99"/>
      <c r="L34" s="99"/>
      <c r="M34" s="99"/>
      <c r="N34" s="99"/>
      <c r="O34" s="99"/>
      <c r="P34" s="99"/>
      <c r="R34" s="96"/>
      <c r="S34" s="96"/>
      <c r="T34" s="1147"/>
    </row>
    <row r="35" spans="1:20" ht="15.75">
      <c r="A35" s="98" t="s">
        <v>345</v>
      </c>
      <c r="B35" s="99"/>
      <c r="C35" s="99"/>
      <c r="D35" s="99"/>
      <c r="E35" s="99"/>
      <c r="F35" s="99"/>
      <c r="G35" s="221" t="s">
        <v>1176</v>
      </c>
      <c r="H35" s="99"/>
      <c r="I35" s="99"/>
      <c r="J35" s="99"/>
      <c r="K35" s="99"/>
      <c r="L35" s="99"/>
      <c r="M35" s="99"/>
      <c r="N35" s="99"/>
      <c r="O35" s="99"/>
      <c r="P35" s="99"/>
      <c r="R35" s="96"/>
      <c r="S35" s="96"/>
      <c r="T35" s="1147"/>
    </row>
    <row r="36" spans="1:20" ht="15.75" customHeight="1">
      <c r="A36" s="99"/>
      <c r="B36" s="99"/>
      <c r="C36" s="99"/>
      <c r="D36" s="99"/>
      <c r="E36" s="99"/>
      <c r="F36" s="99"/>
      <c r="G36" s="99"/>
      <c r="H36" s="99"/>
      <c r="I36" s="99"/>
      <c r="J36" s="99"/>
      <c r="K36" s="99"/>
      <c r="L36" s="99"/>
      <c r="M36" s="99"/>
      <c r="N36" s="99"/>
      <c r="O36" s="99"/>
      <c r="P36" s="99"/>
      <c r="R36" s="96"/>
      <c r="S36" s="96"/>
      <c r="T36" s="1147"/>
    </row>
    <row r="37" spans="1:20" ht="27.75" customHeight="1">
      <c r="A37" s="99"/>
      <c r="B37" s="99"/>
      <c r="C37" s="99"/>
      <c r="D37" s="99"/>
      <c r="E37" s="99"/>
      <c r="F37" s="99"/>
      <c r="G37" s="99"/>
      <c r="H37" s="99"/>
      <c r="I37" s="99"/>
      <c r="J37" s="99"/>
      <c r="K37" s="99"/>
      <c r="L37" s="99"/>
      <c r="M37" s="99"/>
      <c r="N37" s="99"/>
      <c r="O37" s="99"/>
      <c r="P37" s="99"/>
      <c r="Q37" s="91"/>
      <c r="R37" s="96"/>
      <c r="S37" s="96"/>
      <c r="T37" s="1147"/>
    </row>
    <row r="38" spans="1:20" ht="15.75">
      <c r="A38" s="99" t="s">
        <v>346</v>
      </c>
      <c r="B38" s="99"/>
      <c r="C38" s="101"/>
      <c r="D38" s="101"/>
      <c r="E38" s="101"/>
      <c r="F38" s="101"/>
      <c r="G38" s="101"/>
      <c r="H38" s="102" t="s">
        <v>347</v>
      </c>
      <c r="I38" s="99"/>
      <c r="J38" s="99"/>
      <c r="K38" s="99"/>
      <c r="L38" s="99"/>
      <c r="N38" s="95" t="s">
        <v>348</v>
      </c>
      <c r="O38" s="1146"/>
      <c r="P38" s="1146"/>
      <c r="Q38" s="1146"/>
      <c r="R38" s="1146"/>
      <c r="S38" s="91"/>
      <c r="T38" s="1147"/>
    </row>
    <row r="39" spans="1:20" ht="15.75">
      <c r="A39" s="99"/>
      <c r="B39" s="99"/>
      <c r="C39" s="99"/>
      <c r="D39" s="99"/>
      <c r="E39" s="99"/>
      <c r="F39" s="99"/>
      <c r="G39" s="99"/>
      <c r="H39" s="99"/>
      <c r="I39" s="99"/>
      <c r="J39" s="99"/>
      <c r="K39" s="99"/>
      <c r="L39" s="99"/>
      <c r="M39" s="99"/>
      <c r="N39" s="99"/>
      <c r="O39" s="99"/>
      <c r="P39" s="99"/>
      <c r="Q39" s="91"/>
      <c r="R39" s="96"/>
      <c r="S39" s="96"/>
      <c r="T39" s="1147"/>
    </row>
    <row r="40" spans="1:20" ht="15.75">
      <c r="A40" s="100">
        <f>Client!B95</f>
        <v>0</v>
      </c>
      <c r="B40" s="99"/>
      <c r="C40" s="99"/>
      <c r="D40" s="99"/>
      <c r="E40" s="99"/>
      <c r="F40" s="99"/>
      <c r="G40" s="99"/>
      <c r="H40" s="99"/>
      <c r="I40" s="99"/>
      <c r="J40" s="99"/>
      <c r="K40" s="99"/>
      <c r="L40" s="99"/>
      <c r="M40" s="99"/>
      <c r="N40" s="99"/>
      <c r="O40" s="99"/>
      <c r="P40" s="99"/>
      <c r="Q40" s="91"/>
      <c r="R40" s="96"/>
      <c r="S40" s="96"/>
      <c r="T40" s="1147"/>
    </row>
    <row r="41" spans="1:20" ht="15.75">
      <c r="A41" s="99" t="s">
        <v>349</v>
      </c>
      <c r="B41" s="99"/>
      <c r="C41" s="99"/>
      <c r="D41" s="99"/>
      <c r="E41" s="99"/>
      <c r="F41" s="99"/>
      <c r="G41" s="99"/>
      <c r="H41" s="99"/>
      <c r="I41" s="99"/>
      <c r="J41" s="99"/>
      <c r="K41" s="99"/>
      <c r="L41" s="99"/>
      <c r="M41" s="99"/>
      <c r="N41" s="99"/>
      <c r="O41" s="99"/>
      <c r="P41" s="99"/>
      <c r="Q41" s="91"/>
      <c r="R41" s="96"/>
      <c r="S41" s="96"/>
    </row>
    <row r="42" spans="1:20" ht="15">
      <c r="A42" s="96"/>
      <c r="B42" s="96"/>
      <c r="C42" s="96"/>
      <c r="D42" s="96"/>
      <c r="E42" s="96"/>
      <c r="F42" s="96"/>
      <c r="G42" s="96"/>
      <c r="H42" s="96"/>
      <c r="I42" s="96"/>
      <c r="J42" s="96"/>
      <c r="K42" s="96"/>
      <c r="L42" s="96"/>
      <c r="M42" s="96"/>
      <c r="N42" s="96"/>
      <c r="O42" s="96"/>
      <c r="P42" s="96"/>
      <c r="Q42" s="96"/>
      <c r="R42" s="96"/>
      <c r="S42" s="96"/>
    </row>
    <row r="45" spans="1:20" ht="15">
      <c r="M45" s="103"/>
    </row>
    <row r="46" spans="1:20" ht="9.9499999999999993" customHeight="1"/>
    <row r="47" spans="1:20" ht="8.1" customHeight="1">
      <c r="N47" s="104"/>
    </row>
    <row r="48" spans="1:20" ht="8.1" customHeight="1">
      <c r="N48" s="104"/>
    </row>
    <row r="49" spans="1:21" ht="8.1" customHeight="1">
      <c r="E49" s="105" t="s">
        <v>1058</v>
      </c>
      <c r="N49" s="104"/>
    </row>
    <row r="50" spans="1:21" ht="8.1" customHeight="1">
      <c r="E50" s="105" t="s">
        <v>353</v>
      </c>
      <c r="N50" s="104"/>
    </row>
    <row r="51" spans="1:21" ht="8.1" customHeight="1">
      <c r="C51" s="105"/>
      <c r="E51" s="105" t="s">
        <v>355</v>
      </c>
      <c r="N51" s="104"/>
    </row>
    <row r="52" spans="1:21" ht="8.1" customHeight="1">
      <c r="E52" s="105" t="s">
        <v>357</v>
      </c>
      <c r="N52" s="104"/>
    </row>
    <row r="53" spans="1:21" ht="13.5" customHeight="1">
      <c r="E53" s="106" t="s">
        <v>1238</v>
      </c>
      <c r="N53" s="107"/>
    </row>
    <row r="54" spans="1:21" ht="22.5" customHeight="1"/>
    <row r="55" spans="1:21">
      <c r="A55" s="420" t="str">
        <f>"Calibration No.: "&amp;$T$12</f>
        <v>Calibration No.: CAL11957/02</v>
      </c>
      <c r="B55" s="421"/>
      <c r="C55" s="421"/>
      <c r="D55" s="421"/>
      <c r="E55" s="421"/>
      <c r="F55" s="421"/>
      <c r="G55" s="421"/>
      <c r="H55" s="421"/>
      <c r="I55" s="422" t="str">
        <f>$G$32</f>
        <v>0</v>
      </c>
      <c r="J55" s="421"/>
      <c r="K55" s="421"/>
      <c r="L55" s="421"/>
      <c r="M55" s="421"/>
      <c r="N55" s="420" t="s">
        <v>360</v>
      </c>
      <c r="O55" s="423"/>
      <c r="P55" s="423"/>
      <c r="Q55" s="423"/>
      <c r="R55" s="423"/>
      <c r="S55" s="423"/>
      <c r="T55" s="423" t="s">
        <v>1156</v>
      </c>
      <c r="U55" s="352"/>
    </row>
    <row r="56" spans="1:21" ht="15.75">
      <c r="A56" s="1144" t="s">
        <v>361</v>
      </c>
      <c r="B56" s="1144"/>
      <c r="C56" s="1144"/>
      <c r="D56" s="1144"/>
      <c r="E56" s="1144"/>
      <c r="F56" s="1144"/>
      <c r="G56" s="1144"/>
      <c r="H56" s="1144"/>
      <c r="I56" s="1144"/>
      <c r="J56" s="1144"/>
      <c r="K56" s="1144"/>
      <c r="L56" s="1144"/>
      <c r="M56" s="1144"/>
      <c r="N56" s="1144"/>
      <c r="O56" s="1144"/>
      <c r="P56" s="1144"/>
      <c r="Q56" s="1144"/>
      <c r="R56" s="1144"/>
      <c r="S56" s="1144"/>
      <c r="T56" s="1144"/>
    </row>
    <row r="57" spans="1:21" ht="15.75">
      <c r="A57" s="109"/>
      <c r="B57" s="109"/>
      <c r="C57" s="109"/>
      <c r="D57" s="109"/>
      <c r="E57" s="109"/>
      <c r="F57" s="109"/>
      <c r="G57" s="109"/>
      <c r="H57" s="109"/>
      <c r="I57" s="109"/>
      <c r="J57" s="109"/>
      <c r="K57" s="109"/>
      <c r="L57" s="109"/>
      <c r="M57" s="109"/>
      <c r="N57" s="109"/>
      <c r="O57" s="108"/>
      <c r="P57" s="108"/>
      <c r="Q57" s="108"/>
    </row>
    <row r="58" spans="1:21" ht="15.75">
      <c r="A58" s="110" t="str">
        <f ca="1">Client!Q2</f>
        <v>Chamber description – IBA FC65-G</v>
      </c>
      <c r="B58" s="109"/>
      <c r="C58" s="109"/>
      <c r="D58" s="109"/>
      <c r="E58" s="109"/>
      <c r="F58" s="109"/>
      <c r="G58" s="109"/>
      <c r="H58" s="109"/>
      <c r="I58" s="109"/>
      <c r="J58" s="109"/>
      <c r="K58" s="109"/>
      <c r="L58" s="109"/>
      <c r="M58" s="109"/>
      <c r="N58" s="109"/>
      <c r="O58" s="108"/>
      <c r="P58" s="108"/>
      <c r="Q58" s="108"/>
    </row>
    <row r="59" spans="1:21" ht="15.75">
      <c r="A59" s="111" t="s">
        <v>362</v>
      </c>
      <c r="B59" s="109" t="str">
        <f ca="1">Client!Q3&amp;Client!Z3</f>
        <v>Farmer-type with graphite walls of nominal thickness 0.073 g/cm².</v>
      </c>
      <c r="C59" s="109"/>
      <c r="D59" s="109"/>
      <c r="E59" s="109"/>
      <c r="F59" s="109"/>
      <c r="G59" s="109"/>
      <c r="H59" s="109"/>
      <c r="I59" s="109"/>
      <c r="J59" s="109"/>
      <c r="K59" s="109"/>
      <c r="L59" s="109"/>
      <c r="M59" s="109"/>
      <c r="N59" s="109"/>
      <c r="O59" s="108"/>
      <c r="P59" s="108"/>
      <c r="Q59" s="108"/>
    </row>
    <row r="60" spans="1:21" ht="15.75">
      <c r="A60" s="111" t="s">
        <v>362</v>
      </c>
      <c r="B60" s="109" t="str">
        <f ca="1">Client!Q4</f>
        <v>The nominal cavity volume is 0.65 cc (length 23.1 mm and radius 3.1 mm).</v>
      </c>
      <c r="C60" s="109"/>
      <c r="D60" s="109"/>
      <c r="E60" s="109"/>
      <c r="F60" s="109"/>
      <c r="G60" s="109"/>
      <c r="H60" s="109"/>
      <c r="I60" s="109"/>
      <c r="J60" s="109"/>
      <c r="K60" s="109"/>
      <c r="L60" s="109"/>
      <c r="M60" s="109"/>
      <c r="N60" s="109"/>
      <c r="O60" s="108"/>
      <c r="P60" s="108"/>
      <c r="Q60" s="108"/>
    </row>
    <row r="61" spans="1:21" ht="15.75">
      <c r="A61" s="111" t="s">
        <v>362</v>
      </c>
      <c r="B61" s="109" t="str">
        <f ca="1">Client!Q5</f>
        <v>The central electrode is aluminium.</v>
      </c>
      <c r="C61" s="109"/>
      <c r="D61" s="109"/>
      <c r="E61" s="109"/>
      <c r="F61" s="109"/>
      <c r="G61" s="109"/>
      <c r="H61" s="109"/>
      <c r="I61" s="109"/>
      <c r="J61" s="109"/>
      <c r="K61" s="109"/>
      <c r="L61" s="109"/>
      <c r="M61" s="109"/>
      <c r="N61" s="109"/>
      <c r="O61" s="108"/>
      <c r="P61" s="108"/>
      <c r="Q61" s="108"/>
    </row>
    <row r="62" spans="1:21" ht="15.75">
      <c r="A62" s="111" t="s">
        <v>362</v>
      </c>
      <c r="B62" s="109" t="str">
        <f ca="1">Client!Q6</f>
        <v>The buildup cap is Delrin.</v>
      </c>
      <c r="C62" s="109"/>
      <c r="D62" s="109"/>
      <c r="E62" s="109"/>
      <c r="F62" s="109"/>
      <c r="G62" s="109"/>
      <c r="H62" s="109"/>
      <c r="I62" s="109"/>
      <c r="J62" s="109"/>
      <c r="K62" s="109"/>
      <c r="L62" s="109"/>
      <c r="M62" s="109"/>
      <c r="N62" s="109"/>
      <c r="O62" s="108"/>
      <c r="P62" s="108"/>
      <c r="Q62" s="108"/>
    </row>
    <row r="63" spans="1:21" ht="15.75">
      <c r="A63" s="111" t="s">
        <v>362</v>
      </c>
      <c r="B63" s="109" t="str">
        <f ca="1">Client!Q7</f>
        <v>The chamber is waterproof.</v>
      </c>
      <c r="C63" s="109"/>
      <c r="D63" s="109"/>
      <c r="E63" s="109"/>
      <c r="F63" s="109"/>
      <c r="G63" s="109"/>
      <c r="H63" s="109"/>
      <c r="I63" s="109"/>
      <c r="J63" s="109"/>
      <c r="K63" s="109"/>
      <c r="L63" s="109"/>
      <c r="M63" s="109"/>
      <c r="N63" s="109"/>
      <c r="O63" s="108"/>
      <c r="P63" s="108"/>
      <c r="Q63" s="108"/>
    </row>
    <row r="64" spans="1:21" ht="15.75">
      <c r="A64" s="109"/>
      <c r="B64" s="109"/>
      <c r="C64" s="109"/>
      <c r="D64" s="109"/>
      <c r="E64" s="109"/>
      <c r="F64" s="109"/>
      <c r="G64" s="109"/>
      <c r="H64" s="109"/>
      <c r="I64" s="109"/>
      <c r="J64" s="109"/>
      <c r="K64" s="109"/>
      <c r="L64" s="109"/>
      <c r="M64" s="109"/>
      <c r="N64" s="109"/>
      <c r="O64" s="108"/>
      <c r="P64" s="108"/>
      <c r="Q64" s="108"/>
    </row>
    <row r="65" spans="1:28" ht="15.75">
      <c r="A65" s="110" t="s">
        <v>363</v>
      </c>
      <c r="B65" s="109"/>
      <c r="C65" s="109"/>
      <c r="D65" s="109"/>
      <c r="E65" s="109"/>
      <c r="F65" s="109"/>
      <c r="G65" s="109"/>
      <c r="H65" s="109"/>
      <c r="I65" s="109"/>
      <c r="J65" s="109"/>
      <c r="K65" s="109"/>
      <c r="L65" s="109"/>
      <c r="M65" s="109"/>
      <c r="N65" s="109"/>
      <c r="O65" s="108"/>
      <c r="P65" s="108"/>
      <c r="Q65" s="108"/>
    </row>
    <row r="66" spans="1:28" ht="15.75">
      <c r="A66" s="111" t="s">
        <v>362</v>
      </c>
      <c r="B66" s="100" t="str">
        <f>Client!B34</f>
        <v>Buildup cap</v>
      </c>
      <c r="C66" s="109"/>
      <c r="D66" s="109"/>
      <c r="E66" s="109"/>
      <c r="F66" s="109"/>
      <c r="G66" s="109"/>
      <c r="H66" s="109"/>
      <c r="I66" s="109"/>
      <c r="J66" s="109"/>
      <c r="K66" s="109"/>
      <c r="L66" s="109"/>
      <c r="M66" s="109"/>
      <c r="N66" s="109"/>
      <c r="O66" s="108"/>
      <c r="P66" s="108"/>
      <c r="Q66" s="108"/>
    </row>
    <row r="67" spans="1:28" ht="15.75">
      <c r="A67" s="109"/>
      <c r="B67" s="109"/>
      <c r="C67" s="109"/>
      <c r="D67" s="109"/>
      <c r="E67" s="109"/>
      <c r="F67" s="109"/>
      <c r="G67" s="109"/>
      <c r="H67" s="109"/>
      <c r="I67" s="109"/>
      <c r="J67" s="109"/>
      <c r="K67" s="109"/>
      <c r="L67" s="109"/>
      <c r="M67" s="109"/>
      <c r="N67" s="109"/>
      <c r="O67" s="108"/>
      <c r="P67" s="108"/>
      <c r="Q67" s="108"/>
    </row>
    <row r="68" spans="1:28" ht="15.75">
      <c r="A68" s="110" t="s">
        <v>364</v>
      </c>
      <c r="B68" s="109"/>
      <c r="C68" s="109"/>
      <c r="D68" s="109"/>
      <c r="E68" s="109"/>
      <c r="F68" s="109"/>
      <c r="G68" s="109"/>
      <c r="H68" s="109"/>
      <c r="I68" s="109"/>
      <c r="J68" s="109"/>
      <c r="K68" s="109"/>
      <c r="L68" s="109"/>
      <c r="M68" s="109"/>
      <c r="N68" s="109"/>
      <c r="O68" s="108"/>
      <c r="P68" s="108"/>
      <c r="Q68" s="108"/>
    </row>
    <row r="69" spans="1:28" ht="15.75">
      <c r="A69" s="111" t="s">
        <v>362</v>
      </c>
      <c r="B69" s="109" t="s">
        <v>1308</v>
      </c>
      <c r="C69" s="109"/>
      <c r="D69" s="109"/>
      <c r="E69" s="109"/>
      <c r="F69" s="109"/>
      <c r="G69" s="109"/>
      <c r="H69" s="109"/>
      <c r="I69" s="109"/>
      <c r="J69" s="109"/>
      <c r="K69" s="109"/>
      <c r="L69" s="109"/>
      <c r="M69" s="109"/>
      <c r="N69" s="109"/>
      <c r="O69" s="108"/>
      <c r="P69" s="108"/>
      <c r="Q69" s="108"/>
    </row>
    <row r="70" spans="1:28" ht="15.75">
      <c r="A70" s="108"/>
      <c r="B70" s="108"/>
      <c r="C70" s="108"/>
      <c r="D70" s="108"/>
      <c r="E70" s="108"/>
      <c r="F70" s="108"/>
      <c r="G70" s="108"/>
      <c r="H70" s="108"/>
      <c r="I70" s="108"/>
      <c r="J70" s="108"/>
      <c r="K70" s="108"/>
      <c r="L70" s="108"/>
      <c r="M70" s="108"/>
      <c r="N70" s="108"/>
      <c r="O70" s="108"/>
      <c r="P70" s="108"/>
      <c r="Q70" s="108"/>
    </row>
    <row r="71" spans="1:28" ht="15.75">
      <c r="A71" s="112" t="s">
        <v>365</v>
      </c>
      <c r="B71" s="108"/>
      <c r="C71" s="108"/>
      <c r="D71" s="108"/>
      <c r="E71" s="108"/>
      <c r="F71" s="108"/>
      <c r="G71" s="108"/>
      <c r="H71" s="108"/>
      <c r="I71" s="108"/>
      <c r="J71" s="108"/>
      <c r="K71" s="108"/>
      <c r="L71" s="108"/>
      <c r="M71" s="108"/>
      <c r="N71" s="108"/>
      <c r="O71" s="108"/>
      <c r="P71" s="108"/>
      <c r="Q71" s="108"/>
    </row>
    <row r="72" spans="1:28" ht="48.75" customHeight="1">
      <c r="A72" s="111" t="s">
        <v>362</v>
      </c>
      <c r="B72" s="1136" t="s">
        <v>1279</v>
      </c>
      <c r="C72" s="1136"/>
      <c r="D72" s="1136"/>
      <c r="E72" s="1136"/>
      <c r="F72" s="1136"/>
      <c r="G72" s="1136"/>
      <c r="H72" s="1136"/>
      <c r="I72" s="1136"/>
      <c r="J72" s="1136"/>
      <c r="K72" s="1136"/>
      <c r="L72" s="1136"/>
      <c r="M72" s="1136"/>
      <c r="N72" s="1136"/>
      <c r="O72" s="1136"/>
      <c r="P72" s="1136"/>
      <c r="Q72" s="1136"/>
      <c r="R72" s="1136"/>
      <c r="S72" s="1136"/>
      <c r="T72" s="1136"/>
    </row>
    <row r="73" spans="1:28" ht="15.75" customHeight="1">
      <c r="A73" s="111"/>
      <c r="B73" s="903"/>
      <c r="C73" s="903"/>
      <c r="D73" s="903"/>
      <c r="E73" s="903"/>
      <c r="F73" s="903"/>
      <c r="G73" s="903"/>
      <c r="H73" s="903"/>
      <c r="I73" s="903"/>
      <c r="J73" s="903"/>
      <c r="K73" s="903"/>
      <c r="L73" s="903"/>
      <c r="M73" s="903"/>
      <c r="N73" s="903"/>
      <c r="O73" s="903"/>
      <c r="P73" s="903"/>
      <c r="Q73" s="903"/>
      <c r="R73" s="903"/>
      <c r="S73" s="903"/>
      <c r="T73" s="903"/>
    </row>
    <row r="74" spans="1:28" ht="17.25" customHeight="1">
      <c r="A74" s="149" t="s">
        <v>411</v>
      </c>
      <c r="B74" s="896"/>
      <c r="C74" s="896"/>
      <c r="D74" s="896"/>
      <c r="E74" s="896"/>
      <c r="F74" s="896"/>
      <c r="G74" s="896"/>
      <c r="H74" s="896"/>
      <c r="I74" s="896"/>
      <c r="J74" s="896"/>
      <c r="K74" s="896"/>
      <c r="L74" s="896"/>
      <c r="M74" s="896"/>
      <c r="N74" s="896"/>
      <c r="O74" s="896"/>
      <c r="P74" s="896"/>
      <c r="Q74" s="896"/>
      <c r="R74" s="896"/>
      <c r="S74" s="896"/>
      <c r="T74" s="896"/>
    </row>
    <row r="75" spans="1:28" ht="69.75" customHeight="1">
      <c r="A75" s="111" t="s">
        <v>362</v>
      </c>
      <c r="B75" s="1140" t="s">
        <v>412</v>
      </c>
      <c r="C75" s="1140"/>
      <c r="D75" s="1140"/>
      <c r="E75" s="1140"/>
      <c r="F75" s="1140"/>
      <c r="G75" s="1140"/>
      <c r="H75" s="1140"/>
      <c r="I75" s="1140"/>
      <c r="J75" s="1140"/>
      <c r="K75" s="1140"/>
      <c r="L75" s="1140"/>
      <c r="M75" s="1140"/>
      <c r="N75" s="1140"/>
      <c r="O75" s="1140"/>
      <c r="P75" s="1140"/>
      <c r="Q75" s="1140"/>
      <c r="R75" s="1140"/>
      <c r="S75" s="1140"/>
      <c r="T75" s="1140"/>
    </row>
    <row r="76" spans="1:28" ht="15.75" customHeight="1">
      <c r="A76" s="897"/>
      <c r="B76" s="904"/>
      <c r="C76" s="904"/>
      <c r="D76" s="904"/>
      <c r="E76" s="904"/>
      <c r="F76" s="904"/>
      <c r="G76" s="904"/>
      <c r="H76" s="904"/>
      <c r="I76" s="904"/>
      <c r="J76" s="904"/>
      <c r="K76" s="904"/>
      <c r="L76" s="904"/>
      <c r="M76" s="904"/>
      <c r="N76" s="904"/>
      <c r="O76" s="904"/>
      <c r="P76" s="904"/>
      <c r="Q76" s="904"/>
      <c r="R76" s="904"/>
      <c r="S76" s="904"/>
      <c r="T76" s="904"/>
    </row>
    <row r="77" spans="1:28" ht="15.75">
      <c r="A77" s="149" t="s">
        <v>407</v>
      </c>
      <c r="B77" s="108"/>
      <c r="C77" s="108"/>
      <c r="D77" s="108"/>
      <c r="E77" s="108"/>
      <c r="F77" s="108"/>
      <c r="G77" s="108"/>
      <c r="H77" s="108"/>
      <c r="I77" s="108"/>
      <c r="J77" s="108"/>
      <c r="K77" s="108"/>
      <c r="L77" s="108"/>
      <c r="M77" s="108"/>
      <c r="N77" s="108"/>
      <c r="O77" s="108"/>
      <c r="P77" s="108"/>
      <c r="Q77" s="108"/>
    </row>
    <row r="78" spans="1:28" ht="32.25" customHeight="1">
      <c r="A78" s="111" t="s">
        <v>362</v>
      </c>
      <c r="B78" s="1136" t="s">
        <v>809</v>
      </c>
      <c r="C78" s="1136"/>
      <c r="D78" s="1136"/>
      <c r="E78" s="1136"/>
      <c r="F78" s="1136"/>
      <c r="G78" s="1136"/>
      <c r="H78" s="1136"/>
      <c r="I78" s="1136"/>
      <c r="J78" s="1136"/>
      <c r="K78" s="1136"/>
      <c r="L78" s="1136"/>
      <c r="M78" s="1136"/>
      <c r="N78" s="1136"/>
      <c r="O78" s="1136"/>
      <c r="P78" s="1136"/>
      <c r="Q78" s="1136"/>
      <c r="R78" s="1136"/>
      <c r="S78" s="1136"/>
      <c r="T78" s="1136"/>
      <c r="AA78" s="150"/>
      <c r="AB78" s="149"/>
    </row>
    <row r="79" spans="1:28" ht="70.5" customHeight="1">
      <c r="A79" s="111" t="s">
        <v>362</v>
      </c>
      <c r="B79" s="1136" t="str">
        <f ca="1">IF(Client!Q9,Client!AE129,Client!AE125)</f>
        <v>The ionisation chamber, without its buildup cap, was placed in a water phantom of dimensions 30 cm x 30 cm x 30 cm. The radiation beam entered the phantom horizontally through a side window of thickness 3 mm. The centre of the chamber was placed 5 cm behind the front surface of the phantom, and this surface was placed 100 cm from the effective source centre.</v>
      </c>
      <c r="C79" s="1136"/>
      <c r="D79" s="1136"/>
      <c r="E79" s="1136"/>
      <c r="F79" s="1136"/>
      <c r="G79" s="1136"/>
      <c r="H79" s="1136"/>
      <c r="I79" s="1136"/>
      <c r="J79" s="1136"/>
      <c r="K79" s="1136"/>
      <c r="L79" s="1136"/>
      <c r="M79" s="1136"/>
      <c r="N79" s="1136"/>
      <c r="O79" s="1136"/>
      <c r="P79" s="1136"/>
      <c r="Q79" s="1136"/>
      <c r="R79" s="1136"/>
      <c r="S79" s="1136"/>
      <c r="T79" s="1136"/>
      <c r="AA79" s="151"/>
      <c r="AB79" s="351"/>
    </row>
    <row r="80" spans="1:28" ht="99.75" customHeight="1">
      <c r="A80" s="111" t="s">
        <v>362</v>
      </c>
      <c r="B80" s="1136" t="s">
        <v>1293</v>
      </c>
      <c r="C80" s="1136"/>
      <c r="D80" s="1136"/>
      <c r="E80" s="1136"/>
      <c r="F80" s="1136"/>
      <c r="G80" s="1136"/>
      <c r="H80" s="1136"/>
      <c r="I80" s="1136"/>
      <c r="J80" s="1136"/>
      <c r="K80" s="1136"/>
      <c r="L80" s="1136"/>
      <c r="M80" s="1136"/>
      <c r="N80" s="1136"/>
      <c r="O80" s="1136"/>
      <c r="P80" s="1136"/>
      <c r="Q80" s="1136"/>
      <c r="R80" s="1136"/>
      <c r="S80" s="1136"/>
      <c r="T80" s="1136"/>
      <c r="AB80" s="351"/>
    </row>
    <row r="81" spans="1:28" ht="15" customHeight="1">
      <c r="A81" s="111"/>
      <c r="B81" s="852"/>
      <c r="C81" s="852"/>
      <c r="D81" s="852"/>
      <c r="E81" s="852"/>
      <c r="F81" s="852"/>
      <c r="G81" s="852"/>
      <c r="H81" s="852"/>
      <c r="I81" s="852"/>
      <c r="J81" s="852"/>
      <c r="K81" s="852"/>
      <c r="L81" s="852"/>
      <c r="M81" s="852"/>
      <c r="N81" s="852"/>
      <c r="O81" s="852"/>
      <c r="P81" s="852"/>
      <c r="Q81" s="852"/>
      <c r="R81" s="852"/>
      <c r="S81" s="852"/>
      <c r="T81" s="852"/>
    </row>
    <row r="82" spans="1:28" ht="20.25" customHeight="1">
      <c r="A82" s="149" t="s">
        <v>727</v>
      </c>
      <c r="B82" s="852"/>
      <c r="C82" s="852"/>
      <c r="D82" s="852"/>
      <c r="E82" s="852"/>
      <c r="F82" s="852"/>
      <c r="G82" s="852"/>
      <c r="H82" s="852"/>
      <c r="I82" s="852"/>
      <c r="J82" s="852"/>
      <c r="K82" s="852"/>
      <c r="L82" s="852"/>
      <c r="M82" s="852"/>
      <c r="N82" s="852"/>
      <c r="O82" s="852"/>
      <c r="P82" s="852"/>
      <c r="Q82" s="852"/>
      <c r="R82" s="852"/>
      <c r="S82" s="852"/>
      <c r="T82" s="852"/>
    </row>
    <row r="83" spans="1:28" ht="81" customHeight="1">
      <c r="A83" s="111" t="s">
        <v>362</v>
      </c>
      <c r="B83" s="1440" t="str">
        <f ca="1">IF(Client!Q9,Client!AE141,Client!AE136)</f>
        <v>The ionisation chamber, without its buildup cap, was placed in a water phantom of dimensions 30 cm x 30 cm x 30 cm. The radiation beam entered the phantom horizontally through a side window of thickness 3 mm. The centre of the chamber was placed at a water equivalent depth of 10 cm with the phantom surface 100 cm from the effective source centre.</v>
      </c>
      <c r="C83" s="1440"/>
      <c r="D83" s="1440"/>
      <c r="E83" s="1440"/>
      <c r="F83" s="1440"/>
      <c r="G83" s="1440"/>
      <c r="H83" s="1440"/>
      <c r="I83" s="1440"/>
      <c r="J83" s="1440"/>
      <c r="K83" s="1440"/>
      <c r="L83" s="1440"/>
      <c r="M83" s="1440"/>
      <c r="N83" s="1440"/>
      <c r="O83" s="1440"/>
      <c r="P83" s="1440"/>
      <c r="Q83" s="1440"/>
      <c r="R83" s="1440"/>
      <c r="S83" s="1440"/>
      <c r="T83" s="1440"/>
      <c r="AB83" s="351"/>
    </row>
    <row r="84" spans="1:28" ht="24.75" customHeight="1">
      <c r="A84" s="111"/>
      <c r="B84" s="852"/>
      <c r="C84" s="852"/>
      <c r="D84" s="852"/>
      <c r="E84" s="852"/>
      <c r="F84" s="852"/>
      <c r="G84" s="852"/>
      <c r="H84" s="852"/>
      <c r="I84" s="852"/>
      <c r="J84" s="852"/>
      <c r="K84" s="852"/>
      <c r="L84" s="852"/>
      <c r="M84" s="852"/>
      <c r="N84" s="852"/>
      <c r="O84" s="852"/>
      <c r="P84" s="852"/>
      <c r="Q84" s="852"/>
      <c r="S84" s="852"/>
      <c r="T84" s="357"/>
    </row>
    <row r="85" spans="1:28" ht="15" customHeight="1">
      <c r="A85" s="420" t="str">
        <f>"Calibration No.: "&amp;$T$12</f>
        <v>Calibration No.: CAL11957/02</v>
      </c>
      <c r="B85" s="421"/>
      <c r="C85" s="421"/>
      <c r="D85" s="421"/>
      <c r="E85" s="421"/>
      <c r="F85" s="421"/>
      <c r="G85" s="421"/>
      <c r="H85" s="421"/>
      <c r="I85" s="422" t="str">
        <f>$G$32</f>
        <v>0</v>
      </c>
      <c r="J85" s="421"/>
      <c r="K85" s="421"/>
      <c r="L85" s="421"/>
      <c r="M85" s="421"/>
      <c r="N85" s="420" t="s">
        <v>360</v>
      </c>
      <c r="O85" s="423"/>
      <c r="P85" s="423"/>
      <c r="Q85" s="423"/>
      <c r="R85" s="423"/>
      <c r="S85" s="423"/>
      <c r="T85" s="423" t="s">
        <v>1155</v>
      </c>
    </row>
    <row r="86" spans="1:28" ht="47.25" customHeight="1">
      <c r="A86" s="111" t="s">
        <v>362</v>
      </c>
      <c r="B86" s="1172" t="s">
        <v>743</v>
      </c>
      <c r="C86" s="1172"/>
      <c r="D86" s="1172"/>
      <c r="E86" s="1172"/>
      <c r="F86" s="1172"/>
      <c r="G86" s="1172"/>
      <c r="H86" s="1172"/>
      <c r="I86" s="1172"/>
      <c r="J86" s="1172"/>
      <c r="K86" s="1172"/>
      <c r="L86" s="1172"/>
      <c r="M86" s="1172"/>
      <c r="N86" s="1172"/>
      <c r="O86" s="1172"/>
      <c r="P86" s="1172"/>
      <c r="Q86" s="1172"/>
      <c r="R86" s="1172"/>
      <c r="S86" s="1172"/>
      <c r="T86" s="1172"/>
    </row>
    <row r="87" spans="1:28" ht="73.5" customHeight="1">
      <c r="A87" s="111" t="s">
        <v>362</v>
      </c>
      <c r="B87" s="1172" t="s">
        <v>1410</v>
      </c>
      <c r="C87" s="1440"/>
      <c r="D87" s="1440"/>
      <c r="E87" s="1440"/>
      <c r="F87" s="1440"/>
      <c r="G87" s="1440"/>
      <c r="H87" s="1440"/>
      <c r="I87" s="1440"/>
      <c r="J87" s="1440"/>
      <c r="K87" s="1440"/>
      <c r="L87" s="1440"/>
      <c r="M87" s="1440"/>
      <c r="N87" s="1440"/>
      <c r="O87" s="1440"/>
      <c r="P87" s="1440"/>
      <c r="Q87" s="1440"/>
      <c r="R87" s="1440"/>
      <c r="S87" s="1440"/>
      <c r="T87" s="1440"/>
    </row>
    <row r="88" spans="1:28" ht="2.4500000000000002" customHeight="1"/>
    <row r="89" spans="1:28" ht="0.95" customHeight="1"/>
    <row r="90" spans="1:28" ht="15" customHeight="1">
      <c r="A90" s="119"/>
      <c r="B90" s="155"/>
      <c r="C90" s="155"/>
      <c r="D90" s="155"/>
      <c r="E90" s="155"/>
      <c r="F90" s="155"/>
      <c r="G90" s="155"/>
      <c r="H90" s="155"/>
      <c r="I90" s="156"/>
      <c r="J90" s="155"/>
      <c r="K90" s="155"/>
      <c r="L90" s="155"/>
      <c r="M90" s="155"/>
      <c r="N90" s="119"/>
      <c r="O90" s="157"/>
      <c r="P90" s="157"/>
      <c r="Q90" s="157"/>
      <c r="R90" s="157"/>
      <c r="S90" s="157"/>
      <c r="T90" s="157"/>
    </row>
    <row r="91" spans="1:28" ht="15" customHeight="1">
      <c r="A91" s="112" t="s">
        <v>367</v>
      </c>
      <c r="B91" s="155"/>
      <c r="C91" s="155"/>
      <c r="D91" s="155"/>
      <c r="E91" s="155"/>
      <c r="F91" s="155"/>
      <c r="G91" s="155"/>
      <c r="H91" s="156"/>
      <c r="I91" s="155"/>
      <c r="J91" s="155"/>
      <c r="K91" s="155"/>
      <c r="L91" s="155"/>
      <c r="M91" s="119"/>
      <c r="N91" s="157"/>
      <c r="O91" s="157"/>
      <c r="P91" s="157"/>
      <c r="Q91" s="157"/>
      <c r="R91" s="157"/>
      <c r="S91" s="157"/>
      <c r="T91" s="852"/>
    </row>
    <row r="92" spans="1:28" ht="19.5" customHeight="1">
      <c r="A92" s="451" t="s">
        <v>362</v>
      </c>
      <c r="B92" s="1134" t="s">
        <v>909</v>
      </c>
      <c r="C92" s="1134"/>
      <c r="D92" s="1134"/>
      <c r="E92" s="1134"/>
      <c r="F92" s="1134"/>
      <c r="G92" s="1134"/>
      <c r="H92" s="1134"/>
      <c r="I92" s="1134"/>
      <c r="J92" s="1134"/>
      <c r="K92" s="1134"/>
      <c r="L92" s="1134"/>
      <c r="M92" s="1134"/>
      <c r="N92" s="1134"/>
      <c r="O92" s="1134"/>
      <c r="P92" s="1134"/>
      <c r="Q92" s="1134"/>
      <c r="R92" s="1134"/>
      <c r="S92" s="1134"/>
      <c r="T92" s="1134"/>
    </row>
    <row r="93" spans="1:28" ht="16.5" customHeight="1">
      <c r="A93" s="111"/>
      <c r="B93" s="1134" t="str">
        <f>"two-voltage method[1] at an operating voltage of "&amp;Client!B31&amp;" V and a reduced voltage of"</f>
        <v>two-voltage method[1] at an operating voltage of -242 V and a reduced voltage of</v>
      </c>
      <c r="C93" s="1134"/>
      <c r="D93" s="1134"/>
      <c r="E93" s="1134"/>
      <c r="F93" s="1134"/>
      <c r="G93" s="1134"/>
      <c r="H93" s="1134"/>
      <c r="I93" s="1134"/>
      <c r="J93" s="1134"/>
      <c r="K93" s="1134"/>
      <c r="L93" s="1134"/>
      <c r="M93" s="1134"/>
      <c r="N93" s="1134"/>
      <c r="O93" s="1134"/>
      <c r="P93" s="1134"/>
      <c r="Q93" s="1134"/>
      <c r="R93" s="1134"/>
      <c r="S93" s="1134"/>
      <c r="T93" s="1134"/>
    </row>
    <row r="94" spans="1:28" ht="16.5" customHeight="1">
      <c r="A94" s="111"/>
      <c r="B94" s="1134" t="str">
        <f>Client!B32&amp;" V "&amp;Client!Q10&amp;"."</f>
        <v>-60 V Central Electrode Negative.</v>
      </c>
      <c r="C94" s="1134"/>
      <c r="D94" s="1134"/>
      <c r="E94" s="1134"/>
      <c r="F94" s="1134"/>
      <c r="G94" s="1134"/>
      <c r="H94" s="1134"/>
      <c r="I94" s="1134"/>
      <c r="J94" s="1134"/>
      <c r="K94" s="1134"/>
      <c r="L94" s="1134"/>
      <c r="M94" s="1134"/>
      <c r="N94" s="1134"/>
      <c r="O94" s="1134"/>
      <c r="P94" s="1134"/>
      <c r="Q94" s="1134"/>
      <c r="R94" s="1134"/>
      <c r="S94" s="1134"/>
      <c r="T94" s="1134"/>
    </row>
    <row r="95" spans="1:28" ht="23.25" customHeight="1">
      <c r="A95" s="111"/>
      <c r="B95" s="1438" t="s">
        <v>745</v>
      </c>
      <c r="C95" s="1439"/>
      <c r="D95" s="1439"/>
      <c r="E95" s="1439"/>
      <c r="F95" s="1439"/>
      <c r="G95" s="1439"/>
      <c r="H95" s="1439"/>
      <c r="I95" s="1439"/>
      <c r="J95" s="1439"/>
      <c r="K95" s="1439"/>
      <c r="L95" s="1439"/>
      <c r="M95" s="1439"/>
      <c r="N95" s="1439"/>
      <c r="O95" s="1439"/>
      <c r="P95" s="1439"/>
      <c r="Q95" s="1439"/>
      <c r="R95" s="1439"/>
      <c r="S95" s="1439"/>
      <c r="T95" s="1439"/>
    </row>
    <row r="96" spans="1:28" ht="18" customHeight="1">
      <c r="B96" s="1092" t="s">
        <v>737</v>
      </c>
      <c r="C96" s="1092"/>
      <c r="D96" s="1092"/>
      <c r="E96" s="1092"/>
      <c r="F96" s="1092"/>
      <c r="G96" s="1092"/>
      <c r="H96" s="1092"/>
      <c r="I96" s="1092" t="s">
        <v>746</v>
      </c>
      <c r="J96" s="1092"/>
      <c r="K96" s="1092"/>
      <c r="L96" s="1092" t="s">
        <v>728</v>
      </c>
      <c r="M96" s="1092"/>
      <c r="N96" s="1092"/>
      <c r="O96" s="1092" t="s">
        <v>729</v>
      </c>
      <c r="P96" s="1092"/>
      <c r="Q96" s="1092"/>
      <c r="R96" s="1092" t="s">
        <v>730</v>
      </c>
      <c r="S96" s="1092"/>
      <c r="T96" s="1092"/>
      <c r="Y96" s="29"/>
    </row>
    <row r="97" spans="1:29" ht="18" customHeight="1">
      <c r="B97" s="1092" t="s">
        <v>738</v>
      </c>
      <c r="C97" s="1092"/>
      <c r="D97" s="1092"/>
      <c r="E97" s="1092"/>
      <c r="F97" s="1092"/>
      <c r="G97" s="1092"/>
      <c r="H97" s="1092"/>
      <c r="I97" s="1437">
        <f>'MV-P'!P13</f>
        <v>0.56899999999999995</v>
      </c>
      <c r="J97" s="1437"/>
      <c r="K97" s="1437"/>
      <c r="L97" s="1437">
        <f>'MV-P'!P14</f>
        <v>0.68400000000000005</v>
      </c>
      <c r="M97" s="1437"/>
      <c r="N97" s="1437"/>
      <c r="O97" s="1437">
        <f>'MV-P'!P15</f>
        <v>0.73299999999999998</v>
      </c>
      <c r="P97" s="1437"/>
      <c r="Q97" s="1437"/>
      <c r="R97" s="1437">
        <f>'MV-P'!P16</f>
        <v>0.77900000000000003</v>
      </c>
      <c r="S97" s="1437"/>
      <c r="T97" s="1437"/>
    </row>
    <row r="98" spans="1:29" ht="18" customHeight="1">
      <c r="B98" s="1433" t="s">
        <v>739</v>
      </c>
      <c r="C98" s="1433"/>
      <c r="D98" s="1433"/>
      <c r="E98" s="1433"/>
      <c r="F98" s="1433"/>
      <c r="G98" s="1433"/>
      <c r="H98" s="1433"/>
      <c r="I98" s="1434" t="str">
        <f>Co!N22</f>
        <v>-</v>
      </c>
      <c r="J98" s="1434"/>
      <c r="K98" s="1434"/>
      <c r="L98" s="1434">
        <f>'MV-P'!C22</f>
        <v>0</v>
      </c>
      <c r="M98" s="1434"/>
      <c r="N98" s="1434"/>
      <c r="O98" s="1434">
        <f>'MV-P'!C23</f>
        <v>0</v>
      </c>
      <c r="P98" s="1434"/>
      <c r="Q98" s="1434"/>
      <c r="R98" s="1434">
        <f>'MV-P'!C24</f>
        <v>0</v>
      </c>
      <c r="S98" s="1434"/>
      <c r="T98" s="1434"/>
    </row>
    <row r="99" spans="1:29" ht="18" customHeight="1">
      <c r="B99" s="1092" t="s">
        <v>744</v>
      </c>
      <c r="C99" s="1092"/>
      <c r="D99" s="1092"/>
      <c r="E99" s="1092"/>
      <c r="F99" s="1092"/>
      <c r="G99" s="1092"/>
      <c r="H99" s="1092"/>
      <c r="I99" s="1092" t="str">
        <f>TEXT(Co!N37,"0")&amp; " mGy/s"</f>
        <v>0 mGy/s</v>
      </c>
      <c r="J99" s="1092"/>
      <c r="K99" s="1092"/>
      <c r="L99" s="1092" t="s">
        <v>1196</v>
      </c>
      <c r="M99" s="1092"/>
      <c r="N99" s="1092"/>
      <c r="O99" s="1092" t="s">
        <v>1197</v>
      </c>
      <c r="P99" s="1092"/>
      <c r="Q99" s="1092"/>
      <c r="R99" s="1092" t="s">
        <v>1198</v>
      </c>
      <c r="S99" s="1092"/>
      <c r="T99" s="1092"/>
      <c r="Y99" s="29"/>
    </row>
    <row r="100" spans="1:29" ht="18" customHeight="1">
      <c r="B100" s="1092" t="s">
        <v>740</v>
      </c>
      <c r="C100" s="1092"/>
      <c r="D100" s="1092"/>
      <c r="E100" s="1092"/>
      <c r="F100" s="1092"/>
      <c r="G100" s="1092"/>
      <c r="H100" s="1092"/>
      <c r="I100" s="1092" t="s">
        <v>466</v>
      </c>
      <c r="J100" s="1092"/>
      <c r="K100" s="1092"/>
      <c r="L100" s="1092" t="s">
        <v>734</v>
      </c>
      <c r="M100" s="1092"/>
      <c r="N100" s="1092"/>
      <c r="O100" s="1092" t="s">
        <v>735</v>
      </c>
      <c r="P100" s="1092"/>
      <c r="Q100" s="1092"/>
      <c r="R100" s="1092" t="s">
        <v>1199</v>
      </c>
      <c r="S100" s="1092"/>
      <c r="T100" s="1092"/>
    </row>
    <row r="102" spans="1:29" ht="18.75">
      <c r="A102" s="451" t="s">
        <v>362</v>
      </c>
      <c r="B102" s="355" t="s">
        <v>747</v>
      </c>
      <c r="C102" s="158"/>
      <c r="D102" s="158"/>
      <c r="E102" s="158"/>
      <c r="F102" s="158"/>
      <c r="G102" s="158"/>
      <c r="H102" s="158"/>
      <c r="I102" s="158"/>
      <c r="J102" s="158"/>
      <c r="K102" s="158"/>
      <c r="L102" s="158"/>
      <c r="M102" s="158"/>
      <c r="N102" s="158"/>
      <c r="O102" s="158"/>
      <c r="P102" s="158"/>
      <c r="Q102" s="158"/>
      <c r="R102" s="158"/>
      <c r="S102" s="158"/>
    </row>
    <row r="103" spans="1:29" ht="15.75">
      <c r="A103" s="352"/>
      <c r="B103" s="158"/>
      <c r="C103" s="158"/>
      <c r="D103" s="158"/>
      <c r="E103" s="158"/>
      <c r="F103" s="158"/>
      <c r="G103" s="158"/>
      <c r="H103" s="158"/>
      <c r="I103" s="158"/>
      <c r="J103" s="158"/>
      <c r="K103" s="158"/>
      <c r="L103" s="158"/>
      <c r="M103" s="158"/>
      <c r="N103" s="158"/>
      <c r="O103" s="158"/>
      <c r="P103" s="158"/>
      <c r="Q103" s="158"/>
      <c r="R103" s="158"/>
      <c r="S103" s="158"/>
      <c r="T103" s="158"/>
    </row>
    <row r="104" spans="1:29" ht="15.75">
      <c r="A104" s="352"/>
      <c r="B104" s="158"/>
      <c r="C104" s="158"/>
      <c r="D104" s="158"/>
      <c r="E104" s="158"/>
      <c r="F104" s="158"/>
      <c r="G104" s="158"/>
      <c r="H104" s="158"/>
      <c r="I104" s="158"/>
      <c r="J104" s="158"/>
      <c r="K104" s="158"/>
      <c r="L104" s="158"/>
      <c r="M104" s="158"/>
      <c r="N104" s="158"/>
      <c r="O104" s="158"/>
      <c r="P104" s="158"/>
      <c r="Q104" s="158"/>
      <c r="R104" s="158"/>
      <c r="S104" s="158"/>
      <c r="T104" s="160" t="str">
        <f>"(1)"</f>
        <v>(1)</v>
      </c>
      <c r="Y104" s="29"/>
      <c r="Z104" s="30"/>
      <c r="AA104" s="1"/>
      <c r="AB104" s="30"/>
      <c r="AC104" s="1"/>
    </row>
    <row r="105" spans="1:29" ht="15.75">
      <c r="A105" s="352"/>
      <c r="B105" s="154"/>
      <c r="C105" s="154"/>
      <c r="D105" s="154"/>
      <c r="E105" s="154"/>
      <c r="F105" s="154"/>
      <c r="G105" s="154"/>
      <c r="H105" s="154"/>
      <c r="I105" s="154"/>
      <c r="J105" s="154"/>
      <c r="K105" s="154"/>
      <c r="L105" s="154"/>
      <c r="M105" s="154"/>
      <c r="N105" s="154"/>
      <c r="O105" s="154"/>
      <c r="P105" s="154"/>
      <c r="Q105" s="154"/>
      <c r="R105" s="158"/>
      <c r="S105" s="158"/>
      <c r="T105" s="158"/>
    </row>
    <row r="106" spans="1:29" ht="20.25" customHeight="1">
      <c r="A106" s="353"/>
      <c r="B106" s="1435" t="s">
        <v>903</v>
      </c>
      <c r="C106" s="1435"/>
      <c r="D106" s="1435"/>
      <c r="E106" s="1176" t="str">
        <f>Client!B31&amp;" V,"</f>
        <v>-242 V,</v>
      </c>
      <c r="F106" s="1176"/>
      <c r="G106" s="480" t="s">
        <v>901</v>
      </c>
      <c r="H106" s="1176" t="str">
        <f>"is "&amp;Client!B32&amp;" V,"</f>
        <v>is -60 V,</v>
      </c>
      <c r="I106" s="1176"/>
      <c r="J106" s="1176" t="s">
        <v>900</v>
      </c>
      <c r="K106" s="1176"/>
      <c r="L106" s="1176"/>
      <c r="M106" s="1176"/>
      <c r="N106" s="1176"/>
      <c r="O106" s="1176"/>
      <c r="P106" s="1176"/>
      <c r="Q106" s="1176"/>
      <c r="R106" s="1176"/>
      <c r="S106" s="1176"/>
      <c r="T106" s="1176"/>
    </row>
    <row r="107" spans="1:29" ht="20.25" customHeight="1">
      <c r="A107" s="353"/>
      <c r="B107" s="1140" t="s">
        <v>902</v>
      </c>
      <c r="C107" s="1140"/>
      <c r="D107" s="1140"/>
      <c r="E107" s="1140"/>
      <c r="F107" s="1140"/>
      <c r="G107" s="1140"/>
      <c r="H107" s="471"/>
      <c r="I107" s="471"/>
      <c r="J107" s="471"/>
      <c r="K107" s="471"/>
      <c r="L107" s="471"/>
      <c r="M107" s="471"/>
      <c r="N107" s="471"/>
      <c r="O107" s="471"/>
      <c r="P107" s="471"/>
      <c r="Q107" s="471"/>
      <c r="R107" s="471"/>
      <c r="S107" s="471"/>
      <c r="T107" s="471"/>
    </row>
    <row r="108" spans="1:29" ht="15" customHeight="1">
      <c r="A108" s="451" t="s">
        <v>362</v>
      </c>
      <c r="B108" s="1436" t="s">
        <v>908</v>
      </c>
      <c r="C108" s="1436"/>
      <c r="D108" s="1436"/>
      <c r="E108" s="1436"/>
      <c r="F108" s="1436"/>
      <c r="G108" s="1436"/>
      <c r="H108" s="1436"/>
      <c r="I108" s="1436"/>
      <c r="J108" s="1436"/>
      <c r="K108" s="1436"/>
      <c r="L108" s="1436"/>
      <c r="M108" s="1436"/>
      <c r="N108" s="1436"/>
      <c r="O108" s="1436"/>
      <c r="P108" s="1436"/>
      <c r="Q108" s="1436"/>
      <c r="R108" s="1436"/>
      <c r="S108" s="1436"/>
      <c r="T108" s="1436"/>
    </row>
    <row r="109" spans="1:29" ht="15" customHeight="1">
      <c r="A109" s="353"/>
      <c r="B109" s="354"/>
      <c r="C109" s="354"/>
      <c r="D109" s="354"/>
      <c r="E109" s="354"/>
      <c r="F109" s="354"/>
      <c r="G109" s="354"/>
      <c r="H109" s="354"/>
      <c r="I109" s="354"/>
      <c r="J109" s="354"/>
      <c r="K109" s="354"/>
      <c r="L109" s="354"/>
      <c r="M109" s="354"/>
      <c r="N109" s="354"/>
      <c r="O109" s="354"/>
      <c r="P109" s="354"/>
      <c r="Q109" s="354"/>
      <c r="R109" s="354"/>
      <c r="S109" s="354"/>
      <c r="T109" s="354"/>
    </row>
    <row r="110" spans="1:29" ht="15" customHeight="1">
      <c r="A110" s="353"/>
      <c r="B110" s="354"/>
      <c r="C110" s="354"/>
      <c r="D110" s="354"/>
      <c r="E110" s="354"/>
      <c r="F110" s="354"/>
      <c r="G110" s="354"/>
      <c r="H110" s="354"/>
      <c r="I110" s="354"/>
      <c r="J110" s="354"/>
      <c r="K110" s="354"/>
      <c r="L110" s="354"/>
      <c r="M110" s="354"/>
      <c r="N110" s="354"/>
      <c r="O110" s="354"/>
      <c r="P110" s="354"/>
      <c r="Q110" s="354"/>
      <c r="R110" s="354"/>
      <c r="S110" s="354"/>
      <c r="T110" s="160" t="str">
        <f>"(2)"</f>
        <v>(2)</v>
      </c>
    </row>
    <row r="111" spans="1:29" ht="15" customHeight="1">
      <c r="A111" s="111"/>
      <c r="B111" s="153"/>
      <c r="C111" s="153"/>
      <c r="D111" s="153"/>
      <c r="E111" s="153"/>
      <c r="F111" s="153"/>
      <c r="G111" s="153"/>
      <c r="H111" s="153"/>
      <c r="I111" s="153"/>
      <c r="J111" s="153"/>
      <c r="K111" s="153"/>
      <c r="L111" s="153"/>
      <c r="N111" s="153"/>
      <c r="O111" s="153"/>
      <c r="P111" s="153"/>
      <c r="Q111" s="153"/>
      <c r="R111" s="153"/>
      <c r="S111" s="153"/>
      <c r="T111" s="153"/>
    </row>
    <row r="112" spans="1:29" ht="18.75" customHeight="1">
      <c r="A112" s="111"/>
      <c r="B112" s="158" t="s">
        <v>1216</v>
      </c>
      <c r="C112" s="153"/>
      <c r="D112" s="153"/>
      <c r="E112" s="153"/>
      <c r="F112" s="153"/>
      <c r="G112" s="153"/>
      <c r="H112" s="153"/>
      <c r="I112" s="153"/>
      <c r="J112" s="153"/>
      <c r="K112" s="153"/>
      <c r="L112" s="153"/>
      <c r="M112" s="153"/>
      <c r="N112" s="153"/>
      <c r="O112" s="153"/>
      <c r="P112" s="153"/>
      <c r="Q112" s="153"/>
      <c r="R112" s="153"/>
      <c r="S112" s="153"/>
      <c r="T112" s="153"/>
    </row>
    <row r="113" spans="1:20" ht="41.25" customHeight="1">
      <c r="A113" s="111" t="s">
        <v>362</v>
      </c>
      <c r="B113" s="1140" t="s">
        <v>1302</v>
      </c>
      <c r="C113" s="1140"/>
      <c r="D113" s="1140"/>
      <c r="E113" s="1140"/>
      <c r="F113" s="1140"/>
      <c r="G113" s="1140"/>
      <c r="H113" s="1140"/>
      <c r="I113" s="1140"/>
      <c r="J113" s="1140"/>
      <c r="K113" s="1140"/>
      <c r="L113" s="1140"/>
      <c r="M113" s="1140"/>
      <c r="N113" s="1140"/>
      <c r="O113" s="1140"/>
      <c r="P113" s="1140"/>
      <c r="Q113" s="1140"/>
      <c r="R113" s="1140"/>
      <c r="S113" s="1140"/>
      <c r="T113" s="1140"/>
    </row>
    <row r="114" spans="1:20" ht="15" customHeight="1">
      <c r="A114" s="111"/>
      <c r="B114" s="851"/>
      <c r="C114" s="851"/>
      <c r="D114" s="851"/>
      <c r="E114" s="851"/>
      <c r="F114" s="851"/>
      <c r="G114" s="851"/>
      <c r="H114" s="851"/>
      <c r="I114" s="851"/>
      <c r="J114" s="851"/>
      <c r="K114" s="851"/>
      <c r="L114" s="851"/>
      <c r="M114" s="851"/>
      <c r="N114" s="851"/>
      <c r="O114" s="851"/>
      <c r="P114" s="851"/>
      <c r="Q114" s="851"/>
      <c r="R114" s="158"/>
      <c r="S114" s="158"/>
      <c r="T114" s="158"/>
    </row>
    <row r="115" spans="1:20" ht="15" customHeight="1">
      <c r="A115" s="112" t="s">
        <v>368</v>
      </c>
      <c r="B115" s="851"/>
      <c r="C115" s="851"/>
      <c r="D115" s="851"/>
      <c r="E115" s="851"/>
      <c r="F115" s="851"/>
      <c r="G115" s="851"/>
      <c r="H115" s="851"/>
      <c r="I115" s="851"/>
      <c r="J115" s="851"/>
      <c r="K115" s="851"/>
      <c r="L115" s="851"/>
      <c r="M115" s="851"/>
      <c r="N115" s="851"/>
      <c r="O115" s="851"/>
      <c r="P115" s="851"/>
      <c r="Q115" s="851"/>
      <c r="R115" s="158"/>
      <c r="S115" s="158"/>
      <c r="T115" s="158"/>
    </row>
    <row r="116" spans="1:20" ht="38.25" customHeight="1">
      <c r="A116" s="111" t="s">
        <v>362</v>
      </c>
      <c r="B116" s="1140" t="s">
        <v>749</v>
      </c>
      <c r="C116" s="1140"/>
      <c r="D116" s="1140"/>
      <c r="E116" s="1140"/>
      <c r="F116" s="1140"/>
      <c r="G116" s="1140"/>
      <c r="H116" s="1140"/>
      <c r="I116" s="1140"/>
      <c r="J116" s="1140"/>
      <c r="K116" s="1140"/>
      <c r="L116" s="1140"/>
      <c r="M116" s="1140"/>
      <c r="N116" s="1140"/>
      <c r="O116" s="1140"/>
      <c r="P116" s="1140"/>
      <c r="Q116" s="1140"/>
      <c r="R116" s="1140"/>
      <c r="S116" s="1140"/>
      <c r="T116" s="1140"/>
    </row>
    <row r="117" spans="1:20" ht="15" customHeight="1">
      <c r="A117" s="111"/>
      <c r="B117" s="851"/>
      <c r="C117" s="851"/>
      <c r="D117" s="851"/>
      <c r="E117" s="851"/>
      <c r="F117" s="851"/>
      <c r="G117" s="851"/>
      <c r="H117" s="851"/>
      <c r="I117" s="851"/>
      <c r="J117" s="851"/>
      <c r="K117" s="851"/>
      <c r="L117" s="851"/>
      <c r="M117" s="851"/>
      <c r="N117" s="851"/>
      <c r="O117" s="851"/>
      <c r="P117" s="851"/>
      <c r="Q117" s="851"/>
      <c r="R117" s="158"/>
      <c r="S117" s="158"/>
      <c r="T117" s="158"/>
    </row>
    <row r="118" spans="1:20" ht="15" customHeight="1">
      <c r="A118" s="111"/>
      <c r="B118" s="851"/>
      <c r="C118" s="851"/>
      <c r="D118" s="851"/>
      <c r="E118" s="851"/>
      <c r="F118" s="851"/>
      <c r="G118" s="851"/>
      <c r="H118" s="851"/>
      <c r="I118" s="851"/>
      <c r="J118" s="851"/>
      <c r="K118" s="851"/>
      <c r="L118" s="851"/>
      <c r="M118" s="851"/>
      <c r="N118" s="851"/>
      <c r="O118" s="851"/>
      <c r="P118" s="851"/>
      <c r="Q118" s="851"/>
      <c r="R118" s="158"/>
      <c r="S118" s="158"/>
      <c r="T118" s="160" t="str">
        <f>"(3)"</f>
        <v>(3)</v>
      </c>
    </row>
    <row r="119" spans="1:20" ht="15" customHeight="1">
      <c r="A119" s="112"/>
      <c r="B119" s="158"/>
      <c r="C119" s="158"/>
      <c r="D119" s="158"/>
      <c r="E119" s="158"/>
      <c r="F119" s="158"/>
      <c r="G119" s="158"/>
      <c r="H119" s="158"/>
      <c r="J119" s="158"/>
      <c r="K119" s="158"/>
      <c r="L119" s="158"/>
      <c r="M119" s="158"/>
      <c r="N119" s="158"/>
      <c r="O119" s="158"/>
      <c r="P119" s="158"/>
      <c r="Q119" s="158"/>
      <c r="R119" s="158"/>
      <c r="S119" s="158"/>
      <c r="T119" s="158"/>
    </row>
    <row r="120" spans="1:20" ht="35.25" customHeight="1">
      <c r="A120" s="111" t="s">
        <v>362</v>
      </c>
      <c r="B120" s="1204" t="s">
        <v>904</v>
      </c>
      <c r="C120" s="1204"/>
      <c r="D120" s="1204"/>
      <c r="E120" s="1204"/>
      <c r="F120" s="1204"/>
      <c r="G120" s="1204"/>
      <c r="H120" s="1204"/>
      <c r="I120" s="1204"/>
      <c r="J120" s="1204"/>
      <c r="K120" s="1204"/>
      <c r="L120" s="1204"/>
      <c r="M120" s="1204"/>
      <c r="N120" s="1204"/>
      <c r="O120" s="1204"/>
      <c r="P120" s="1204"/>
      <c r="Q120" s="1204"/>
      <c r="R120" s="1204"/>
      <c r="S120" s="1204"/>
      <c r="T120" s="1204"/>
    </row>
    <row r="121" spans="1:20" ht="68.099999999999994" customHeight="1">
      <c r="A121" s="111" t="s">
        <v>362</v>
      </c>
      <c r="B121" s="1140" t="e">
        <f ca="1">"The chamber has been calibrated with the "&amp;Client!Q10&amp;" ("&amp;Client!T10&amp;"). Setting "&amp;Client!AF7&amp;" results in "&amp;Client!AE11&amp;" V "&amp;Client!AE10&amp;" for the "&amp;Client!B16&amp;" electrometer."</f>
        <v>#N/A</v>
      </c>
      <c r="C121" s="1140"/>
      <c r="D121" s="1140"/>
      <c r="E121" s="1140"/>
      <c r="F121" s="1140"/>
      <c r="G121" s="1140"/>
      <c r="H121" s="1140"/>
      <c r="I121" s="1140"/>
      <c r="J121" s="1140"/>
      <c r="K121" s="1140"/>
      <c r="L121" s="1140"/>
      <c r="M121" s="1140"/>
      <c r="N121" s="1140"/>
      <c r="O121" s="1140"/>
      <c r="P121" s="1140"/>
      <c r="Q121" s="1140"/>
      <c r="R121" s="1140"/>
      <c r="S121" s="1140"/>
      <c r="T121" s="1140"/>
    </row>
    <row r="122" spans="1:20" ht="18" customHeight="1">
      <c r="A122" s="420" t="str">
        <f>"Calibration No.: "&amp;$T$12</f>
        <v>Calibration No.: CAL11957/02</v>
      </c>
      <c r="B122" s="421"/>
      <c r="C122" s="421"/>
      <c r="D122" s="421"/>
      <c r="E122" s="421"/>
      <c r="F122" s="421"/>
      <c r="G122" s="421"/>
      <c r="H122" s="421"/>
      <c r="I122" s="422" t="str">
        <f>$G$32</f>
        <v>0</v>
      </c>
      <c r="J122" s="421"/>
      <c r="K122" s="421"/>
      <c r="L122" s="421"/>
      <c r="M122" s="421"/>
      <c r="N122" s="420" t="s">
        <v>360</v>
      </c>
      <c r="O122" s="423"/>
      <c r="P122" s="423"/>
      <c r="Q122" s="423"/>
      <c r="R122" s="423"/>
      <c r="S122" s="423"/>
      <c r="T122" s="423" t="s">
        <v>1154</v>
      </c>
    </row>
    <row r="123" spans="1:20" ht="11.25" customHeight="1">
      <c r="A123" s="122"/>
      <c r="B123" s="120"/>
      <c r="C123" s="120"/>
      <c r="D123" s="120"/>
      <c r="E123" s="120"/>
      <c r="F123" s="120"/>
      <c r="G123" s="120"/>
      <c r="H123" s="120"/>
      <c r="I123" s="121"/>
      <c r="J123" s="120"/>
      <c r="K123" s="120"/>
      <c r="L123" s="120"/>
      <c r="M123" s="120"/>
      <c r="N123" s="122"/>
      <c r="O123" s="123"/>
      <c r="P123" s="123"/>
      <c r="Q123" s="123"/>
      <c r="R123" s="123"/>
      <c r="S123" s="123"/>
      <c r="T123" s="123"/>
    </row>
    <row r="124" spans="1:20" ht="23.25" customHeight="1">
      <c r="A124" s="112"/>
      <c r="B124" s="158" t="s">
        <v>1236</v>
      </c>
    </row>
    <row r="125" spans="1:20" ht="18" customHeight="1">
      <c r="A125" s="112"/>
      <c r="B125" s="1092" t="s">
        <v>737</v>
      </c>
      <c r="C125" s="1092"/>
      <c r="D125" s="1092"/>
      <c r="E125" s="1092"/>
      <c r="F125" s="1092"/>
      <c r="G125" s="1092"/>
      <c r="H125" s="1092"/>
      <c r="I125" s="1092" t="s">
        <v>746</v>
      </c>
      <c r="J125" s="1092"/>
      <c r="K125" s="1092"/>
      <c r="L125" s="1092" t="s">
        <v>728</v>
      </c>
      <c r="M125" s="1092"/>
      <c r="N125" s="1092"/>
      <c r="O125" s="1092" t="s">
        <v>729</v>
      </c>
      <c r="P125" s="1092"/>
      <c r="Q125" s="1092"/>
      <c r="R125" s="1092" t="s">
        <v>730</v>
      </c>
      <c r="S125" s="1092"/>
      <c r="T125" s="1092"/>
    </row>
    <row r="126" spans="1:20" ht="18" customHeight="1">
      <c r="A126" s="112"/>
      <c r="B126" s="1092" t="s">
        <v>738</v>
      </c>
      <c r="C126" s="1092"/>
      <c r="D126" s="1092"/>
      <c r="E126" s="1092"/>
      <c r="F126" s="1092"/>
      <c r="G126" s="1092"/>
      <c r="H126" s="1092"/>
      <c r="I126" s="1430">
        <f>I97</f>
        <v>0.56899999999999995</v>
      </c>
      <c r="J126" s="1431"/>
      <c r="K126" s="1432"/>
      <c r="L126" s="1430">
        <f>L97</f>
        <v>0.68400000000000005</v>
      </c>
      <c r="M126" s="1094"/>
      <c r="N126" s="1095"/>
      <c r="O126" s="1430">
        <f>O97</f>
        <v>0.73299999999999998</v>
      </c>
      <c r="P126" s="1094"/>
      <c r="Q126" s="1095"/>
      <c r="R126" s="1430">
        <f>R97</f>
        <v>0.77900000000000003</v>
      </c>
      <c r="S126" s="1094"/>
      <c r="T126" s="1095"/>
    </row>
    <row r="127" spans="1:20" ht="18" customHeight="1">
      <c r="A127" s="112"/>
      <c r="B127" s="1433" t="s">
        <v>756</v>
      </c>
      <c r="C127" s="1433"/>
      <c r="D127" s="1433"/>
      <c r="E127" s="1433"/>
      <c r="F127" s="1433"/>
      <c r="G127" s="1433"/>
      <c r="H127" s="1433"/>
      <c r="I127" s="1434" t="str">
        <f>Co!N34</f>
        <v>-</v>
      </c>
      <c r="J127" s="1434"/>
      <c r="K127" s="1434"/>
      <c r="L127" s="1434">
        <f>'MV-P'!D22</f>
        <v>0</v>
      </c>
      <c r="M127" s="1434"/>
      <c r="N127" s="1434"/>
      <c r="O127" s="1434">
        <f>'MV-P'!D23</f>
        <v>0</v>
      </c>
      <c r="P127" s="1434"/>
      <c r="Q127" s="1434"/>
      <c r="R127" s="1434">
        <f>'MV-P'!D24</f>
        <v>0</v>
      </c>
      <c r="S127" s="1434"/>
      <c r="T127" s="1434"/>
    </row>
    <row r="128" spans="1:20" ht="18" customHeight="1">
      <c r="A128" s="112"/>
      <c r="B128" s="1092" t="s">
        <v>744</v>
      </c>
      <c r="C128" s="1092"/>
      <c r="D128" s="1092"/>
      <c r="E128" s="1092"/>
      <c r="F128" s="1092"/>
      <c r="G128" s="1092"/>
      <c r="H128" s="1092"/>
      <c r="I128" s="1092" t="str">
        <f>TEXT(Co!N37,"0")&amp; " mGy/s"</f>
        <v>0 mGy/s</v>
      </c>
      <c r="J128" s="1092"/>
      <c r="K128" s="1092"/>
      <c r="L128" s="1092" t="s">
        <v>1196</v>
      </c>
      <c r="M128" s="1092"/>
      <c r="N128" s="1092"/>
      <c r="O128" s="1092" t="s">
        <v>1197</v>
      </c>
      <c r="P128" s="1092"/>
      <c r="Q128" s="1092"/>
      <c r="R128" s="1092" t="s">
        <v>1198</v>
      </c>
      <c r="S128" s="1092"/>
      <c r="T128" s="1092"/>
    </row>
    <row r="129" spans="1:20" ht="18" customHeight="1">
      <c r="A129" s="112"/>
      <c r="B129" s="1092" t="s">
        <v>740</v>
      </c>
      <c r="C129" s="1092"/>
      <c r="D129" s="1092"/>
      <c r="E129" s="1092"/>
      <c r="F129" s="1092"/>
      <c r="G129" s="1092"/>
      <c r="H129" s="1092"/>
      <c r="I129" s="1092" t="s">
        <v>466</v>
      </c>
      <c r="J129" s="1092"/>
      <c r="K129" s="1092"/>
      <c r="L129" s="1092" t="s">
        <v>734</v>
      </c>
      <c r="M129" s="1092"/>
      <c r="N129" s="1092"/>
      <c r="O129" s="1092" t="s">
        <v>735</v>
      </c>
      <c r="P129" s="1092"/>
      <c r="Q129" s="1092"/>
      <c r="R129" s="1092" t="s">
        <v>1199</v>
      </c>
      <c r="S129" s="1092"/>
      <c r="T129" s="1092"/>
    </row>
    <row r="130" spans="1:20" ht="3.95" customHeight="1">
      <c r="A130" s="112"/>
      <c r="B130" s="372"/>
      <c r="C130" s="372"/>
      <c r="D130" s="372"/>
      <c r="E130" s="372"/>
      <c r="F130" s="372"/>
      <c r="G130" s="372"/>
      <c r="H130" s="372"/>
      <c r="I130" s="372"/>
      <c r="J130" s="372"/>
      <c r="K130" s="372"/>
      <c r="L130" s="372"/>
      <c r="M130" s="372"/>
      <c r="N130" s="372"/>
      <c r="O130" s="372"/>
      <c r="P130" s="372"/>
      <c r="Q130" s="372"/>
      <c r="R130" s="372"/>
      <c r="S130" s="372"/>
      <c r="T130" s="372"/>
    </row>
    <row r="132" spans="1:20">
      <c r="A132" s="119"/>
      <c r="B132" s="155"/>
      <c r="C132" s="155"/>
      <c r="D132" s="155"/>
      <c r="E132" s="155"/>
      <c r="F132" s="155"/>
      <c r="G132" s="155"/>
      <c r="H132" s="155"/>
      <c r="I132" s="156"/>
      <c r="J132" s="155"/>
      <c r="K132" s="155"/>
      <c r="L132" s="155"/>
      <c r="M132" s="155"/>
      <c r="N132" s="119"/>
      <c r="O132" s="157"/>
      <c r="P132" s="157"/>
      <c r="Q132" s="157"/>
      <c r="R132" s="157"/>
      <c r="S132" s="157"/>
      <c r="T132" s="157"/>
    </row>
    <row r="133" spans="1:20" ht="39" customHeight="1">
      <c r="A133" s="356" t="s">
        <v>753</v>
      </c>
      <c r="B133" s="1140" t="s">
        <v>1303</v>
      </c>
      <c r="C133" s="1140"/>
      <c r="D133" s="1140"/>
      <c r="E133" s="1140"/>
      <c r="F133" s="1140"/>
      <c r="G133" s="1140"/>
      <c r="H133" s="1140"/>
      <c r="I133" s="1140"/>
      <c r="J133" s="1140"/>
      <c r="K133" s="1140"/>
      <c r="L133" s="1140"/>
      <c r="M133" s="1140"/>
      <c r="N133" s="1140"/>
      <c r="O133" s="1140"/>
      <c r="P133" s="1140"/>
      <c r="Q133" s="1140"/>
      <c r="R133" s="1140"/>
      <c r="S133" s="1140"/>
      <c r="T133" s="1140"/>
    </row>
    <row r="134" spans="1:20" ht="18" customHeight="1">
      <c r="A134" s="111"/>
      <c r="B134" s="852"/>
      <c r="C134" s="852"/>
      <c r="D134" s="852"/>
      <c r="E134" s="852"/>
      <c r="F134" s="852"/>
      <c r="G134" s="852"/>
      <c r="H134" s="852"/>
      <c r="I134" s="852"/>
      <c r="J134" s="852"/>
      <c r="K134" s="852"/>
      <c r="L134" s="852"/>
      <c r="M134" s="852"/>
      <c r="N134" s="852"/>
      <c r="O134" s="852"/>
      <c r="P134" s="852"/>
      <c r="Q134" s="852"/>
      <c r="R134" s="852"/>
      <c r="S134" s="852"/>
      <c r="T134" s="852"/>
    </row>
    <row r="135" spans="1:20" ht="15.75">
      <c r="A135" s="112"/>
      <c r="B135" s="112"/>
      <c r="C135" s="112"/>
      <c r="D135" s="112"/>
      <c r="E135" s="112"/>
      <c r="F135" s="112"/>
      <c r="G135" s="112"/>
      <c r="H135" s="112"/>
      <c r="I135" s="112"/>
      <c r="J135" s="112"/>
      <c r="K135" s="112"/>
      <c r="L135" s="112"/>
      <c r="M135" s="112"/>
      <c r="N135" s="112"/>
      <c r="O135" s="112"/>
      <c r="P135" s="112"/>
      <c r="Q135" s="112"/>
    </row>
    <row r="136" spans="1:20" ht="15.75">
      <c r="A136" s="112" t="s">
        <v>369</v>
      </c>
      <c r="B136" s="112"/>
      <c r="C136" s="112"/>
      <c r="D136" s="112"/>
      <c r="E136" s="112"/>
      <c r="F136" s="112"/>
      <c r="G136" s="112"/>
      <c r="H136" s="112"/>
      <c r="I136" s="112"/>
      <c r="J136" s="112"/>
      <c r="K136" s="112"/>
      <c r="L136" s="112"/>
      <c r="M136" s="112"/>
      <c r="N136" s="112"/>
      <c r="O136" s="112"/>
      <c r="P136" s="112"/>
      <c r="Q136" s="112"/>
    </row>
    <row r="137" spans="1:20" ht="63.95" customHeight="1">
      <c r="A137" s="113" t="s">
        <v>370</v>
      </c>
      <c r="B137" s="1136" t="s">
        <v>1298</v>
      </c>
      <c r="C137" s="1136"/>
      <c r="D137" s="1136"/>
      <c r="E137" s="1136"/>
      <c r="F137" s="1136"/>
      <c r="G137" s="1136"/>
      <c r="H137" s="1136"/>
      <c r="I137" s="1136"/>
      <c r="J137" s="1136"/>
      <c r="K137" s="1136"/>
      <c r="L137" s="1136"/>
      <c r="M137" s="1136"/>
      <c r="N137" s="1136"/>
      <c r="O137" s="1136"/>
      <c r="P137" s="1136"/>
      <c r="Q137" s="1136"/>
      <c r="R137" s="1136"/>
      <c r="S137" s="1136"/>
      <c r="T137" s="1136"/>
    </row>
    <row r="138" spans="1:20" ht="15" customHeight="1">
      <c r="A138" s="112"/>
      <c r="B138" s="112"/>
      <c r="C138" s="112"/>
      <c r="D138" s="112"/>
      <c r="E138" s="112"/>
      <c r="F138" s="112"/>
      <c r="G138" s="112"/>
      <c r="H138" s="112"/>
      <c r="I138" s="112"/>
      <c r="J138" s="112"/>
      <c r="K138" s="112"/>
      <c r="L138" s="112"/>
      <c r="M138" s="112"/>
      <c r="N138" s="112"/>
      <c r="O138" s="112"/>
      <c r="P138" s="112"/>
      <c r="Q138" s="112"/>
    </row>
    <row r="139" spans="1:20" ht="15" customHeight="1">
      <c r="A139" s="112"/>
      <c r="B139" s="112"/>
      <c r="C139" s="112"/>
      <c r="D139" s="112"/>
      <c r="E139" s="112"/>
      <c r="F139" s="112"/>
      <c r="G139" s="112"/>
      <c r="H139" s="112"/>
      <c r="I139" s="112"/>
      <c r="J139" s="112"/>
      <c r="K139" s="112"/>
      <c r="L139" s="112"/>
      <c r="M139" s="112"/>
      <c r="N139" s="112"/>
      <c r="O139" s="112"/>
      <c r="P139" s="112"/>
      <c r="Q139" s="112"/>
    </row>
    <row r="140" spans="1:20" ht="15" customHeight="1">
      <c r="A140" s="112"/>
      <c r="B140" s="112"/>
      <c r="C140" s="112"/>
      <c r="D140" s="112"/>
      <c r="E140" s="112"/>
      <c r="F140" s="112"/>
      <c r="G140" s="112"/>
      <c r="H140" s="112"/>
      <c r="I140" s="112"/>
      <c r="J140" s="112"/>
      <c r="K140" s="112"/>
      <c r="L140" s="112"/>
      <c r="M140" s="112"/>
      <c r="N140" s="112"/>
      <c r="O140" s="112"/>
      <c r="P140" s="112"/>
      <c r="Q140" s="112"/>
    </row>
    <row r="141" spans="1:20" ht="15" customHeight="1">
      <c r="A141" s="149" t="s">
        <v>478</v>
      </c>
      <c r="B141" s="112"/>
      <c r="C141" s="112"/>
      <c r="D141" s="112"/>
      <c r="E141" s="112"/>
      <c r="F141" s="112"/>
      <c r="G141" s="112"/>
      <c r="H141" s="112"/>
      <c r="I141" s="112"/>
      <c r="J141" s="112"/>
      <c r="K141" s="112"/>
      <c r="L141" s="112"/>
      <c r="M141" s="112"/>
      <c r="N141" s="112"/>
      <c r="O141" s="112"/>
      <c r="P141" s="112"/>
      <c r="Q141" s="112"/>
    </row>
    <row r="142" spans="1:20" ht="34.5" customHeight="1">
      <c r="A142" s="356" t="s">
        <v>753</v>
      </c>
      <c r="B142" s="1140" t="s">
        <v>1312</v>
      </c>
      <c r="C142" s="1140"/>
      <c r="D142" s="1140"/>
      <c r="E142" s="1140"/>
      <c r="F142" s="1140"/>
      <c r="G142" s="1140"/>
      <c r="H142" s="1140"/>
      <c r="I142" s="1140"/>
      <c r="J142" s="1140"/>
      <c r="K142" s="1140"/>
      <c r="L142" s="1140"/>
      <c r="M142" s="1140"/>
      <c r="N142" s="1140"/>
      <c r="O142" s="1140"/>
      <c r="P142" s="1140"/>
      <c r="Q142" s="1140"/>
      <c r="R142" s="1140"/>
      <c r="S142" s="1140"/>
      <c r="T142" s="1140"/>
    </row>
    <row r="143" spans="1:20" ht="15" customHeight="1">
      <c r="A143" s="112"/>
      <c r="B143" s="112"/>
      <c r="C143" s="112"/>
      <c r="D143" s="112"/>
      <c r="E143" s="112"/>
      <c r="F143" s="112"/>
      <c r="G143" s="112"/>
      <c r="H143" s="112"/>
      <c r="I143" s="112"/>
      <c r="J143" s="112"/>
      <c r="K143" s="112"/>
      <c r="L143" s="112"/>
      <c r="M143" s="112"/>
      <c r="N143" s="112"/>
      <c r="O143" s="112"/>
      <c r="P143" s="112"/>
      <c r="Q143" s="112"/>
    </row>
    <row r="144" spans="1:20" ht="15" customHeight="1">
      <c r="A144" s="112"/>
      <c r="B144" s="112"/>
      <c r="C144" s="112"/>
      <c r="D144" s="112"/>
      <c r="E144" s="112"/>
      <c r="F144" s="112"/>
      <c r="G144" s="112"/>
      <c r="H144" s="112"/>
      <c r="I144" s="112"/>
      <c r="J144" s="112"/>
      <c r="K144" s="112"/>
      <c r="L144" s="112"/>
      <c r="M144" s="112"/>
      <c r="N144" s="112"/>
      <c r="O144" s="112"/>
      <c r="P144" s="112"/>
      <c r="Q144" s="112"/>
    </row>
    <row r="145" spans="1:17" ht="15" customHeight="1">
      <c r="A145" s="112"/>
      <c r="B145" s="112"/>
      <c r="C145" s="112"/>
      <c r="D145" s="112"/>
      <c r="E145" s="112"/>
      <c r="F145" s="112"/>
      <c r="G145" s="112"/>
      <c r="H145" s="112"/>
      <c r="I145" s="112"/>
      <c r="J145" s="112"/>
      <c r="K145" s="112"/>
      <c r="L145" s="112"/>
      <c r="M145" s="112"/>
      <c r="N145" s="112"/>
      <c r="O145" s="112"/>
      <c r="P145" s="112"/>
      <c r="Q145" s="112"/>
    </row>
    <row r="146" spans="1:17" ht="15" customHeight="1">
      <c r="A146" s="112"/>
      <c r="B146" s="112"/>
      <c r="C146" s="112"/>
      <c r="D146" s="112"/>
      <c r="E146" s="112"/>
      <c r="F146" s="112"/>
      <c r="G146" s="112"/>
      <c r="H146" s="112"/>
      <c r="I146" s="112"/>
      <c r="J146" s="112"/>
      <c r="K146" s="112"/>
      <c r="L146" s="112"/>
      <c r="M146" s="112"/>
      <c r="N146" s="112"/>
      <c r="O146" s="112"/>
      <c r="P146" s="112"/>
      <c r="Q146" s="112"/>
    </row>
    <row r="147" spans="1:17" ht="15" customHeight="1">
      <c r="A147" s="112"/>
      <c r="B147" s="112"/>
      <c r="C147" s="112"/>
      <c r="D147" s="112"/>
      <c r="E147" s="112"/>
      <c r="F147" s="112"/>
      <c r="G147" s="112"/>
      <c r="H147" s="112"/>
      <c r="I147" s="112"/>
      <c r="J147" s="112"/>
      <c r="K147" s="112"/>
      <c r="L147" s="112"/>
      <c r="M147" s="112"/>
      <c r="N147" s="112"/>
      <c r="O147" s="112"/>
      <c r="P147" s="112"/>
      <c r="Q147" s="112"/>
    </row>
    <row r="148" spans="1:17" ht="15" customHeight="1">
      <c r="A148" s="112"/>
      <c r="B148" s="112"/>
      <c r="C148" s="112"/>
      <c r="D148" s="112"/>
      <c r="E148" s="112"/>
      <c r="F148" s="112"/>
      <c r="G148" s="112"/>
      <c r="H148" s="112"/>
      <c r="I148" s="112"/>
      <c r="J148" s="112"/>
      <c r="K148" s="112"/>
      <c r="L148" s="112"/>
      <c r="M148" s="112"/>
      <c r="N148" s="112"/>
      <c r="O148" s="112"/>
      <c r="P148" s="112"/>
      <c r="Q148" s="112"/>
    </row>
    <row r="149" spans="1:17" ht="15" customHeight="1">
      <c r="A149" s="112"/>
      <c r="B149" s="112"/>
      <c r="C149" s="112"/>
      <c r="D149" s="112"/>
      <c r="E149" s="112"/>
      <c r="F149" s="112"/>
      <c r="G149" s="112"/>
      <c r="H149" s="112"/>
      <c r="I149" s="112"/>
      <c r="J149" s="112"/>
      <c r="K149" s="112"/>
      <c r="L149" s="112"/>
      <c r="M149" s="112"/>
      <c r="N149" s="112"/>
      <c r="O149" s="112"/>
      <c r="P149" s="112"/>
      <c r="Q149" s="112"/>
    </row>
    <row r="150" spans="1:17" ht="15" customHeight="1">
      <c r="A150" s="112"/>
      <c r="B150" s="112"/>
      <c r="C150" s="112"/>
      <c r="D150" s="112"/>
      <c r="E150" s="112"/>
      <c r="F150" s="112"/>
      <c r="G150" s="112"/>
      <c r="H150" s="112"/>
      <c r="I150" s="112"/>
      <c r="J150" s="112"/>
      <c r="K150" s="112"/>
      <c r="L150" s="112"/>
      <c r="M150" s="112"/>
      <c r="N150" s="112"/>
      <c r="O150" s="112"/>
      <c r="P150" s="112"/>
      <c r="Q150" s="112"/>
    </row>
    <row r="151" spans="1:17" ht="118.5" customHeight="1">
      <c r="A151" s="112"/>
      <c r="B151" s="112"/>
      <c r="C151" s="112"/>
      <c r="D151" s="112"/>
      <c r="E151" s="112"/>
      <c r="F151" s="112"/>
      <c r="G151" s="112"/>
      <c r="H151" s="112"/>
      <c r="I151" s="112"/>
      <c r="J151" s="112"/>
      <c r="K151" s="112"/>
      <c r="L151" s="112"/>
      <c r="M151" s="112"/>
      <c r="N151" s="112"/>
      <c r="O151" s="112"/>
      <c r="P151" s="112"/>
      <c r="Q151" s="112"/>
    </row>
    <row r="152" spans="1:17" ht="15" customHeight="1">
      <c r="A152" s="112"/>
      <c r="B152" s="112"/>
      <c r="C152" s="112"/>
      <c r="D152" s="112"/>
      <c r="E152" s="112"/>
      <c r="F152" s="112"/>
      <c r="G152" s="112"/>
      <c r="H152" s="112"/>
      <c r="I152" s="112"/>
      <c r="J152" s="112"/>
      <c r="K152" s="112"/>
      <c r="L152" s="112"/>
      <c r="M152" s="112"/>
      <c r="N152" s="112"/>
      <c r="O152" s="112"/>
      <c r="P152" s="112"/>
      <c r="Q152" s="112"/>
    </row>
    <row r="153" spans="1:17" ht="15" customHeight="1">
      <c r="A153" s="112"/>
      <c r="B153" s="112"/>
      <c r="C153" s="112"/>
      <c r="D153" s="112"/>
      <c r="E153" s="112"/>
      <c r="F153" s="112"/>
      <c r="G153" s="112"/>
      <c r="H153" s="112"/>
      <c r="I153" s="112"/>
      <c r="J153" s="112"/>
      <c r="K153" s="112"/>
      <c r="L153" s="112"/>
      <c r="M153" s="112"/>
      <c r="N153" s="112"/>
      <c r="O153" s="112"/>
      <c r="P153" s="112"/>
      <c r="Q153" s="112"/>
    </row>
    <row r="154" spans="1:17" ht="15" customHeight="1">
      <c r="A154" s="112"/>
      <c r="B154" s="112"/>
      <c r="C154" s="112"/>
      <c r="D154" s="112"/>
      <c r="E154" s="112"/>
      <c r="F154" s="112"/>
      <c r="G154" s="112"/>
      <c r="H154" s="112"/>
      <c r="I154" s="112"/>
      <c r="J154" s="112"/>
      <c r="K154" s="112"/>
      <c r="L154" s="112"/>
      <c r="M154" s="112"/>
      <c r="N154" s="112"/>
      <c r="O154" s="112"/>
      <c r="P154" s="112"/>
      <c r="Q154" s="112"/>
    </row>
    <row r="155" spans="1:17" ht="15" customHeight="1">
      <c r="A155" s="112"/>
      <c r="B155" s="112"/>
      <c r="C155" s="112"/>
      <c r="D155" s="112"/>
      <c r="E155" s="112"/>
      <c r="F155" s="112"/>
      <c r="G155" s="112"/>
      <c r="H155" s="112"/>
      <c r="I155" s="112"/>
      <c r="J155" s="112"/>
      <c r="K155" s="112"/>
      <c r="L155" s="112"/>
      <c r="M155" s="112"/>
      <c r="N155" s="112"/>
      <c r="O155" s="112"/>
      <c r="P155" s="112"/>
      <c r="Q155" s="112"/>
    </row>
    <row r="156" spans="1:17" ht="15" customHeight="1">
      <c r="A156" s="112"/>
      <c r="B156" s="112"/>
      <c r="C156" s="112"/>
      <c r="D156" s="112"/>
      <c r="E156" s="112"/>
      <c r="F156" s="112"/>
      <c r="G156" s="112"/>
      <c r="H156" s="112"/>
      <c r="I156" s="112"/>
      <c r="J156" s="112"/>
      <c r="K156" s="112"/>
      <c r="L156" s="112"/>
      <c r="M156" s="112"/>
      <c r="N156" s="112"/>
      <c r="O156" s="112"/>
      <c r="P156" s="112"/>
      <c r="Q156" s="112"/>
    </row>
    <row r="157" spans="1:17" ht="15" customHeight="1">
      <c r="A157" s="112"/>
      <c r="B157" s="112"/>
      <c r="C157" s="112"/>
      <c r="D157" s="112"/>
      <c r="E157" s="112"/>
      <c r="F157" s="112"/>
      <c r="G157" s="112"/>
      <c r="H157" s="112"/>
      <c r="I157" s="112"/>
      <c r="J157" s="112"/>
      <c r="K157" s="112"/>
      <c r="L157" s="112"/>
      <c r="M157" s="112"/>
      <c r="N157" s="112"/>
      <c r="O157" s="112"/>
      <c r="P157" s="112"/>
      <c r="Q157" s="112"/>
    </row>
    <row r="158" spans="1:17" ht="15" customHeight="1"/>
    <row r="159" spans="1:17" ht="15" customHeight="1"/>
    <row r="160" spans="1:17" ht="15" customHeight="1"/>
    <row r="161" spans="1:20" ht="15" customHeight="1">
      <c r="A161" s="420" t="str">
        <f>"Calibration No.: "&amp;$T$12</f>
        <v>Calibration No.: CAL11957/02</v>
      </c>
      <c r="B161" s="421"/>
      <c r="C161" s="421"/>
      <c r="D161" s="421"/>
      <c r="E161" s="421"/>
      <c r="F161" s="421"/>
      <c r="G161" s="421"/>
      <c r="H161" s="421"/>
      <c r="I161" s="422" t="str">
        <f>$G$32</f>
        <v>0</v>
      </c>
      <c r="J161" s="421"/>
      <c r="K161" s="421"/>
      <c r="L161" s="421"/>
      <c r="M161" s="421"/>
      <c r="N161" s="420" t="s">
        <v>360</v>
      </c>
      <c r="O161" s="423"/>
      <c r="P161" s="423"/>
      <c r="Q161" s="423"/>
      <c r="R161" s="423"/>
      <c r="S161" s="423"/>
      <c r="T161" s="423" t="s">
        <v>1149</v>
      </c>
    </row>
    <row r="162" spans="1:20" ht="15" customHeight="1">
      <c r="A162" s="122"/>
      <c r="B162" s="120"/>
      <c r="C162" s="120"/>
      <c r="D162" s="120"/>
      <c r="E162" s="120"/>
      <c r="F162" s="120"/>
      <c r="G162" s="120"/>
      <c r="H162" s="120"/>
      <c r="I162" s="121"/>
      <c r="J162" s="120"/>
      <c r="K162" s="120"/>
      <c r="L162" s="120"/>
      <c r="M162" s="120"/>
      <c r="N162" s="122"/>
      <c r="O162" s="123"/>
      <c r="P162" s="123"/>
      <c r="Q162" s="123"/>
      <c r="R162" s="123"/>
      <c r="S162" s="123"/>
      <c r="T162" s="123"/>
    </row>
    <row r="163" spans="1:20" ht="15" customHeight="1">
      <c r="A163" s="122"/>
      <c r="B163" s="120"/>
      <c r="C163" s="120"/>
      <c r="D163" s="120"/>
      <c r="E163" s="120"/>
      <c r="F163" s="120"/>
      <c r="G163" s="120"/>
      <c r="H163" s="120"/>
      <c r="I163" s="121"/>
      <c r="J163" s="120"/>
      <c r="K163" s="120"/>
      <c r="L163" s="120"/>
      <c r="M163" s="120"/>
      <c r="N163" s="122"/>
      <c r="O163" s="123"/>
      <c r="P163" s="123"/>
      <c r="Q163" s="123"/>
      <c r="R163" s="123"/>
      <c r="S163" s="123"/>
      <c r="T163" s="123"/>
    </row>
    <row r="164" spans="1:20" ht="15" customHeight="1">
      <c r="A164" s="122"/>
      <c r="B164" s="120"/>
      <c r="C164" s="120"/>
      <c r="D164" s="120"/>
      <c r="E164" s="120"/>
      <c r="F164" s="120"/>
      <c r="G164" s="120"/>
      <c r="H164" s="120"/>
      <c r="I164" s="121"/>
      <c r="J164" s="120"/>
      <c r="K164" s="120"/>
      <c r="L164" s="120"/>
      <c r="M164" s="120"/>
      <c r="N164" s="122"/>
      <c r="O164" s="123"/>
      <c r="P164" s="123"/>
      <c r="Q164" s="123"/>
      <c r="R164" s="123"/>
      <c r="S164" s="123"/>
      <c r="T164" s="123"/>
    </row>
    <row r="165" spans="1:20" ht="15" customHeight="1">
      <c r="A165" s="122"/>
      <c r="B165" s="120"/>
      <c r="C165" s="120"/>
      <c r="D165" s="120"/>
      <c r="E165" s="120"/>
      <c r="F165" s="120"/>
      <c r="G165" s="120"/>
      <c r="H165" s="120"/>
      <c r="I165" s="121"/>
      <c r="J165" s="120"/>
      <c r="K165" s="120"/>
      <c r="L165" s="120"/>
      <c r="M165" s="120"/>
      <c r="N165" s="122"/>
      <c r="O165" s="123"/>
      <c r="P165" s="123"/>
      <c r="Q165" s="123"/>
      <c r="R165" s="123"/>
      <c r="S165" s="123"/>
      <c r="T165" s="123"/>
    </row>
    <row r="166" spans="1:20" ht="15" customHeight="1">
      <c r="A166" s="122"/>
      <c r="B166" s="120"/>
      <c r="C166" s="120"/>
      <c r="D166" s="120"/>
      <c r="E166" s="120"/>
      <c r="F166" s="120"/>
      <c r="G166" s="120"/>
      <c r="H166" s="120"/>
      <c r="I166" s="121"/>
      <c r="J166" s="120"/>
      <c r="K166" s="120"/>
      <c r="L166" s="120"/>
      <c r="M166" s="120"/>
      <c r="N166" s="122"/>
      <c r="O166" s="123"/>
      <c r="P166" s="123"/>
      <c r="Q166" s="123"/>
      <c r="R166" s="123"/>
      <c r="S166" s="123"/>
      <c r="T166" s="123"/>
    </row>
    <row r="167" spans="1:20" ht="31.5" customHeight="1">
      <c r="A167" s="1148" t="s">
        <v>872</v>
      </c>
      <c r="B167" s="1148"/>
      <c r="C167" s="1148"/>
      <c r="D167" s="1148"/>
      <c r="E167" s="1148"/>
      <c r="F167" s="1148"/>
      <c r="G167" s="1148"/>
      <c r="H167" s="1148"/>
      <c r="I167" s="1148"/>
      <c r="J167" s="1148"/>
      <c r="K167" s="1148"/>
      <c r="L167" s="1148"/>
      <c r="M167" s="1148"/>
      <c r="N167" s="1148"/>
      <c r="O167" s="1148"/>
      <c r="P167" s="1148"/>
      <c r="Q167" s="1148"/>
      <c r="R167" s="1148"/>
      <c r="S167" s="1148"/>
      <c r="T167" s="1148"/>
    </row>
    <row r="168" spans="1:20" ht="18" customHeight="1">
      <c r="A168" s="122"/>
      <c r="B168" s="120"/>
      <c r="C168" s="120"/>
      <c r="D168" s="120"/>
      <c r="E168" s="120"/>
      <c r="F168" s="120"/>
      <c r="G168" s="120"/>
      <c r="H168" s="120"/>
      <c r="I168" s="121"/>
      <c r="J168" s="120"/>
      <c r="K168" s="120"/>
      <c r="L168" s="120"/>
      <c r="M168" s="120"/>
      <c r="N168" s="122"/>
      <c r="O168" s="123"/>
      <c r="P168" s="123"/>
      <c r="Q168" s="123"/>
      <c r="R168" s="123"/>
      <c r="S168" s="123"/>
      <c r="T168" s="123"/>
    </row>
    <row r="169" spans="1:20" ht="18" customHeight="1">
      <c r="A169" s="465" t="s">
        <v>2</v>
      </c>
      <c r="B169" s="465"/>
      <c r="C169" s="120"/>
      <c r="D169" s="120"/>
      <c r="E169" s="120"/>
      <c r="F169" s="120"/>
      <c r="G169" s="1214" t="str">
        <f xml:space="preserve"> G19</f>
        <v>De-identified for distribution</v>
      </c>
      <c r="H169" s="1214"/>
      <c r="I169" s="1214"/>
      <c r="J169" s="1214"/>
      <c r="K169" s="1214"/>
      <c r="L169" s="1214"/>
      <c r="M169" s="1214"/>
      <c r="N169" s="1214"/>
      <c r="O169" s="1214"/>
      <c r="P169" s="1214"/>
      <c r="Q169" s="1214"/>
      <c r="R169" s="1214"/>
      <c r="S169" s="1214"/>
      <c r="T169" s="123"/>
    </row>
    <row r="170" spans="1:20" ht="18" customHeight="1">
      <c r="A170" s="465" t="s">
        <v>1311</v>
      </c>
      <c r="B170" s="465"/>
      <c r="C170" s="465"/>
      <c r="D170" s="465"/>
      <c r="E170" s="465"/>
      <c r="F170" s="465"/>
      <c r="G170" s="853" t="str">
        <f xml:space="preserve"> G24</f>
        <v>IBA FC65-G, serial number 457</v>
      </c>
      <c r="H170" s="853"/>
      <c r="I170" s="853"/>
      <c r="J170" s="853"/>
      <c r="K170" s="853"/>
      <c r="L170" s="853"/>
      <c r="M170" s="853"/>
      <c r="N170" s="857"/>
      <c r="O170" s="857"/>
      <c r="P170" s="857"/>
      <c r="Q170" s="857"/>
      <c r="R170" s="857"/>
      <c r="S170" s="857"/>
      <c r="T170" s="123"/>
    </row>
    <row r="171" spans="1:20" ht="18" customHeight="1">
      <c r="A171" s="466" t="s">
        <v>1327</v>
      </c>
      <c r="B171" s="466"/>
      <c r="C171" s="466"/>
      <c r="D171" s="466"/>
      <c r="E171" s="120"/>
      <c r="F171" s="120"/>
      <c r="G171" s="166" t="str">
        <f>Client!B31&amp;" V on the guard electrode"</f>
        <v>-242 V on the guard electrode</v>
      </c>
      <c r="H171" s="854"/>
      <c r="I171" s="857"/>
      <c r="J171" s="854"/>
      <c r="K171" s="854"/>
      <c r="L171" s="854"/>
      <c r="M171" s="854"/>
      <c r="N171" s="856"/>
      <c r="O171" s="856"/>
      <c r="P171" s="856"/>
      <c r="Q171" s="856"/>
      <c r="R171" s="856"/>
      <c r="S171" s="856"/>
      <c r="T171" s="123"/>
    </row>
    <row r="172" spans="1:20" ht="18" customHeight="1">
      <c r="A172" s="466" t="s">
        <v>373</v>
      </c>
      <c r="B172" s="466"/>
      <c r="C172" s="466"/>
      <c r="D172" s="466"/>
      <c r="E172" s="466"/>
      <c r="F172" s="120"/>
      <c r="G172" s="166" t="str">
        <f xml:space="preserve"> Client!Q13</f>
        <v>Positive (Central Electrode Negative)</v>
      </c>
      <c r="H172" s="854"/>
      <c r="I172" s="857"/>
      <c r="J172" s="854"/>
      <c r="K172" s="854"/>
      <c r="L172" s="854"/>
      <c r="M172" s="854"/>
      <c r="N172" s="856"/>
      <c r="O172" s="856"/>
      <c r="P172" s="856"/>
      <c r="Q172" s="856"/>
      <c r="R172" s="856"/>
      <c r="S172" s="856"/>
      <c r="T172" s="123"/>
    </row>
    <row r="173" spans="1:20" ht="18" customHeight="1">
      <c r="A173" s="466" t="s">
        <v>332</v>
      </c>
      <c r="B173" s="466"/>
      <c r="C173" s="466"/>
      <c r="D173" s="466"/>
      <c r="E173" s="120"/>
      <c r="F173" s="120"/>
      <c r="G173" s="854" t="s">
        <v>873</v>
      </c>
      <c r="H173" s="854"/>
      <c r="I173" s="857"/>
      <c r="J173" s="854"/>
      <c r="K173" s="854"/>
      <c r="L173" s="854"/>
      <c r="M173" s="854"/>
      <c r="N173" s="856"/>
      <c r="O173" s="856"/>
      <c r="P173" s="856"/>
      <c r="Q173" s="856"/>
      <c r="R173" s="856"/>
      <c r="S173" s="856"/>
      <c r="T173" s="123"/>
    </row>
    <row r="174" spans="1:20" ht="18" customHeight="1">
      <c r="A174" s="466"/>
      <c r="B174" s="466"/>
      <c r="C174" s="460"/>
      <c r="D174" s="460"/>
      <c r="E174" s="460"/>
      <c r="F174" s="460"/>
      <c r="G174" s="854" t="s">
        <v>1223</v>
      </c>
      <c r="H174" s="854"/>
      <c r="I174" s="853"/>
      <c r="J174" s="854"/>
      <c r="K174" s="854"/>
      <c r="L174" s="854"/>
      <c r="M174" s="854"/>
      <c r="N174" s="854"/>
      <c r="O174" s="854"/>
      <c r="P174" s="854"/>
      <c r="Q174" s="854"/>
      <c r="R174" s="854"/>
      <c r="S174" s="854"/>
      <c r="T174" s="123"/>
    </row>
    <row r="175" spans="1:20" ht="18" customHeight="1">
      <c r="A175" s="466" t="s">
        <v>374</v>
      </c>
      <c r="B175" s="466"/>
      <c r="C175" s="460"/>
      <c r="D175" s="460"/>
      <c r="E175" s="460"/>
      <c r="F175" s="460"/>
      <c r="G175" s="854" t="s">
        <v>875</v>
      </c>
      <c r="H175" s="854"/>
      <c r="I175" s="853"/>
      <c r="J175" s="854"/>
      <c r="K175" s="854"/>
      <c r="L175" s="854"/>
      <c r="M175" s="854"/>
      <c r="N175" s="854"/>
      <c r="O175" s="854"/>
      <c r="P175" s="854"/>
      <c r="Q175" s="854"/>
      <c r="R175" s="854"/>
      <c r="S175" s="854"/>
      <c r="T175" s="123"/>
    </row>
    <row r="176" spans="1:20" ht="18" customHeight="1">
      <c r="A176" s="460"/>
      <c r="B176" s="460"/>
      <c r="C176" s="460"/>
      <c r="D176" s="460"/>
      <c r="E176" s="460"/>
      <c r="F176" s="460"/>
      <c r="G176" s="854" t="s">
        <v>864</v>
      </c>
      <c r="H176" s="854"/>
      <c r="I176" s="853"/>
      <c r="J176" s="854"/>
      <c r="K176" s="854"/>
      <c r="L176" s="854"/>
      <c r="M176" s="854"/>
      <c r="N176" s="854"/>
      <c r="O176" s="854"/>
      <c r="P176" s="854"/>
      <c r="Q176" s="854"/>
      <c r="R176" s="854"/>
      <c r="S176" s="854"/>
      <c r="T176" s="123"/>
    </row>
    <row r="177" spans="1:20" ht="18" customHeight="1">
      <c r="A177" s="460"/>
      <c r="B177" s="460"/>
      <c r="C177" s="460"/>
      <c r="D177" s="460"/>
      <c r="E177" s="460"/>
      <c r="F177" s="460"/>
      <c r="G177" s="854" t="s">
        <v>377</v>
      </c>
      <c r="H177" s="854"/>
      <c r="I177" s="853"/>
      <c r="J177" s="854"/>
      <c r="K177" s="854"/>
      <c r="L177" s="854"/>
      <c r="M177" s="854"/>
      <c r="N177" s="854"/>
      <c r="O177" s="854"/>
      <c r="P177" s="854"/>
      <c r="Q177" s="854"/>
      <c r="R177" s="854"/>
      <c r="S177" s="854"/>
      <c r="T177" s="123"/>
    </row>
    <row r="178" spans="1:20" ht="18" customHeight="1">
      <c r="A178" s="460"/>
      <c r="B178" s="460"/>
      <c r="C178" s="460"/>
      <c r="D178" s="460"/>
      <c r="E178" s="460"/>
      <c r="F178" s="460"/>
      <c r="G178" s="854" t="s">
        <v>1294</v>
      </c>
      <c r="H178" s="854"/>
      <c r="I178" s="853"/>
      <c r="J178" s="854"/>
      <c r="K178" s="854"/>
      <c r="L178" s="854"/>
      <c r="M178" s="854"/>
      <c r="N178" s="854"/>
      <c r="O178" s="854"/>
      <c r="P178" s="854"/>
      <c r="Q178" s="854"/>
      <c r="R178" s="854"/>
      <c r="S178" s="854"/>
      <c r="T178" s="123"/>
    </row>
    <row r="179" spans="1:20" ht="18" customHeight="1">
      <c r="A179" s="460"/>
      <c r="B179" s="460"/>
      <c r="C179" s="460"/>
      <c r="D179" s="460"/>
      <c r="E179" s="460"/>
      <c r="F179" s="460"/>
      <c r="G179" s="854" t="s">
        <v>876</v>
      </c>
      <c r="H179" s="854"/>
      <c r="I179" s="853"/>
      <c r="J179" s="854"/>
      <c r="K179" s="854"/>
      <c r="L179" s="854"/>
      <c r="M179" s="854"/>
      <c r="N179" s="854"/>
      <c r="O179" s="854"/>
      <c r="P179" s="854"/>
      <c r="Q179" s="854"/>
      <c r="R179" s="854"/>
      <c r="S179" s="854"/>
      <c r="T179" s="123"/>
    </row>
    <row r="180" spans="1:20" ht="18" customHeight="1">
      <c r="A180" s="460" t="s">
        <v>1203</v>
      </c>
      <c r="B180" s="460"/>
      <c r="C180" s="460"/>
      <c r="D180" s="460"/>
      <c r="E180" s="460"/>
      <c r="F180" s="460"/>
      <c r="G180" s="854" t="str">
        <f ca="1">Client!T6&amp;" buildup cap as supplied"</f>
        <v>Delrin buildup cap as supplied</v>
      </c>
      <c r="H180" s="854"/>
      <c r="I180" s="853"/>
      <c r="J180" s="854"/>
      <c r="K180" s="854"/>
      <c r="L180" s="854"/>
      <c r="M180" s="854"/>
      <c r="N180" s="854"/>
      <c r="O180" s="854"/>
      <c r="P180" s="854"/>
      <c r="Q180" s="854"/>
      <c r="R180" s="854"/>
      <c r="S180" s="854"/>
      <c r="T180" s="123"/>
    </row>
    <row r="181" spans="1:20" ht="18" customHeight="1">
      <c r="A181" s="460" t="s">
        <v>382</v>
      </c>
      <c r="B181" s="460"/>
      <c r="C181" s="460"/>
      <c r="D181" s="460"/>
      <c r="E181" s="460"/>
      <c r="F181" s="460"/>
      <c r="G181" s="854" t="s">
        <v>1158</v>
      </c>
      <c r="H181" s="854"/>
      <c r="I181" s="853"/>
      <c r="J181" s="854"/>
      <c r="K181" s="854"/>
      <c r="L181" s="854"/>
      <c r="M181" s="854"/>
      <c r="N181" s="854"/>
      <c r="O181" s="854"/>
      <c r="P181" s="854"/>
      <c r="Q181" s="854"/>
      <c r="R181" s="854"/>
      <c r="S181" s="854"/>
      <c r="T181" s="123"/>
    </row>
    <row r="182" spans="1:20" ht="18" customHeight="1">
      <c r="A182" s="460" t="s">
        <v>384</v>
      </c>
      <c r="B182" s="460"/>
      <c r="C182" s="460"/>
      <c r="D182" s="460"/>
      <c r="E182" s="460"/>
      <c r="F182" s="460"/>
      <c r="G182" s="165" t="s">
        <v>385</v>
      </c>
      <c r="H182" s="854"/>
      <c r="I182" s="853"/>
      <c r="J182" s="854"/>
      <c r="K182" s="854"/>
      <c r="L182" s="854"/>
      <c r="M182" s="854"/>
      <c r="N182" s="854"/>
      <c r="O182" s="854"/>
      <c r="P182" s="854"/>
      <c r="Q182" s="854"/>
      <c r="R182" s="854"/>
      <c r="S182" s="854"/>
      <c r="T182" s="123"/>
    </row>
    <row r="183" spans="1:20" ht="18" customHeight="1">
      <c r="A183" s="165" t="s">
        <v>386</v>
      </c>
      <c r="B183" s="460"/>
      <c r="C183" s="460"/>
      <c r="D183" s="460"/>
      <c r="E183" s="460"/>
      <c r="F183" s="460"/>
      <c r="G183" s="987" t="str" cm="1">
        <f t="array" ref="G183">make_Date_range(Co!Q10,Co!R10)</f>
        <v>0</v>
      </c>
      <c r="H183" s="854"/>
      <c r="I183" s="853"/>
      <c r="J183" s="854"/>
      <c r="K183" s="854"/>
      <c r="L183" s="854"/>
      <c r="M183" s="854"/>
      <c r="N183" s="854"/>
      <c r="O183" s="854"/>
      <c r="P183" s="854"/>
      <c r="Q183" s="854"/>
      <c r="R183" s="854"/>
      <c r="S183" s="854"/>
      <c r="T183" s="123"/>
    </row>
    <row r="184" spans="1:20" ht="18" customHeight="1">
      <c r="A184" s="163" t="s">
        <v>387</v>
      </c>
      <c r="B184" s="460"/>
      <c r="C184" s="460"/>
      <c r="D184" s="460"/>
      <c r="E184" s="460"/>
      <c r="F184" s="460"/>
      <c r="G184" s="854"/>
      <c r="H184" s="854"/>
      <c r="I184" s="853"/>
      <c r="J184" s="854"/>
      <c r="K184" s="854"/>
      <c r="L184" s="854"/>
      <c r="M184" s="854"/>
      <c r="N184" s="854"/>
      <c r="O184" s="854"/>
      <c r="P184" s="854"/>
      <c r="Q184" s="854"/>
      <c r="R184" s="854"/>
      <c r="S184" s="854"/>
      <c r="T184" s="123"/>
    </row>
    <row r="185" spans="1:20" ht="18" customHeight="1">
      <c r="A185" s="122"/>
      <c r="B185" s="120"/>
      <c r="C185" s="120"/>
      <c r="D185" s="120"/>
      <c r="E185" s="120"/>
      <c r="F185" s="120"/>
      <c r="G185" s="120"/>
      <c r="H185" s="120"/>
      <c r="I185" s="121"/>
      <c r="J185" s="120"/>
      <c r="K185" s="120"/>
      <c r="L185" s="120"/>
      <c r="M185" s="120"/>
      <c r="N185" s="122"/>
      <c r="O185" s="123"/>
      <c r="P185" s="123"/>
      <c r="Q185" s="123"/>
      <c r="R185" s="123"/>
      <c r="S185" s="123"/>
      <c r="T185" s="123"/>
    </row>
    <row r="186" spans="1:20" ht="18" customHeight="1">
      <c r="A186" s="122"/>
      <c r="B186" s="120"/>
      <c r="C186" s="120"/>
      <c r="D186" s="120"/>
      <c r="E186" s="120"/>
      <c r="F186" s="120"/>
      <c r="G186" s="120"/>
      <c r="H186" s="120"/>
      <c r="I186" s="121"/>
      <c r="J186" s="120"/>
      <c r="K186" s="120"/>
      <c r="L186" s="120"/>
      <c r="M186" s="120"/>
      <c r="N186" s="122"/>
      <c r="O186" s="123"/>
      <c r="P186" s="123"/>
      <c r="Q186" s="123"/>
      <c r="R186" s="123"/>
      <c r="S186" s="123"/>
      <c r="T186" s="123"/>
    </row>
    <row r="187" spans="1:20" ht="15" customHeight="1">
      <c r="A187" s="122"/>
      <c r="B187" s="120"/>
      <c r="C187" s="120"/>
      <c r="D187" s="120"/>
      <c r="E187" s="120"/>
      <c r="F187" s="120"/>
      <c r="G187" s="120"/>
      <c r="H187" s="120"/>
      <c r="I187" s="121"/>
      <c r="J187" s="120"/>
      <c r="K187" s="120"/>
      <c r="L187" s="120"/>
      <c r="M187" s="120"/>
      <c r="N187" s="122"/>
      <c r="O187" s="123"/>
      <c r="P187" s="123"/>
      <c r="Q187" s="123"/>
      <c r="R187" s="123"/>
      <c r="S187" s="123"/>
      <c r="T187" s="123"/>
    </row>
    <row r="188" spans="1:20" ht="19.5" customHeight="1">
      <c r="A188" s="460"/>
      <c r="B188" s="460"/>
      <c r="C188" s="460"/>
      <c r="D188" s="460"/>
      <c r="E188" s="460"/>
      <c r="F188" s="460"/>
      <c r="G188" s="460"/>
      <c r="H188" s="460"/>
      <c r="I188" s="161" t="s">
        <v>881</v>
      </c>
      <c r="J188" s="460"/>
      <c r="K188" s="460"/>
      <c r="L188" s="460"/>
      <c r="M188" s="460"/>
      <c r="N188" s="460"/>
      <c r="O188" s="464"/>
      <c r="P188" s="464"/>
      <c r="Q188" s="464"/>
      <c r="R188" s="464"/>
      <c r="S188" s="464"/>
      <c r="T188" s="464"/>
    </row>
    <row r="189" spans="1:20" ht="56.25" customHeight="1">
      <c r="A189" s="1421" t="s">
        <v>532</v>
      </c>
      <c r="B189" s="1422"/>
      <c r="C189" s="1422"/>
      <c r="D189" s="1422"/>
      <c r="E189" s="1423" t="s">
        <v>1265</v>
      </c>
      <c r="F189" s="1424"/>
      <c r="G189" s="1424"/>
      <c r="H189" s="1425"/>
      <c r="I189" s="1423" t="s">
        <v>883</v>
      </c>
      <c r="J189" s="1424"/>
      <c r="K189" s="1424"/>
      <c r="L189" s="1425"/>
      <c r="M189" s="1423" t="s">
        <v>1266</v>
      </c>
      <c r="N189" s="1424"/>
      <c r="O189" s="1424"/>
      <c r="P189" s="1425"/>
      <c r="Q189" s="1423" t="s">
        <v>1267</v>
      </c>
      <c r="R189" s="1424"/>
      <c r="S189" s="1424"/>
      <c r="T189" s="1425"/>
    </row>
    <row r="190" spans="1:20" ht="19.5" customHeight="1">
      <c r="A190" s="1427"/>
      <c r="B190" s="1428"/>
      <c r="C190" s="1428"/>
      <c r="D190" s="1429"/>
      <c r="E190" s="1097" t="s">
        <v>1250</v>
      </c>
      <c r="F190" s="1098"/>
      <c r="G190" s="1098"/>
      <c r="H190" s="1099"/>
      <c r="I190" s="1097" t="s">
        <v>63</v>
      </c>
      <c r="J190" s="1098"/>
      <c r="K190" s="1098"/>
      <c r="L190" s="1099"/>
      <c r="M190" s="1097" t="s">
        <v>7</v>
      </c>
      <c r="N190" s="1098"/>
      <c r="O190" s="1098"/>
      <c r="P190" s="1099"/>
      <c r="Q190" s="1097" t="s">
        <v>140</v>
      </c>
      <c r="R190" s="1098"/>
      <c r="S190" s="1098"/>
      <c r="T190" s="1099"/>
    </row>
    <row r="191" spans="1:20" ht="46.5" customHeight="1">
      <c r="A191" s="1177" t="s">
        <v>882</v>
      </c>
      <c r="B191" s="1178"/>
      <c r="C191" s="1178"/>
      <c r="D191" s="1178"/>
      <c r="E191" s="1177">
        <v>1250</v>
      </c>
      <c r="F191" s="1178"/>
      <c r="G191" s="1178"/>
      <c r="H191" s="1179"/>
      <c r="I191" s="1149">
        <f>Co!N38</f>
        <v>0</v>
      </c>
      <c r="J191" s="1149"/>
      <c r="K191" s="1149"/>
      <c r="L191" s="1149"/>
      <c r="M191" s="1180">
        <f>Co!D18</f>
        <v>0</v>
      </c>
      <c r="N191" s="1180"/>
      <c r="O191" s="1180"/>
      <c r="P191" s="1180"/>
      <c r="Q191" s="1138">
        <v>1</v>
      </c>
      <c r="R191" s="1138"/>
      <c r="S191" s="1138"/>
      <c r="T191" s="1139"/>
    </row>
    <row r="192" spans="1:20" ht="15" customHeight="1">
      <c r="A192" s="122" t="s">
        <v>1162</v>
      </c>
      <c r="B192" s="120"/>
      <c r="C192" s="120"/>
      <c r="D192" s="120"/>
      <c r="E192" s="120"/>
      <c r="F192" s="120"/>
      <c r="G192" s="120"/>
      <c r="H192" s="120"/>
      <c r="I192" s="121"/>
      <c r="J192" s="120"/>
      <c r="K192" s="120"/>
      <c r="L192" s="120"/>
      <c r="M192" s="120"/>
      <c r="N192" s="122"/>
      <c r="O192" s="123"/>
      <c r="P192" s="123"/>
      <c r="Q192" s="123"/>
      <c r="R192" s="123"/>
      <c r="S192" s="123"/>
      <c r="T192" s="123"/>
    </row>
    <row r="193" spans="1:20" ht="15" customHeight="1">
      <c r="A193" s="122" t="s">
        <v>1163</v>
      </c>
      <c r="B193" s="120"/>
      <c r="C193" s="120"/>
      <c r="D193" s="120"/>
      <c r="E193" s="120"/>
      <c r="F193" s="120"/>
      <c r="G193" s="120"/>
      <c r="H193" s="120"/>
      <c r="I193" s="121"/>
      <c r="J193" s="120"/>
      <c r="K193" s="120"/>
      <c r="L193" s="120"/>
      <c r="M193" s="120"/>
      <c r="N193" s="122"/>
      <c r="O193" s="123"/>
      <c r="P193" s="123"/>
      <c r="Q193" s="123"/>
      <c r="R193" s="123"/>
      <c r="S193" s="123"/>
      <c r="T193" s="123"/>
    </row>
    <row r="194" spans="1:20" ht="15" customHeight="1">
      <c r="A194" s="122" t="s">
        <v>1164</v>
      </c>
      <c r="B194" s="120"/>
      <c r="C194" s="120"/>
      <c r="D194" s="120"/>
      <c r="E194" s="120"/>
      <c r="F194" s="120"/>
      <c r="G194" s="120"/>
      <c r="H194" s="120"/>
      <c r="I194" s="121"/>
      <c r="J194" s="120"/>
      <c r="K194" s="120"/>
      <c r="L194" s="120"/>
      <c r="M194" s="120"/>
      <c r="N194" s="122"/>
      <c r="O194" s="123"/>
      <c r="P194" s="123"/>
      <c r="Q194" s="123"/>
      <c r="R194" s="123"/>
      <c r="S194" s="123"/>
      <c r="T194" s="123"/>
    </row>
    <row r="195" spans="1:20" ht="15" customHeight="1">
      <c r="A195" s="122"/>
      <c r="B195" s="120"/>
      <c r="C195" s="120"/>
      <c r="D195" s="120"/>
      <c r="E195" s="120"/>
      <c r="F195" s="120"/>
      <c r="G195" s="120"/>
      <c r="H195" s="120"/>
      <c r="I195" s="121"/>
      <c r="J195" s="120"/>
      <c r="K195" s="120"/>
      <c r="L195" s="120"/>
      <c r="M195" s="120"/>
      <c r="N195" s="122"/>
      <c r="O195" s="123"/>
      <c r="P195" s="123"/>
      <c r="Q195" s="123"/>
      <c r="R195" s="123"/>
      <c r="S195" s="123"/>
      <c r="T195" s="123"/>
    </row>
    <row r="196" spans="1:20" ht="15" customHeight="1">
      <c r="A196" s="122"/>
      <c r="B196" s="120"/>
      <c r="C196" s="120"/>
      <c r="D196" s="120"/>
      <c r="E196" s="120"/>
      <c r="F196" s="120"/>
      <c r="G196" s="120"/>
      <c r="H196" s="120"/>
      <c r="I196" s="121"/>
      <c r="T196" s="123"/>
    </row>
    <row r="197" spans="1:20" ht="15" customHeight="1">
      <c r="A197" s="122"/>
      <c r="B197" s="120"/>
      <c r="C197" s="120"/>
      <c r="D197" s="120"/>
      <c r="E197" s="120"/>
      <c r="F197" s="120"/>
      <c r="G197" s="120"/>
      <c r="H197" s="120"/>
      <c r="I197" s="121"/>
      <c r="J197" s="120"/>
      <c r="K197" s="177"/>
      <c r="L197" s="177"/>
      <c r="M197" s="177"/>
      <c r="N197" s="177"/>
      <c r="O197" s="177"/>
      <c r="P197" s="177"/>
      <c r="Q197" s="137"/>
      <c r="R197" s="39"/>
      <c r="S197" s="123"/>
      <c r="T197" s="123"/>
    </row>
    <row r="198" spans="1:20" ht="15" customHeight="1">
      <c r="A198" s="122"/>
      <c r="B198" s="120"/>
      <c r="C198" s="120"/>
      <c r="D198" s="120"/>
      <c r="E198" s="120"/>
      <c r="F198" s="120"/>
      <c r="G198" s="120"/>
      <c r="H198" s="120"/>
      <c r="I198" s="121"/>
      <c r="J198" s="120"/>
      <c r="K198" s="467" t="str">
        <f>"Calibrated by "&amp;Client!B$42</f>
        <v xml:space="preserve">Calibrated by </v>
      </c>
      <c r="L198" s="468"/>
      <c r="M198" s="468"/>
      <c r="N198" s="469"/>
      <c r="O198" s="470"/>
      <c r="P198" s="470"/>
      <c r="Q198" s="470"/>
      <c r="R198" s="470"/>
      <c r="S198" s="470"/>
      <c r="T198" s="123"/>
    </row>
    <row r="199" spans="1:20" ht="15" customHeight="1">
      <c r="A199" s="122"/>
      <c r="B199" s="120"/>
      <c r="C199" s="120"/>
      <c r="D199" s="120"/>
      <c r="E199" s="120"/>
      <c r="F199" s="120"/>
      <c r="G199" s="120"/>
      <c r="H199" s="120"/>
      <c r="I199" s="121"/>
      <c r="J199" s="120"/>
      <c r="K199" s="120"/>
      <c r="L199" s="120"/>
      <c r="M199" s="120"/>
      <c r="N199" s="122"/>
      <c r="O199" s="123"/>
      <c r="P199" s="123"/>
      <c r="Q199" s="123"/>
      <c r="R199" s="123"/>
      <c r="S199" s="123"/>
      <c r="T199" s="123"/>
    </row>
    <row r="200" spans="1:20" ht="15" customHeight="1">
      <c r="A200" s="122"/>
      <c r="B200" s="120"/>
      <c r="C200" s="120"/>
      <c r="D200" s="120"/>
      <c r="E200" s="120"/>
      <c r="F200" s="120"/>
      <c r="G200" s="120"/>
      <c r="H200" s="120"/>
      <c r="I200" s="121"/>
      <c r="J200" s="120"/>
      <c r="K200" s="120"/>
      <c r="L200" s="120"/>
      <c r="M200" s="120"/>
      <c r="N200" s="122"/>
      <c r="O200" s="123"/>
      <c r="P200" s="123"/>
      <c r="Q200" s="123"/>
      <c r="R200" s="123"/>
      <c r="S200" s="123"/>
      <c r="T200" s="123"/>
    </row>
    <row r="201" spans="1:20" ht="6" customHeight="1">
      <c r="A201" s="122"/>
      <c r="B201" s="120"/>
      <c r="C201" s="120"/>
      <c r="D201" s="120"/>
      <c r="E201" s="120"/>
      <c r="F201" s="120"/>
      <c r="G201" s="120"/>
      <c r="H201" s="120"/>
      <c r="I201" s="121"/>
      <c r="J201" s="120"/>
      <c r="K201" s="120"/>
      <c r="L201" s="120"/>
      <c r="M201" s="120"/>
      <c r="N201" s="122"/>
      <c r="O201" s="123"/>
      <c r="P201" s="123"/>
      <c r="Q201" s="123"/>
      <c r="R201" s="123"/>
      <c r="S201" s="123"/>
      <c r="T201" s="123"/>
    </row>
    <row r="202" spans="1:20" ht="5.0999999999999996" customHeight="1">
      <c r="A202" s="122"/>
      <c r="B202" s="120"/>
      <c r="C202" s="120"/>
      <c r="D202" s="120"/>
      <c r="E202" s="120"/>
      <c r="F202" s="120"/>
      <c r="G202" s="120"/>
      <c r="H202" s="120"/>
      <c r="I202" s="121"/>
      <c r="J202" s="120"/>
      <c r="K202" s="120"/>
      <c r="L202" s="120"/>
      <c r="M202" s="120"/>
      <c r="N202" s="122"/>
      <c r="O202" s="123"/>
      <c r="P202" s="123"/>
      <c r="Q202" s="123"/>
      <c r="R202" s="123"/>
      <c r="S202" s="123"/>
      <c r="T202" s="123"/>
    </row>
    <row r="203" spans="1:20" ht="15" customHeight="1">
      <c r="A203" s="122"/>
      <c r="B203" s="120"/>
      <c r="C203" s="120"/>
      <c r="D203" s="120"/>
      <c r="E203" s="120"/>
      <c r="F203" s="120"/>
      <c r="G203" s="120"/>
      <c r="H203" s="120"/>
      <c r="I203" s="121"/>
      <c r="J203" s="120"/>
      <c r="K203" s="120"/>
      <c r="L203" s="120"/>
      <c r="M203" s="120"/>
      <c r="N203" s="122"/>
      <c r="O203" s="123"/>
      <c r="P203" s="123"/>
      <c r="Q203" s="123"/>
      <c r="R203" s="123"/>
      <c r="S203" s="123"/>
      <c r="T203" s="123"/>
    </row>
    <row r="204" spans="1:20" ht="12.75" customHeight="1">
      <c r="A204" s="122"/>
      <c r="B204" s="120"/>
      <c r="C204" s="120"/>
      <c r="D204" s="120"/>
      <c r="E204" s="120"/>
      <c r="F204" s="120"/>
      <c r="G204" s="120"/>
      <c r="H204" s="120"/>
      <c r="I204" s="121"/>
      <c r="J204" s="120"/>
      <c r="K204" s="120"/>
      <c r="L204" s="120"/>
      <c r="M204" s="120"/>
      <c r="N204" s="122"/>
      <c r="O204" s="123"/>
      <c r="P204" s="123"/>
      <c r="Q204" s="123"/>
      <c r="R204" s="123"/>
      <c r="S204" s="123"/>
      <c r="T204" s="123"/>
    </row>
    <row r="205" spans="1:20">
      <c r="A205" s="420" t="str">
        <f>"Calibration No.: "&amp;$T$12</f>
        <v>Calibration No.: CAL11957/02</v>
      </c>
      <c r="B205" s="421"/>
      <c r="C205" s="421"/>
      <c r="D205" s="421"/>
      <c r="E205" s="421"/>
      <c r="F205" s="421"/>
      <c r="G205" s="421"/>
      <c r="H205" s="421"/>
      <c r="I205" s="422" t="str">
        <f>$G$32</f>
        <v>0</v>
      </c>
      <c r="J205" s="421"/>
      <c r="K205" s="421"/>
      <c r="L205" s="421"/>
      <c r="M205" s="421"/>
      <c r="N205" s="420" t="s">
        <v>360</v>
      </c>
      <c r="O205" s="423"/>
      <c r="P205" s="423"/>
      <c r="Q205" s="423"/>
      <c r="R205" s="423"/>
      <c r="S205" s="423"/>
      <c r="T205" s="423" t="s">
        <v>1153</v>
      </c>
    </row>
    <row r="210" spans="1:20" ht="17.25" customHeight="1"/>
    <row r="211" spans="1:20" ht="44.25" customHeight="1" thickBot="1">
      <c r="A211" s="1426" t="s">
        <v>868</v>
      </c>
      <c r="B211" s="1426"/>
      <c r="C211" s="1426"/>
      <c r="D211" s="1426"/>
      <c r="E211" s="1426"/>
      <c r="F211" s="1426"/>
      <c r="G211" s="1426"/>
      <c r="H211" s="1426"/>
      <c r="I211" s="1426"/>
      <c r="J211" s="1426"/>
      <c r="K211" s="1426"/>
      <c r="L211" s="1426"/>
      <c r="M211" s="1426"/>
      <c r="N211" s="1426"/>
      <c r="O211" s="1426"/>
      <c r="P211" s="1426"/>
      <c r="Q211" s="1426"/>
      <c r="R211" s="1426"/>
      <c r="S211" s="1426"/>
      <c r="T211" s="1426"/>
    </row>
    <row r="212" spans="1:20" ht="18" customHeight="1">
      <c r="A212" s="164" t="s">
        <v>2</v>
      </c>
      <c r="B212" s="165"/>
      <c r="C212" s="165"/>
      <c r="D212" s="165"/>
      <c r="E212" s="165"/>
      <c r="F212" s="2"/>
      <c r="G212" s="165" t="str">
        <f>G19</f>
        <v>De-identified for distribution</v>
      </c>
      <c r="H212" s="165"/>
      <c r="I212" s="165"/>
      <c r="J212" s="165"/>
      <c r="K212" s="165"/>
      <c r="L212" s="165"/>
      <c r="M212" s="165"/>
      <c r="N212" s="165"/>
      <c r="O212" s="165"/>
      <c r="P212" s="165"/>
      <c r="Q212" s="165"/>
      <c r="R212" s="134"/>
      <c r="S212" s="2"/>
    </row>
    <row r="213" spans="1:20" ht="18" customHeight="1">
      <c r="A213" s="164" t="s">
        <v>1311</v>
      </c>
      <c r="B213" s="165"/>
      <c r="C213" s="165"/>
      <c r="D213" s="165"/>
      <c r="E213" s="165"/>
      <c r="F213" s="2"/>
      <c r="G213" s="165" t="str">
        <f>G24</f>
        <v>IBA FC65-G, serial number 457</v>
      </c>
      <c r="H213" s="165"/>
      <c r="I213" s="165"/>
      <c r="J213" s="165"/>
      <c r="K213" s="165"/>
      <c r="L213" s="165"/>
      <c r="M213" s="165"/>
      <c r="N213" s="165"/>
      <c r="O213" s="165"/>
      <c r="P213" s="165"/>
      <c r="Q213" s="165"/>
      <c r="R213" s="134"/>
      <c r="S213" s="2"/>
    </row>
    <row r="214" spans="1:20" ht="18" customHeight="1">
      <c r="A214" s="165" t="s">
        <v>1327</v>
      </c>
      <c r="B214" s="165"/>
      <c r="C214" s="165"/>
      <c r="D214" s="165"/>
      <c r="E214" s="165"/>
      <c r="F214" s="2"/>
      <c r="G214" s="165" t="str">
        <f>Client!B31&amp;" V on the guard electrode"</f>
        <v>-242 V on the guard electrode</v>
      </c>
      <c r="H214" s="165"/>
      <c r="I214" s="165"/>
      <c r="J214" s="165"/>
      <c r="K214" s="165"/>
      <c r="L214" s="165"/>
      <c r="M214" s="165"/>
      <c r="N214" s="165"/>
      <c r="O214" s="165"/>
      <c r="P214" s="165"/>
      <c r="Q214" s="165"/>
      <c r="R214" s="134"/>
      <c r="S214" s="2"/>
    </row>
    <row r="215" spans="1:20" ht="18" customHeight="1">
      <c r="A215" s="165" t="s">
        <v>373</v>
      </c>
      <c r="B215" s="165"/>
      <c r="C215" s="165"/>
      <c r="D215" s="165"/>
      <c r="E215" s="165"/>
      <c r="F215" s="2"/>
      <c r="G215" s="166" t="str">
        <f>Client!Q13</f>
        <v>Positive (Central Electrode Negative)</v>
      </c>
      <c r="H215" s="165"/>
      <c r="I215" s="165"/>
      <c r="J215" s="165"/>
      <c r="K215" s="165"/>
      <c r="L215" s="165"/>
      <c r="M215" s="165"/>
      <c r="N215" s="165"/>
      <c r="O215" s="165"/>
      <c r="P215" s="165"/>
      <c r="Q215" s="165"/>
      <c r="R215" s="134"/>
      <c r="S215" s="2"/>
    </row>
    <row r="216" spans="1:20" ht="18" customHeight="1">
      <c r="A216" s="165" t="s">
        <v>332</v>
      </c>
      <c r="B216" s="165"/>
      <c r="C216" s="165"/>
      <c r="D216" s="165"/>
      <c r="E216" s="165"/>
      <c r="F216" s="2"/>
      <c r="G216" s="165" t="str">
        <f ca="1">Client!Q8</f>
        <v>The geometrical centre of the cavity</v>
      </c>
      <c r="H216" s="165"/>
      <c r="I216" s="165"/>
      <c r="J216" s="165"/>
      <c r="K216" s="165"/>
      <c r="L216" s="165"/>
      <c r="M216" s="165"/>
      <c r="N216" s="165"/>
      <c r="O216" s="165"/>
      <c r="P216" s="165"/>
      <c r="Q216" s="165"/>
      <c r="R216" s="134"/>
      <c r="S216" s="2"/>
    </row>
    <row r="217" spans="1:20" ht="18" customHeight="1">
      <c r="A217" s="165" t="s">
        <v>374</v>
      </c>
      <c r="B217" s="165"/>
      <c r="C217" s="165"/>
      <c r="D217" s="165"/>
      <c r="E217" s="165"/>
      <c r="F217" s="2"/>
      <c r="G217" s="165" t="s">
        <v>375</v>
      </c>
      <c r="H217" s="165"/>
      <c r="I217" s="165"/>
      <c r="J217" s="165"/>
      <c r="K217" s="165"/>
      <c r="L217" s="165"/>
      <c r="M217" s="165"/>
      <c r="N217" s="165"/>
      <c r="O217" s="165"/>
      <c r="P217" s="165"/>
      <c r="Q217" s="165"/>
      <c r="R217" s="134"/>
      <c r="S217" s="2"/>
    </row>
    <row r="218" spans="1:20" ht="18" customHeight="1">
      <c r="A218" s="165"/>
      <c r="B218" s="165"/>
      <c r="C218" s="165"/>
      <c r="D218" s="165"/>
      <c r="E218" s="165"/>
      <c r="F218" s="2"/>
      <c r="G218" s="165" t="s">
        <v>377</v>
      </c>
      <c r="H218" s="165"/>
      <c r="I218" s="165"/>
      <c r="J218" s="165"/>
      <c r="K218" s="165"/>
      <c r="L218" s="165"/>
      <c r="M218" s="165"/>
      <c r="N218" s="165"/>
      <c r="O218" s="165"/>
      <c r="P218" s="165"/>
      <c r="Q218" s="165"/>
      <c r="R218" s="134"/>
      <c r="S218" s="2"/>
    </row>
    <row r="219" spans="1:20" ht="18" customHeight="1">
      <c r="A219" s="165"/>
      <c r="B219" s="165"/>
      <c r="C219" s="165"/>
      <c r="D219" s="165"/>
      <c r="E219" s="165"/>
      <c r="F219" s="2"/>
      <c r="G219" s="165" t="s">
        <v>757</v>
      </c>
      <c r="H219" s="165"/>
      <c r="I219" s="165"/>
      <c r="J219" s="165"/>
      <c r="K219" s="165"/>
      <c r="L219" s="165"/>
      <c r="M219" s="165"/>
      <c r="N219" s="165"/>
      <c r="O219" s="165"/>
      <c r="P219" s="165"/>
      <c r="Q219" s="165"/>
      <c r="R219" s="134"/>
      <c r="S219" s="2"/>
    </row>
    <row r="220" spans="1:20" ht="18" customHeight="1">
      <c r="A220" s="165"/>
      <c r="B220" s="165"/>
      <c r="C220" s="165"/>
      <c r="D220" s="165"/>
      <c r="E220" s="165"/>
      <c r="F220" s="2"/>
      <c r="G220" s="165" t="s">
        <v>758</v>
      </c>
      <c r="H220" s="165"/>
      <c r="I220" s="165"/>
      <c r="J220" s="165"/>
      <c r="K220" s="165"/>
      <c r="L220" s="165"/>
      <c r="M220" s="165"/>
      <c r="N220" s="165"/>
      <c r="O220" s="165"/>
      <c r="P220" s="165"/>
      <c r="Q220" s="165"/>
      <c r="R220" s="134"/>
      <c r="S220" s="2"/>
    </row>
    <row r="221" spans="1:20" ht="18" customHeight="1">
      <c r="A221" s="165"/>
      <c r="B221" s="165"/>
      <c r="C221" s="165"/>
      <c r="D221" s="165"/>
      <c r="E221" s="165"/>
      <c r="F221" s="2"/>
      <c r="G221" s="165" t="s">
        <v>1048</v>
      </c>
      <c r="H221" s="165"/>
      <c r="I221" s="165"/>
      <c r="J221" s="165"/>
      <c r="K221" s="165"/>
      <c r="L221" s="165"/>
      <c r="M221" s="165"/>
      <c r="N221" s="165"/>
      <c r="O221" s="165"/>
      <c r="P221" s="165"/>
      <c r="Q221" s="165"/>
      <c r="R221" s="134"/>
      <c r="S221" s="2"/>
    </row>
    <row r="222" spans="1:20" ht="18" customHeight="1">
      <c r="A222" s="165"/>
      <c r="B222" s="165"/>
      <c r="C222" s="165"/>
      <c r="D222" s="165"/>
      <c r="E222" s="165"/>
      <c r="F222" s="2"/>
      <c r="G222" s="165" t="s">
        <v>759</v>
      </c>
      <c r="H222" s="165"/>
      <c r="I222" s="165"/>
      <c r="J222" s="165"/>
      <c r="K222" s="165"/>
      <c r="L222" s="165"/>
      <c r="M222" s="165"/>
      <c r="N222" s="165"/>
      <c r="O222" s="165"/>
      <c r="P222" s="165"/>
      <c r="Q222" s="165"/>
      <c r="R222" s="134"/>
      <c r="S222" s="2"/>
    </row>
    <row r="223" spans="1:20" ht="18" customHeight="1">
      <c r="A223" s="186" t="s">
        <v>1203</v>
      </c>
      <c r="B223" s="165"/>
      <c r="C223" s="165"/>
      <c r="D223" s="165"/>
      <c r="E223" s="165"/>
      <c r="F223" s="2"/>
      <c r="G223" s="1133" t="str">
        <f ca="1">Client!Q14</f>
        <v>The buildup cap was removed and the chamber placed directly in the water phantom (no sleeve)</v>
      </c>
      <c r="H223" s="1133"/>
      <c r="I223" s="1133"/>
      <c r="J223" s="1133"/>
      <c r="K223" s="1133"/>
      <c r="L223" s="1133"/>
      <c r="M223" s="1133"/>
      <c r="N223" s="1133"/>
      <c r="O223" s="1133"/>
      <c r="P223" s="1133"/>
      <c r="Q223" s="1133"/>
      <c r="R223" s="1133"/>
      <c r="S223" s="1133"/>
      <c r="T223" s="1133"/>
    </row>
    <row r="224" spans="1:20" ht="18" customHeight="1">
      <c r="A224" s="165" t="s">
        <v>382</v>
      </c>
      <c r="B224" s="167"/>
      <c r="C224" s="165"/>
      <c r="D224" s="165"/>
      <c r="E224" s="165"/>
      <c r="F224" s="2"/>
      <c r="G224" s="165" t="s">
        <v>760</v>
      </c>
      <c r="H224" s="165"/>
      <c r="I224" s="165"/>
      <c r="J224" s="165"/>
      <c r="K224" s="165"/>
      <c r="L224" s="165"/>
      <c r="M224" s="165"/>
      <c r="N224" s="165"/>
      <c r="O224" s="165"/>
      <c r="P224" s="165"/>
      <c r="Q224" s="165"/>
      <c r="R224" s="134"/>
      <c r="S224" s="2"/>
    </row>
    <row r="225" spans="1:19" ht="18" customHeight="1">
      <c r="A225" s="165" t="s">
        <v>384</v>
      </c>
      <c r="B225" s="167"/>
      <c r="C225" s="165"/>
      <c r="D225" s="165"/>
      <c r="E225" s="165"/>
      <c r="F225" s="2"/>
      <c r="G225" s="165" t="s">
        <v>385</v>
      </c>
      <c r="H225" s="165"/>
      <c r="I225" s="165"/>
      <c r="J225" s="165"/>
      <c r="K225" s="165"/>
      <c r="L225" s="165"/>
      <c r="M225" s="165"/>
      <c r="N225" s="165"/>
      <c r="O225" s="165"/>
      <c r="P225" s="165"/>
      <c r="Q225" s="165"/>
      <c r="R225" s="134"/>
      <c r="S225" s="2"/>
    </row>
    <row r="226" spans="1:19" ht="18" customHeight="1">
      <c r="A226" s="382" t="s">
        <v>1295</v>
      </c>
      <c r="B226" s="167"/>
      <c r="C226" s="165"/>
      <c r="D226" s="165"/>
      <c r="E226" s="165"/>
      <c r="F226" s="2"/>
      <c r="G226" s="165" t="str" cm="1">
        <f t="array" ref="G226">make_Date_range(Co!Q9,Co!R9)</f>
        <v>0</v>
      </c>
      <c r="H226" s="165"/>
      <c r="I226" s="165"/>
      <c r="J226" s="165"/>
      <c r="K226" s="165"/>
      <c r="L226" s="165"/>
      <c r="M226" s="165"/>
      <c r="N226" s="165"/>
      <c r="O226" s="165"/>
      <c r="P226" s="165"/>
      <c r="Q226" s="165"/>
      <c r="R226" s="134"/>
      <c r="S226" s="2"/>
    </row>
    <row r="227" spans="1:19" ht="18" customHeight="1">
      <c r="A227" s="165" t="s">
        <v>1296</v>
      </c>
      <c r="B227" s="167"/>
      <c r="C227" s="165"/>
      <c r="D227" s="165"/>
      <c r="E227" s="165"/>
      <c r="F227" s="2"/>
      <c r="G227" s="165" t="str" cm="1">
        <f t="array" ref="G227">make_Date_range('MV-P'!M6,'MV-P'!M7)</f>
        <v>0</v>
      </c>
      <c r="H227" s="165"/>
      <c r="I227" s="165"/>
      <c r="J227" s="165"/>
      <c r="K227" s="165"/>
      <c r="L227" s="165"/>
      <c r="M227" s="165"/>
      <c r="N227" s="165"/>
      <c r="O227" s="165"/>
      <c r="P227" s="165"/>
      <c r="Q227" s="165"/>
      <c r="R227" s="134"/>
      <c r="S227" s="2"/>
    </row>
    <row r="228" spans="1:19" ht="15">
      <c r="A228" s="163" t="s">
        <v>387</v>
      </c>
      <c r="B228" s="162"/>
      <c r="C228" s="91"/>
      <c r="D228" s="91"/>
      <c r="E228" s="91"/>
      <c r="F228" s="91"/>
      <c r="G228" s="91"/>
      <c r="H228" s="91"/>
      <c r="I228" s="91"/>
      <c r="J228" s="91"/>
      <c r="K228" s="91"/>
      <c r="L228" s="91"/>
      <c r="M228" s="91"/>
      <c r="N228" s="91"/>
      <c r="O228" s="91"/>
      <c r="P228" s="91"/>
      <c r="Q228" s="91"/>
      <c r="R228" s="97"/>
    </row>
    <row r="229" spans="1:19" ht="15">
      <c r="A229" s="91"/>
      <c r="B229" s="91"/>
      <c r="C229" s="91"/>
      <c r="D229" s="91"/>
      <c r="E229" s="91"/>
      <c r="F229" s="91"/>
      <c r="G229" s="91"/>
      <c r="H229" s="91"/>
      <c r="I229" s="91"/>
      <c r="J229" s="91"/>
      <c r="K229" s="91"/>
      <c r="L229" s="91"/>
      <c r="M229" s="91"/>
      <c r="N229" s="91"/>
      <c r="O229" s="91"/>
      <c r="P229" s="91"/>
      <c r="Q229" s="91"/>
      <c r="R229" s="97"/>
    </row>
    <row r="230" spans="1:19" ht="18.75" customHeight="1">
      <c r="C230" s="895" t="s">
        <v>1204</v>
      </c>
    </row>
    <row r="231" spans="1:19" ht="51.75" customHeight="1">
      <c r="C231" s="1186" t="s">
        <v>763</v>
      </c>
      <c r="D231" s="1187"/>
      <c r="E231" s="1187"/>
      <c r="F231" s="1188"/>
      <c r="G231" s="1186" t="s">
        <v>1269</v>
      </c>
      <c r="H231" s="1187"/>
      <c r="I231" s="1187"/>
      <c r="J231" s="1188"/>
      <c r="K231" s="1186" t="s">
        <v>1270</v>
      </c>
      <c r="L231" s="1187"/>
      <c r="M231" s="1187"/>
      <c r="N231" s="1188"/>
      <c r="O231" s="1186" t="s">
        <v>1267</v>
      </c>
      <c r="P231" s="1187"/>
      <c r="Q231" s="1187"/>
      <c r="R231" s="1188"/>
    </row>
    <row r="232" spans="1:19" ht="18" customHeight="1">
      <c r="C232" s="1348"/>
      <c r="D232" s="1407"/>
      <c r="E232" s="1407"/>
      <c r="F232" s="1349"/>
      <c r="G232" s="1408" t="s">
        <v>1268</v>
      </c>
      <c r="H232" s="1407"/>
      <c r="I232" s="1407"/>
      <c r="J232" s="1349"/>
      <c r="K232" s="1348" t="s">
        <v>7</v>
      </c>
      <c r="L232" s="1407"/>
      <c r="M232" s="1407"/>
      <c r="N232" s="1349"/>
      <c r="O232" s="1348" t="s">
        <v>140</v>
      </c>
      <c r="P232" s="1407"/>
      <c r="Q232" s="1407"/>
      <c r="R232" s="1349"/>
    </row>
    <row r="233" spans="1:19" ht="18" customHeight="1">
      <c r="C233" s="1183" t="s">
        <v>764</v>
      </c>
      <c r="D233" s="1184"/>
      <c r="E233" s="1184"/>
      <c r="F233" s="1185"/>
      <c r="G233" s="1183">
        <f>'MV-P'!P13</f>
        <v>0.56899999999999995</v>
      </c>
      <c r="H233" s="1184"/>
      <c r="I233" s="1184"/>
      <c r="J233" s="1185"/>
      <c r="K233" s="1418" t="e">
        <f>'MV-P'!Q13</f>
        <v>#VALUE!</v>
      </c>
      <c r="L233" s="1419"/>
      <c r="M233" s="1419"/>
      <c r="N233" s="1420"/>
      <c r="O233" s="1183">
        <v>0.8</v>
      </c>
      <c r="P233" s="1184"/>
      <c r="Q233" s="1184"/>
      <c r="R233" s="1185"/>
    </row>
    <row r="234" spans="1:19" ht="18" customHeight="1">
      <c r="C234" s="369" t="s">
        <v>769</v>
      </c>
      <c r="D234" s="364"/>
      <c r="E234" s="364"/>
      <c r="F234" s="364"/>
      <c r="G234" s="364"/>
      <c r="H234" s="364"/>
      <c r="I234" s="364"/>
      <c r="J234" s="364"/>
      <c r="K234" s="365"/>
      <c r="L234" s="364"/>
      <c r="M234" s="364"/>
      <c r="N234" s="364"/>
      <c r="O234" s="364"/>
      <c r="P234" s="364"/>
      <c r="Q234" s="364"/>
      <c r="R234" s="364"/>
    </row>
    <row r="235" spans="1:19" ht="14.25" customHeight="1">
      <c r="C235" s="366"/>
      <c r="D235" s="364"/>
      <c r="E235" s="364"/>
      <c r="F235" s="364"/>
      <c r="G235" s="364"/>
      <c r="H235" s="364"/>
      <c r="I235" s="364"/>
      <c r="J235" s="364"/>
      <c r="K235" s="365"/>
      <c r="L235" s="364"/>
      <c r="M235" s="364"/>
      <c r="N235" s="364"/>
      <c r="O235" s="364"/>
      <c r="P235" s="364"/>
      <c r="Q235" s="364"/>
      <c r="R235" s="364"/>
    </row>
    <row r="236" spans="1:19" ht="18" customHeight="1">
      <c r="C236" s="895" t="s">
        <v>1205</v>
      </c>
    </row>
    <row r="237" spans="1:19" ht="29.25" customHeight="1">
      <c r="C237" s="1186" t="s">
        <v>763</v>
      </c>
      <c r="D237" s="1187"/>
      <c r="E237" s="1187"/>
      <c r="F237" s="1188"/>
      <c r="G237" s="1186" t="s">
        <v>1271</v>
      </c>
      <c r="H237" s="1187"/>
      <c r="I237" s="1187"/>
      <c r="J237" s="1188"/>
      <c r="K237" s="1186" t="s">
        <v>767</v>
      </c>
      <c r="L237" s="1187"/>
      <c r="M237" s="1187"/>
      <c r="N237" s="1188"/>
      <c r="O237" s="1186" t="s">
        <v>1267</v>
      </c>
      <c r="P237" s="1187"/>
      <c r="Q237" s="1187"/>
      <c r="R237" s="1188"/>
    </row>
    <row r="238" spans="1:19" ht="18" customHeight="1">
      <c r="C238" s="1348"/>
      <c r="D238" s="1407"/>
      <c r="E238" s="1407"/>
      <c r="F238" s="1349"/>
      <c r="G238" s="1408" t="s">
        <v>1268</v>
      </c>
      <c r="H238" s="1407"/>
      <c r="I238" s="1407"/>
      <c r="J238" s="1349"/>
      <c r="K238" s="1348"/>
      <c r="L238" s="1407"/>
      <c r="M238" s="1407"/>
      <c r="N238" s="1349"/>
      <c r="O238" s="1348" t="s">
        <v>140</v>
      </c>
      <c r="P238" s="1407"/>
      <c r="Q238" s="1407"/>
      <c r="R238" s="1349"/>
    </row>
    <row r="239" spans="1:19" ht="18" customHeight="1">
      <c r="C239" s="1183" t="s">
        <v>728</v>
      </c>
      <c r="D239" s="1184"/>
      <c r="E239" s="1184"/>
      <c r="F239" s="1185"/>
      <c r="G239" s="1409">
        <f>'MV-P'!P14</f>
        <v>0.68400000000000005</v>
      </c>
      <c r="H239" s="1410"/>
      <c r="I239" s="1410"/>
      <c r="J239" s="1411"/>
      <c r="K239" s="1409" t="e">
        <f>'MV-P'!R14</f>
        <v>#DIV/0!</v>
      </c>
      <c r="L239" s="1410"/>
      <c r="M239" s="1410"/>
      <c r="N239" s="1411"/>
      <c r="O239" s="1183">
        <v>0.7</v>
      </c>
      <c r="P239" s="1184"/>
      <c r="Q239" s="1184"/>
      <c r="R239" s="1185"/>
    </row>
    <row r="240" spans="1:19" ht="15.75">
      <c r="A240" s="91"/>
      <c r="B240" s="91"/>
      <c r="C240" s="1412" t="s">
        <v>729</v>
      </c>
      <c r="D240" s="1413"/>
      <c r="E240" s="1413"/>
      <c r="F240" s="1414"/>
      <c r="G240" s="1415">
        <f>'MV-P'!P15</f>
        <v>0.73299999999999998</v>
      </c>
      <c r="H240" s="1416"/>
      <c r="I240" s="1416"/>
      <c r="J240" s="1417"/>
      <c r="K240" s="1415" t="e">
        <f>'MV-P'!R15</f>
        <v>#DIV/0!</v>
      </c>
      <c r="L240" s="1416"/>
      <c r="M240" s="1416"/>
      <c r="N240" s="1417"/>
      <c r="O240" s="1412">
        <v>0.8</v>
      </c>
      <c r="P240" s="1413"/>
      <c r="Q240" s="1413"/>
      <c r="R240" s="1414"/>
    </row>
    <row r="241" spans="1:20" ht="15.75">
      <c r="A241" s="91"/>
      <c r="B241" s="91"/>
      <c r="C241" s="1183" t="s">
        <v>730</v>
      </c>
      <c r="D241" s="1184"/>
      <c r="E241" s="1184"/>
      <c r="F241" s="1185"/>
      <c r="G241" s="1409">
        <f>'MV-P'!P16</f>
        <v>0.77900000000000003</v>
      </c>
      <c r="H241" s="1410"/>
      <c r="I241" s="1410"/>
      <c r="J241" s="1411"/>
      <c r="K241" s="1409" t="e">
        <f>'MV-P'!R16</f>
        <v>#DIV/0!</v>
      </c>
      <c r="L241" s="1410"/>
      <c r="M241" s="1410"/>
      <c r="N241" s="1411"/>
      <c r="O241" s="1183">
        <v>0.8</v>
      </c>
      <c r="P241" s="1184"/>
      <c r="Q241" s="1184"/>
      <c r="R241" s="1185"/>
    </row>
    <row r="242" spans="1:20" ht="15.75">
      <c r="A242" s="91"/>
      <c r="B242" s="91"/>
      <c r="C242" s="368" t="s">
        <v>768</v>
      </c>
      <c r="D242" s="91"/>
      <c r="E242" s="91"/>
      <c r="F242" s="91"/>
      <c r="G242" s="91"/>
      <c r="H242" s="91"/>
      <c r="I242" s="91"/>
      <c r="J242" s="91"/>
      <c r="K242" s="91"/>
      <c r="L242" s="91"/>
      <c r="M242" s="91"/>
      <c r="N242" s="91"/>
      <c r="O242" s="91"/>
      <c r="P242" s="91"/>
      <c r="Q242" s="91"/>
      <c r="R242" s="97"/>
    </row>
    <row r="243" spans="1:20" ht="15" customHeight="1">
      <c r="A243" s="91"/>
      <c r="B243" s="91"/>
      <c r="C243" s="367"/>
      <c r="D243" s="91"/>
      <c r="E243" s="91"/>
      <c r="F243" s="91"/>
      <c r="G243" s="91"/>
      <c r="H243" s="91"/>
      <c r="I243" s="91"/>
      <c r="J243" s="91"/>
      <c r="K243" s="91"/>
      <c r="L243" s="91"/>
      <c r="M243" s="91"/>
      <c r="N243" s="91"/>
      <c r="O243" s="91"/>
      <c r="P243" s="91"/>
      <c r="Q243" s="91"/>
      <c r="R243" s="97"/>
    </row>
    <row r="244" spans="1:20" ht="13.5" customHeight="1">
      <c r="A244" s="91"/>
      <c r="B244" s="91"/>
      <c r="C244" s="367"/>
      <c r="D244" s="91"/>
      <c r="E244" s="91"/>
      <c r="F244" s="91"/>
      <c r="G244" s="91"/>
      <c r="H244" s="91"/>
      <c r="I244" s="91"/>
      <c r="J244" s="91"/>
      <c r="K244" s="91"/>
      <c r="L244" s="91"/>
      <c r="M244" s="91"/>
      <c r="N244" s="91"/>
      <c r="O244" s="91"/>
      <c r="P244" s="91"/>
      <c r="Q244" s="91"/>
      <c r="R244" s="97"/>
    </row>
    <row r="245" spans="1:20" ht="15">
      <c r="A245" s="91"/>
      <c r="B245" s="91"/>
      <c r="C245" s="91"/>
      <c r="D245" s="91"/>
      <c r="E245" s="91"/>
      <c r="F245" s="91"/>
      <c r="G245" s="91"/>
      <c r="H245" s="91"/>
      <c r="I245" s="91"/>
      <c r="J245" s="91"/>
      <c r="K245" s="91"/>
      <c r="L245" s="91"/>
      <c r="M245" s="91"/>
      <c r="N245" s="91"/>
      <c r="O245" s="91"/>
      <c r="P245" s="91"/>
      <c r="Q245" s="91"/>
      <c r="R245" s="97"/>
    </row>
    <row r="246" spans="1:20" ht="15">
      <c r="A246" s="91"/>
      <c r="B246" s="91"/>
      <c r="C246" s="91"/>
      <c r="D246" s="91"/>
      <c r="E246" s="91"/>
      <c r="F246" s="91"/>
      <c r="G246" s="91"/>
      <c r="H246" s="91"/>
      <c r="I246" s="91"/>
      <c r="J246" s="91"/>
      <c r="K246" s="467" t="str">
        <f>IF(Client!B42=Client!B93,"Calibrated by " &amp;Client!B93,"Calibrated by "&amp;Client!B42&amp;" &amp; "&amp;Client!B93)</f>
        <v xml:space="preserve">Calibrated by </v>
      </c>
      <c r="L246" s="467"/>
      <c r="M246" s="467"/>
      <c r="N246" s="467"/>
      <c r="O246" s="383"/>
      <c r="P246" s="467"/>
      <c r="Q246" s="467"/>
      <c r="R246" s="117"/>
      <c r="S246" s="48"/>
    </row>
    <row r="247" spans="1:20" ht="34.5" customHeight="1">
      <c r="A247" s="91"/>
      <c r="B247" s="91"/>
      <c r="C247" s="91"/>
      <c r="D247" s="91"/>
      <c r="E247" s="91"/>
      <c r="F247" s="91"/>
      <c r="G247" s="91"/>
      <c r="H247" s="91"/>
      <c r="I247" s="91"/>
      <c r="J247" s="91"/>
      <c r="K247" s="91"/>
      <c r="L247" s="91"/>
      <c r="M247" s="91"/>
      <c r="N247" s="91"/>
      <c r="O247" s="91"/>
      <c r="P247" s="91"/>
      <c r="Q247" s="91"/>
      <c r="R247" s="97"/>
    </row>
    <row r="248" spans="1:20">
      <c r="A248" s="420" t="str">
        <f>"Calibration No.: "&amp;$T$12</f>
        <v>Calibration No.: CAL11957/02</v>
      </c>
      <c r="B248" s="421"/>
      <c r="C248" s="421"/>
      <c r="D248" s="421"/>
      <c r="E248" s="421"/>
      <c r="F248" s="421"/>
      <c r="G248" s="421"/>
      <c r="H248" s="421"/>
      <c r="I248" s="422" t="str">
        <f>$G$32</f>
        <v>0</v>
      </c>
      <c r="J248" s="421"/>
      <c r="K248" s="421"/>
      <c r="L248" s="421"/>
      <c r="M248" s="421"/>
      <c r="N248" s="420" t="s">
        <v>360</v>
      </c>
      <c r="O248" s="423"/>
      <c r="P248" s="423"/>
      <c r="Q248" s="423"/>
      <c r="R248" s="423"/>
      <c r="S248" s="423"/>
      <c r="T248" s="423" t="s">
        <v>1150</v>
      </c>
    </row>
    <row r="249" spans="1:20">
      <c r="A249" s="119"/>
      <c r="B249" s="155"/>
      <c r="C249" s="155"/>
      <c r="D249" s="155"/>
      <c r="E249" s="155"/>
      <c r="F249" s="155"/>
      <c r="G249" s="155"/>
      <c r="H249" s="155"/>
      <c r="I249" s="156"/>
      <c r="J249" s="155"/>
      <c r="K249" s="155"/>
      <c r="L249" s="155"/>
      <c r="M249" s="155"/>
      <c r="N249" s="119"/>
      <c r="O249" s="157"/>
      <c r="P249" s="157"/>
      <c r="Q249" s="157"/>
      <c r="R249" s="157"/>
      <c r="S249" s="157"/>
      <c r="T249" s="157"/>
    </row>
    <row r="250" spans="1:20">
      <c r="A250" s="119"/>
      <c r="B250" s="155"/>
      <c r="C250" s="155"/>
      <c r="D250" s="155"/>
      <c r="E250" s="155"/>
      <c r="F250" s="155"/>
      <c r="G250" s="155"/>
      <c r="H250" s="155"/>
      <c r="I250" s="156"/>
      <c r="J250" s="155"/>
      <c r="K250" s="155"/>
      <c r="L250" s="155"/>
      <c r="M250" s="155"/>
      <c r="N250" s="119"/>
      <c r="O250" s="157"/>
      <c r="P250" s="157"/>
      <c r="Q250" s="157"/>
      <c r="R250" s="157"/>
      <c r="S250" s="157"/>
      <c r="T250" s="157"/>
    </row>
    <row r="251" spans="1:20">
      <c r="A251" s="119"/>
      <c r="B251" s="155"/>
      <c r="C251" s="155"/>
      <c r="D251" s="155"/>
      <c r="E251" s="155"/>
      <c r="F251" s="155"/>
      <c r="G251" s="155"/>
      <c r="H251" s="155"/>
      <c r="I251" s="156"/>
      <c r="J251" s="155"/>
      <c r="K251" s="155"/>
      <c r="L251" s="155"/>
      <c r="M251" s="155"/>
      <c r="N251" s="119"/>
      <c r="O251" s="157"/>
      <c r="P251" s="157"/>
      <c r="Q251" s="157"/>
      <c r="R251" s="157"/>
      <c r="S251" s="157"/>
      <c r="T251" s="157"/>
    </row>
    <row r="252" spans="1:20">
      <c r="A252" s="119"/>
      <c r="B252" s="155"/>
      <c r="C252" s="155"/>
      <c r="D252" s="155"/>
      <c r="E252" s="155"/>
      <c r="F252" s="155"/>
      <c r="G252" s="155"/>
      <c r="H252" s="155"/>
      <c r="I252" s="156"/>
      <c r="J252" s="155"/>
      <c r="K252" s="155"/>
      <c r="L252" s="155"/>
      <c r="M252" s="155"/>
      <c r="N252" s="119"/>
      <c r="O252" s="157"/>
      <c r="P252" s="157"/>
      <c r="Q252" s="157"/>
      <c r="R252" s="157"/>
      <c r="S252" s="157"/>
      <c r="T252" s="157"/>
    </row>
    <row r="253" spans="1:20">
      <c r="A253" s="119"/>
      <c r="B253" s="155"/>
      <c r="C253" s="155"/>
      <c r="D253" s="155"/>
      <c r="E253" s="155"/>
      <c r="F253" s="155"/>
      <c r="G253" s="155"/>
      <c r="H253" s="155"/>
      <c r="I253" s="156"/>
      <c r="J253" s="155"/>
      <c r="K253" s="155"/>
      <c r="L253" s="155"/>
      <c r="M253" s="155"/>
      <c r="N253" s="119"/>
      <c r="O253" s="157"/>
      <c r="P253" s="157"/>
      <c r="Q253" s="157"/>
      <c r="R253" s="157"/>
      <c r="S253" s="157"/>
      <c r="T253" s="157"/>
    </row>
    <row r="254" spans="1:20">
      <c r="A254" s="119"/>
      <c r="B254" s="155"/>
      <c r="C254" s="155"/>
      <c r="D254" s="155"/>
      <c r="E254" s="155"/>
      <c r="F254" s="155"/>
      <c r="G254" s="155"/>
      <c r="H254" s="155"/>
      <c r="I254" s="156"/>
      <c r="J254" s="155"/>
      <c r="K254" s="155"/>
      <c r="L254" s="155"/>
      <c r="M254" s="155"/>
      <c r="N254" s="119"/>
      <c r="O254" s="157"/>
      <c r="P254" s="157"/>
      <c r="Q254" s="157"/>
      <c r="R254" s="157"/>
      <c r="S254" s="157"/>
      <c r="T254" s="157"/>
    </row>
    <row r="255" spans="1:20">
      <c r="A255" s="119"/>
      <c r="B255" s="155"/>
      <c r="C255" s="155"/>
      <c r="D255" s="155"/>
      <c r="E255" s="155"/>
      <c r="F255" s="155"/>
      <c r="G255" s="155"/>
      <c r="H255" s="155"/>
      <c r="I255" s="156"/>
      <c r="J255" s="155"/>
      <c r="K255" s="155"/>
      <c r="L255" s="155"/>
      <c r="M255" s="155"/>
      <c r="N255" s="119"/>
      <c r="O255" s="157"/>
      <c r="P255" s="157"/>
      <c r="Q255" s="157"/>
      <c r="R255" s="157"/>
      <c r="S255" s="157"/>
      <c r="T255" s="157"/>
    </row>
    <row r="256" spans="1:20">
      <c r="A256" s="119"/>
      <c r="B256" s="155"/>
      <c r="C256" s="155"/>
      <c r="D256" s="155"/>
      <c r="E256" s="155"/>
      <c r="F256" s="155"/>
      <c r="G256" s="155"/>
      <c r="H256" s="155"/>
      <c r="I256" s="156"/>
      <c r="J256" s="155"/>
      <c r="K256" s="155"/>
      <c r="L256" s="155"/>
      <c r="M256" s="155"/>
      <c r="N256" s="119"/>
      <c r="O256" s="157"/>
      <c r="P256" s="157"/>
      <c r="Q256" s="157"/>
      <c r="R256" s="157"/>
      <c r="S256" s="157"/>
      <c r="T256" s="157"/>
    </row>
    <row r="257" spans="1:20">
      <c r="A257" s="119"/>
      <c r="B257" s="155"/>
      <c r="C257" s="155"/>
      <c r="D257" s="155"/>
      <c r="E257" s="155"/>
      <c r="F257" s="155"/>
      <c r="G257" s="155"/>
      <c r="H257" s="155"/>
      <c r="I257" s="156"/>
      <c r="J257" s="155"/>
      <c r="K257" s="155"/>
      <c r="L257" s="155"/>
      <c r="M257" s="155"/>
      <c r="N257" s="119"/>
      <c r="O257" s="157"/>
      <c r="P257" s="157"/>
      <c r="Q257" s="157"/>
      <c r="R257" s="157"/>
      <c r="S257" s="157"/>
      <c r="T257" s="157"/>
    </row>
    <row r="258" spans="1:20">
      <c r="A258" s="119"/>
      <c r="B258" s="155"/>
      <c r="C258" s="155"/>
      <c r="D258" s="155"/>
      <c r="E258" s="155"/>
      <c r="F258" s="155"/>
      <c r="G258" s="155"/>
      <c r="H258" s="155"/>
      <c r="I258" s="156"/>
      <c r="J258" s="155"/>
      <c r="K258" s="155"/>
      <c r="L258" s="155"/>
      <c r="M258" s="155"/>
      <c r="N258" s="119"/>
      <c r="O258" s="157"/>
      <c r="P258" s="157"/>
      <c r="Q258" s="157"/>
      <c r="R258" s="157"/>
      <c r="S258" s="157"/>
      <c r="T258" s="157"/>
    </row>
    <row r="259" spans="1:20">
      <c r="A259" s="119"/>
      <c r="B259" s="155"/>
      <c r="C259" s="155"/>
      <c r="D259" s="155"/>
      <c r="E259" s="155"/>
      <c r="F259" s="155"/>
      <c r="G259" s="155"/>
      <c r="H259" s="155"/>
      <c r="I259" s="156"/>
      <c r="J259" s="155"/>
      <c r="K259" s="155"/>
      <c r="L259" s="155"/>
      <c r="M259" s="155"/>
      <c r="N259" s="119"/>
      <c r="O259" s="157"/>
      <c r="P259" s="157"/>
      <c r="Q259" s="157"/>
      <c r="R259" s="157"/>
      <c r="S259" s="157"/>
      <c r="T259" s="157"/>
    </row>
    <row r="260" spans="1:20">
      <c r="A260" s="119"/>
      <c r="B260" s="155"/>
      <c r="C260" s="155"/>
      <c r="D260" s="155"/>
      <c r="E260" s="155"/>
      <c r="F260" s="155"/>
      <c r="G260" s="155"/>
      <c r="H260" s="155"/>
      <c r="I260" s="156"/>
      <c r="J260" s="155"/>
      <c r="K260" s="155"/>
      <c r="L260" s="155"/>
      <c r="M260" s="155"/>
      <c r="N260" s="119"/>
      <c r="O260" s="157"/>
      <c r="P260" s="157"/>
      <c r="Q260" s="157"/>
      <c r="R260" s="157"/>
      <c r="S260" s="157"/>
      <c r="T260" s="157"/>
    </row>
    <row r="261" spans="1:20">
      <c r="A261" s="119"/>
      <c r="B261" s="155"/>
      <c r="C261" s="155"/>
      <c r="D261" s="155"/>
      <c r="E261" s="155"/>
      <c r="F261" s="155"/>
      <c r="G261" s="155"/>
      <c r="H261" s="155"/>
      <c r="I261" s="156"/>
      <c r="J261" s="155"/>
      <c r="K261" s="155"/>
      <c r="L261" s="155"/>
      <c r="M261" s="155"/>
      <c r="N261" s="119"/>
      <c r="O261" s="157"/>
      <c r="P261" s="157"/>
      <c r="Q261" s="157"/>
      <c r="R261" s="157"/>
      <c r="S261" s="157"/>
      <c r="T261" s="157"/>
    </row>
    <row r="262" spans="1:20">
      <c r="A262" s="119"/>
      <c r="B262" s="155"/>
      <c r="C262" s="155"/>
      <c r="D262" s="155"/>
      <c r="E262" s="155"/>
      <c r="F262" s="155"/>
      <c r="G262" s="155"/>
      <c r="H262" s="155"/>
      <c r="I262" s="156"/>
      <c r="J262" s="155"/>
      <c r="K262" s="155"/>
      <c r="L262" s="155"/>
      <c r="M262" s="155"/>
      <c r="N262" s="119"/>
      <c r="O262" s="157"/>
      <c r="P262" s="157"/>
      <c r="Q262" s="157"/>
      <c r="R262" s="157"/>
      <c r="S262" s="157"/>
      <c r="T262" s="157"/>
    </row>
    <row r="263" spans="1:20">
      <c r="A263" s="119"/>
      <c r="B263" s="155"/>
      <c r="C263" s="155"/>
      <c r="D263" s="155"/>
      <c r="E263" s="155"/>
      <c r="F263" s="155"/>
      <c r="G263" s="155"/>
      <c r="H263" s="155"/>
      <c r="I263" s="156"/>
      <c r="J263" s="155"/>
      <c r="K263" s="155"/>
      <c r="L263" s="155"/>
      <c r="M263" s="155"/>
      <c r="N263" s="119"/>
      <c r="O263" s="157"/>
      <c r="P263" s="157"/>
      <c r="Q263" s="157"/>
      <c r="R263" s="157"/>
      <c r="S263" s="157"/>
      <c r="T263" s="157"/>
    </row>
    <row r="264" spans="1:20">
      <c r="A264" s="119"/>
      <c r="B264" s="155"/>
      <c r="C264" s="155"/>
      <c r="D264" s="155"/>
      <c r="E264" s="155"/>
      <c r="F264" s="155"/>
      <c r="G264" s="155"/>
      <c r="H264" s="155"/>
      <c r="I264" s="156"/>
      <c r="J264" s="155"/>
      <c r="K264" s="155"/>
      <c r="L264" s="155"/>
      <c r="M264" s="155"/>
      <c r="N264" s="119"/>
      <c r="O264" s="157"/>
      <c r="P264" s="157"/>
      <c r="Q264" s="157"/>
      <c r="R264" s="157"/>
      <c r="S264" s="157"/>
      <c r="T264" s="157"/>
    </row>
    <row r="265" spans="1:20">
      <c r="A265" s="119"/>
      <c r="B265" s="155"/>
      <c r="C265" s="155"/>
      <c r="D265" s="155"/>
      <c r="E265" s="155"/>
      <c r="F265" s="155"/>
      <c r="G265" s="155"/>
      <c r="H265" s="155"/>
      <c r="I265" s="156"/>
      <c r="J265" s="155"/>
      <c r="K265" s="155"/>
      <c r="L265" s="155"/>
      <c r="M265" s="155"/>
      <c r="N265" s="119"/>
      <c r="O265" s="157"/>
      <c r="P265" s="157"/>
      <c r="Q265" s="157"/>
      <c r="R265" s="157"/>
      <c r="S265" s="157"/>
      <c r="T265" s="157"/>
    </row>
    <row r="266" spans="1:20">
      <c r="A266" s="119"/>
      <c r="B266" s="155"/>
      <c r="C266" s="155"/>
      <c r="D266" s="155"/>
      <c r="E266" s="155"/>
      <c r="F266" s="155"/>
      <c r="G266" s="155"/>
      <c r="H266" s="155"/>
      <c r="I266" s="156"/>
      <c r="J266" s="155"/>
      <c r="K266" s="155"/>
      <c r="L266" s="155"/>
      <c r="M266" s="155"/>
      <c r="N266" s="119"/>
      <c r="O266" s="157"/>
      <c r="P266" s="157"/>
      <c r="Q266" s="157"/>
      <c r="R266" s="157"/>
      <c r="S266" s="157"/>
      <c r="T266" s="157"/>
    </row>
    <row r="267" spans="1:20">
      <c r="A267" s="119"/>
      <c r="B267" s="155"/>
      <c r="C267" s="155"/>
      <c r="D267" s="155"/>
      <c r="E267" s="155"/>
      <c r="F267" s="155"/>
      <c r="G267" s="155"/>
      <c r="H267" s="155"/>
      <c r="I267" s="156"/>
      <c r="J267" s="155"/>
      <c r="K267" s="155"/>
      <c r="L267" s="155"/>
      <c r="M267" s="155"/>
      <c r="N267" s="119"/>
      <c r="O267" s="157"/>
      <c r="P267" s="157"/>
      <c r="Q267" s="157"/>
      <c r="R267" s="157"/>
      <c r="S267" s="157"/>
      <c r="T267" s="157"/>
    </row>
    <row r="268" spans="1:20">
      <c r="A268" s="119"/>
      <c r="B268" s="155"/>
      <c r="C268" s="155"/>
      <c r="D268" s="155"/>
      <c r="E268" s="155"/>
      <c r="F268" s="155"/>
      <c r="G268" s="155"/>
      <c r="H268" s="155"/>
      <c r="I268" s="156"/>
      <c r="J268" s="155"/>
      <c r="K268" s="155"/>
      <c r="L268" s="155"/>
      <c r="M268" s="155"/>
      <c r="N268" s="119"/>
      <c r="O268" s="157"/>
      <c r="P268" s="157"/>
      <c r="Q268" s="157"/>
      <c r="R268" s="157"/>
      <c r="S268" s="157"/>
      <c r="T268" s="157"/>
    </row>
    <row r="269" spans="1:20">
      <c r="A269" s="119"/>
      <c r="B269" s="155"/>
      <c r="C269" s="155"/>
      <c r="D269" s="155"/>
      <c r="E269" s="155"/>
      <c r="F269" s="155"/>
      <c r="G269" s="155"/>
      <c r="H269" s="155"/>
      <c r="I269" s="156"/>
      <c r="J269" s="155"/>
      <c r="K269" s="155"/>
      <c r="L269" s="155"/>
      <c r="M269" s="155"/>
      <c r="N269" s="119"/>
      <c r="O269" s="157"/>
      <c r="P269" s="157"/>
      <c r="Q269" s="157"/>
      <c r="R269" s="157"/>
      <c r="S269" s="157"/>
      <c r="T269" s="157"/>
    </row>
    <row r="270" spans="1:20">
      <c r="A270" s="119"/>
      <c r="B270" s="155"/>
      <c r="C270" s="155"/>
      <c r="D270" s="155"/>
      <c r="E270" s="155"/>
      <c r="F270" s="155"/>
      <c r="G270" s="155"/>
      <c r="H270" s="155"/>
      <c r="I270" s="156"/>
      <c r="J270" s="155"/>
      <c r="K270" s="155"/>
      <c r="L270" s="155"/>
      <c r="M270" s="155"/>
      <c r="N270" s="119"/>
      <c r="O270" s="157"/>
      <c r="P270" s="157"/>
      <c r="Q270" s="157"/>
      <c r="R270" s="157"/>
      <c r="S270" s="157"/>
      <c r="T270" s="157"/>
    </row>
    <row r="271" spans="1:20">
      <c r="A271" s="119"/>
      <c r="B271" s="155"/>
      <c r="C271" s="155"/>
      <c r="D271" s="155"/>
      <c r="E271" s="155"/>
      <c r="F271" s="155"/>
      <c r="G271" s="155"/>
      <c r="H271" s="155"/>
      <c r="I271" s="156"/>
      <c r="J271" s="155"/>
      <c r="K271" s="155"/>
      <c r="L271" s="155"/>
      <c r="M271" s="155"/>
      <c r="N271" s="119"/>
      <c r="O271" s="157"/>
      <c r="P271" s="157"/>
      <c r="Q271" s="157"/>
      <c r="R271" s="157"/>
      <c r="S271" s="157"/>
      <c r="T271" s="157"/>
    </row>
    <row r="272" spans="1:20">
      <c r="A272" s="119"/>
      <c r="B272" s="155"/>
      <c r="C272" s="155"/>
      <c r="D272" s="155"/>
      <c r="E272" s="155"/>
      <c r="F272" s="155"/>
      <c r="G272" s="155"/>
      <c r="H272" s="155"/>
      <c r="I272" s="156"/>
      <c r="J272" s="155"/>
      <c r="K272" s="155"/>
      <c r="L272" s="155"/>
      <c r="M272" s="155"/>
      <c r="N272" s="119"/>
      <c r="O272" s="157"/>
      <c r="P272" s="157"/>
      <c r="Q272" s="157"/>
      <c r="R272" s="157"/>
      <c r="S272" s="157"/>
      <c r="T272" s="157"/>
    </row>
    <row r="273" spans="1:24">
      <c r="A273" s="119"/>
      <c r="B273" s="155"/>
      <c r="C273" s="155"/>
      <c r="D273" s="155"/>
      <c r="E273" s="155"/>
      <c r="F273" s="155"/>
      <c r="G273" s="155"/>
      <c r="H273" s="155"/>
      <c r="I273" s="156"/>
      <c r="J273" s="155"/>
      <c r="K273" s="155"/>
      <c r="L273" s="155"/>
      <c r="M273" s="155"/>
      <c r="N273" s="119"/>
      <c r="O273" s="157"/>
      <c r="P273" s="157"/>
      <c r="Q273" s="157"/>
      <c r="R273" s="157"/>
      <c r="S273" s="157"/>
      <c r="T273" s="157"/>
      <c r="X273" s="451"/>
    </row>
    <row r="274" spans="1:24">
      <c r="A274" s="119"/>
      <c r="B274" s="155"/>
      <c r="C274" s="155"/>
      <c r="D274" s="155"/>
      <c r="E274" s="155"/>
      <c r="F274" s="155"/>
      <c r="G274" s="155"/>
      <c r="H274" s="155"/>
      <c r="I274" s="156"/>
      <c r="J274" s="155"/>
      <c r="K274" s="155"/>
      <c r="L274" s="155"/>
      <c r="M274" s="155"/>
      <c r="N274" s="119"/>
      <c r="O274" s="157"/>
      <c r="P274" s="157"/>
      <c r="Q274" s="157"/>
      <c r="R274" s="157"/>
      <c r="S274" s="157"/>
      <c r="T274" s="157"/>
    </row>
    <row r="275" spans="1:24">
      <c r="A275" s="119"/>
      <c r="B275" s="155"/>
      <c r="C275" s="155"/>
      <c r="D275" s="155"/>
      <c r="E275" s="155"/>
      <c r="F275" s="155"/>
      <c r="G275" s="155"/>
      <c r="H275" s="155"/>
      <c r="I275" s="156"/>
      <c r="J275" s="155"/>
      <c r="K275" s="155"/>
      <c r="L275" s="155"/>
      <c r="M275" s="155"/>
      <c r="N275" s="119"/>
      <c r="O275" s="157"/>
      <c r="P275" s="157"/>
      <c r="Q275" s="157"/>
      <c r="R275" s="157"/>
      <c r="S275" s="157"/>
      <c r="T275" s="157"/>
    </row>
    <row r="276" spans="1:24">
      <c r="A276" s="119"/>
      <c r="B276" s="155"/>
      <c r="C276" s="155"/>
      <c r="D276" s="155"/>
      <c r="E276" s="155"/>
      <c r="F276" s="155"/>
      <c r="G276" s="155"/>
      <c r="H276" s="155"/>
      <c r="I276" s="156"/>
      <c r="J276" s="155"/>
      <c r="K276" s="155"/>
      <c r="L276" s="155"/>
      <c r="M276" s="155"/>
      <c r="N276" s="119"/>
      <c r="O276" s="157"/>
      <c r="P276" s="157"/>
      <c r="Q276" s="157"/>
      <c r="R276" s="157"/>
      <c r="S276" s="157"/>
      <c r="T276" s="157"/>
    </row>
    <row r="277" spans="1:24">
      <c r="A277" s="119"/>
      <c r="B277" s="155"/>
      <c r="C277" s="155"/>
      <c r="D277" s="155"/>
      <c r="E277" s="155"/>
      <c r="F277" s="155"/>
      <c r="G277" s="155"/>
      <c r="H277" s="155"/>
      <c r="I277" s="156"/>
      <c r="J277" s="155"/>
      <c r="K277" s="155"/>
      <c r="L277" s="155"/>
      <c r="M277" s="155"/>
      <c r="N277" s="119"/>
      <c r="O277" s="157"/>
      <c r="P277" s="157"/>
      <c r="Q277" s="157"/>
      <c r="R277" s="157"/>
      <c r="S277" s="157"/>
      <c r="T277" s="157"/>
    </row>
    <row r="278" spans="1:24">
      <c r="A278" s="119"/>
      <c r="B278" s="155"/>
      <c r="C278" s="155"/>
      <c r="D278" s="155"/>
      <c r="E278" s="155"/>
      <c r="F278" s="155"/>
      <c r="G278" s="155"/>
      <c r="H278" s="155"/>
      <c r="I278" s="156"/>
      <c r="J278" s="155"/>
      <c r="K278" s="155"/>
      <c r="L278" s="155"/>
      <c r="M278" s="155"/>
      <c r="N278" s="119"/>
      <c r="O278" s="157"/>
      <c r="P278" s="157"/>
      <c r="Q278" s="157"/>
      <c r="R278" s="157"/>
      <c r="S278" s="157"/>
      <c r="T278" s="157"/>
    </row>
    <row r="279" spans="1:24">
      <c r="A279" s="119"/>
      <c r="B279" s="155"/>
      <c r="C279" s="155"/>
      <c r="D279" s="155"/>
      <c r="E279" s="155"/>
      <c r="F279" s="155"/>
      <c r="G279" s="155"/>
      <c r="H279" s="155"/>
      <c r="I279" s="156"/>
      <c r="J279" s="155"/>
      <c r="K279" s="155"/>
      <c r="L279" s="155"/>
      <c r="M279" s="155"/>
      <c r="N279" s="119"/>
      <c r="O279" s="157"/>
      <c r="P279" s="157"/>
      <c r="Q279" s="157"/>
      <c r="R279" s="157"/>
      <c r="S279" s="157"/>
      <c r="T279" s="157"/>
    </row>
    <row r="280" spans="1:24">
      <c r="A280" s="119"/>
      <c r="B280" s="155"/>
      <c r="C280" s="155"/>
      <c r="D280" s="155"/>
      <c r="E280" s="155"/>
      <c r="F280" s="155"/>
      <c r="G280" s="155"/>
      <c r="H280" s="155"/>
      <c r="I280" s="156"/>
      <c r="J280" s="155"/>
      <c r="K280" s="155"/>
      <c r="L280" s="155"/>
      <c r="M280" s="155"/>
      <c r="N280" s="119"/>
      <c r="O280" s="157"/>
      <c r="P280" s="157"/>
      <c r="Q280" s="157"/>
      <c r="R280" s="157"/>
      <c r="S280" s="157"/>
      <c r="T280" s="157"/>
    </row>
    <row r="281" spans="1:24">
      <c r="A281" s="119"/>
      <c r="B281" s="155"/>
      <c r="C281" s="155"/>
      <c r="D281" s="155"/>
      <c r="E281" s="155"/>
      <c r="F281" s="155"/>
      <c r="G281" s="155"/>
      <c r="H281" s="155"/>
      <c r="I281" s="156"/>
      <c r="J281" s="155"/>
      <c r="K281" s="155"/>
      <c r="L281" s="155"/>
      <c r="M281" s="155"/>
      <c r="N281" s="119"/>
      <c r="O281" s="157"/>
      <c r="P281" s="157"/>
      <c r="Q281" s="157"/>
      <c r="R281" s="157"/>
      <c r="S281" s="157"/>
      <c r="T281" s="157"/>
    </row>
    <row r="282" spans="1:24" ht="38.25" customHeight="1">
      <c r="A282" s="119"/>
      <c r="B282" s="155"/>
      <c r="C282" s="155"/>
      <c r="D282" s="155"/>
      <c r="E282" s="155"/>
      <c r="F282" s="155"/>
      <c r="G282" s="155"/>
      <c r="H282" s="155"/>
      <c r="I282" s="156"/>
      <c r="J282" s="373" t="s">
        <v>773</v>
      </c>
      <c r="K282" s="197" t="str">
        <f>G213</f>
        <v>IBA FC65-G, serial number 457</v>
      </c>
      <c r="L282" s="155"/>
      <c r="M282" s="155"/>
      <c r="N282" s="119"/>
      <c r="O282" s="157"/>
      <c r="P282" s="157"/>
      <c r="Q282" s="157"/>
      <c r="R282" s="157"/>
      <c r="S282" s="157"/>
      <c r="T282" s="157"/>
    </row>
    <row r="283" spans="1:24" ht="15.75">
      <c r="A283" s="119"/>
      <c r="B283" s="155"/>
      <c r="C283" s="155"/>
      <c r="D283" s="155"/>
      <c r="E283" s="155"/>
      <c r="F283" s="155"/>
      <c r="G283" s="155"/>
      <c r="H283" s="155"/>
      <c r="I283" s="156"/>
      <c r="J283" s="373"/>
      <c r="K283" s="197"/>
      <c r="L283" s="155"/>
      <c r="M283" s="155"/>
      <c r="N283" s="119"/>
      <c r="O283" s="157"/>
      <c r="P283" s="157"/>
      <c r="Q283" s="157"/>
      <c r="R283" s="157"/>
      <c r="S283" s="157"/>
      <c r="T283" s="157"/>
    </row>
    <row r="284" spans="1:24" ht="45.75" customHeight="1">
      <c r="A284" s="119"/>
      <c r="B284" s="1140" t="s">
        <v>914</v>
      </c>
      <c r="C284" s="1406"/>
      <c r="D284" s="1406"/>
      <c r="E284" s="1406"/>
      <c r="F284" s="1406"/>
      <c r="G284" s="1406"/>
      <c r="H284" s="1406"/>
      <c r="I284" s="1406"/>
      <c r="J284" s="1406"/>
      <c r="K284" s="1406"/>
      <c r="L284" s="1406"/>
      <c r="M284" s="1406"/>
      <c r="N284" s="1406"/>
      <c r="O284" s="1406"/>
      <c r="P284" s="1406"/>
      <c r="Q284" s="1406"/>
      <c r="R284" s="1406"/>
      <c r="S284" s="1406"/>
      <c r="T284" s="1406"/>
    </row>
    <row r="285" spans="1:24" ht="15.75">
      <c r="A285" s="119"/>
      <c r="B285" s="374"/>
      <c r="C285" s="155"/>
      <c r="D285" s="155"/>
      <c r="E285" s="155"/>
      <c r="F285" s="155"/>
      <c r="G285" s="155"/>
      <c r="H285" s="155"/>
      <c r="I285" s="156"/>
      <c r="J285" s="373"/>
      <c r="K285" s="197"/>
      <c r="L285" s="155"/>
      <c r="M285" s="155"/>
      <c r="N285" s="119"/>
      <c r="O285" s="157"/>
      <c r="P285" s="157"/>
      <c r="Q285" s="157"/>
      <c r="R285" s="157"/>
      <c r="S285" s="157"/>
      <c r="T285" s="157"/>
    </row>
    <row r="286" spans="1:24" ht="20.25">
      <c r="A286" s="119"/>
      <c r="C286" s="155"/>
      <c r="D286" s="155"/>
      <c r="E286" s="155"/>
      <c r="F286" s="155"/>
      <c r="G286" s="158" t="s">
        <v>774</v>
      </c>
      <c r="H286" s="156"/>
      <c r="I286" s="373"/>
      <c r="J286" s="197"/>
      <c r="K286" s="155"/>
      <c r="L286" s="155"/>
      <c r="M286" s="119"/>
      <c r="N286" s="157"/>
      <c r="P286" s="157"/>
      <c r="Q286" s="157"/>
      <c r="R286" s="157"/>
      <c r="S286" s="157"/>
      <c r="T286" s="373" t="str">
        <f>"(4)"</f>
        <v>(4)</v>
      </c>
    </row>
    <row r="287" spans="1:24" s="375" customFormat="1" ht="15.75">
      <c r="A287" s="119"/>
      <c r="B287" s="155"/>
      <c r="C287" s="155"/>
      <c r="D287" s="155"/>
      <c r="E287" s="155"/>
      <c r="F287" s="155"/>
      <c r="G287" s="155"/>
      <c r="H287" s="155"/>
      <c r="I287" s="156"/>
      <c r="J287" s="373"/>
      <c r="K287" s="197"/>
      <c r="L287" s="155"/>
      <c r="M287" s="155"/>
      <c r="N287" s="119"/>
      <c r="O287" s="157"/>
      <c r="P287" s="157"/>
      <c r="Q287" s="157"/>
      <c r="R287" s="157"/>
      <c r="S287" s="157"/>
      <c r="T287" s="157"/>
    </row>
    <row r="288" spans="1:24" ht="15" customHeight="1">
      <c r="A288" s="119"/>
      <c r="B288" s="1405" t="e">
        <f>"where a = " &amp;ROUND('MV-P'!L30,4)&amp;", b = "&amp;ROUND('MV-P'!L31,4)&amp;", c = "&amp;ROUND('MV-P'!L32,4)</f>
        <v>#VALUE!</v>
      </c>
      <c r="C288" s="1405"/>
      <c r="D288" s="1405"/>
      <c r="E288" s="1405"/>
      <c r="F288" s="1405"/>
      <c r="G288" s="1405"/>
      <c r="H288" s="1405"/>
      <c r="I288" s="1405"/>
      <c r="J288" s="1405"/>
      <c r="K288" s="1405"/>
      <c r="L288" s="1405"/>
      <c r="M288" s="1405"/>
      <c r="N288" s="1405"/>
      <c r="O288" s="157"/>
      <c r="P288" s="157"/>
      <c r="Q288" s="157"/>
      <c r="R288" s="157"/>
      <c r="S288" s="157"/>
      <c r="T288" s="157"/>
    </row>
    <row r="289" spans="1:20" ht="15.75" customHeight="1">
      <c r="A289" s="119"/>
      <c r="B289" s="155"/>
      <c r="C289" s="155"/>
      <c r="D289" s="155"/>
      <c r="E289" s="155"/>
      <c r="F289" s="155"/>
      <c r="G289" s="155"/>
      <c r="H289" s="155"/>
      <c r="I289" s="156"/>
      <c r="J289" s="373"/>
      <c r="K289" s="197"/>
      <c r="L289" s="155"/>
      <c r="M289" s="155"/>
      <c r="N289" s="119"/>
      <c r="O289" s="157"/>
      <c r="P289" s="157"/>
      <c r="Q289" s="157"/>
      <c r="R289" s="157"/>
      <c r="S289" s="157"/>
      <c r="T289" s="157"/>
    </row>
    <row r="290" spans="1:20" ht="15.75">
      <c r="A290" s="378" t="s">
        <v>775</v>
      </c>
      <c r="B290" s="375"/>
      <c r="C290" s="375"/>
      <c r="D290" s="375"/>
      <c r="E290" s="375"/>
      <c r="F290" s="375"/>
      <c r="G290" s="375"/>
      <c r="H290" s="375"/>
      <c r="I290" s="375"/>
      <c r="J290" s="375"/>
      <c r="K290" s="375"/>
      <c r="L290" s="375"/>
      <c r="M290" s="375"/>
      <c r="N290" s="375"/>
      <c r="O290" s="375"/>
      <c r="P290" s="375"/>
      <c r="Q290" s="375"/>
      <c r="R290" s="375"/>
      <c r="S290" s="375"/>
      <c r="T290" s="375"/>
    </row>
    <row r="291" spans="1:20" ht="88.5" customHeight="1">
      <c r="A291" s="356" t="s">
        <v>753</v>
      </c>
      <c r="B291" s="1140" t="s">
        <v>1206</v>
      </c>
      <c r="C291" s="1406"/>
      <c r="D291" s="1406"/>
      <c r="E291" s="1406"/>
      <c r="F291" s="1406"/>
      <c r="G291" s="1406"/>
      <c r="H291" s="1406"/>
      <c r="I291" s="1406"/>
      <c r="J291" s="1406"/>
      <c r="K291" s="1406"/>
      <c r="L291" s="1406"/>
      <c r="M291" s="1406"/>
      <c r="N291" s="1406"/>
      <c r="O291" s="1406"/>
      <c r="P291" s="1406"/>
      <c r="Q291" s="1406"/>
      <c r="R291" s="1406"/>
      <c r="S291" s="1406"/>
      <c r="T291" s="1406"/>
    </row>
    <row r="292" spans="1:20" ht="6.6" customHeight="1">
      <c r="A292" s="119"/>
      <c r="B292" s="155"/>
      <c r="C292" s="155"/>
      <c r="D292" s="155"/>
      <c r="E292" s="155"/>
      <c r="F292" s="155"/>
      <c r="G292" s="155"/>
      <c r="H292" s="155"/>
      <c r="I292" s="156"/>
      <c r="J292" s="373"/>
      <c r="K292" s="197"/>
      <c r="L292" s="155"/>
      <c r="M292" s="155"/>
      <c r="N292" s="119"/>
      <c r="O292" s="157"/>
      <c r="P292" s="157"/>
      <c r="Q292" s="157"/>
      <c r="R292" s="157"/>
      <c r="S292" s="157"/>
      <c r="T292" s="157"/>
    </row>
    <row r="293" spans="1:20" ht="8.1" customHeight="1">
      <c r="A293" s="119"/>
      <c r="B293" s="155"/>
      <c r="C293" s="155"/>
      <c r="D293" s="155"/>
      <c r="E293" s="155"/>
      <c r="F293" s="155"/>
      <c r="G293" s="155"/>
      <c r="H293" s="155"/>
      <c r="I293" s="156"/>
      <c r="J293" s="373"/>
      <c r="K293" s="197"/>
      <c r="L293" s="155"/>
      <c r="M293" s="155"/>
      <c r="N293" s="119"/>
      <c r="O293" s="157"/>
      <c r="P293" s="157"/>
      <c r="Q293" s="157"/>
      <c r="R293" s="157"/>
      <c r="S293" s="157"/>
      <c r="T293" s="157"/>
    </row>
    <row r="294" spans="1:20" ht="6.6" customHeight="1">
      <c r="A294" s="119"/>
      <c r="B294" s="155"/>
      <c r="C294" s="155"/>
      <c r="D294" s="155"/>
      <c r="E294" s="155"/>
      <c r="F294" s="155"/>
      <c r="G294" s="155"/>
      <c r="H294" s="155"/>
      <c r="I294" s="156"/>
      <c r="J294" s="373"/>
      <c r="K294" s="197"/>
      <c r="L294" s="155"/>
      <c r="M294" s="155"/>
      <c r="N294" s="119"/>
      <c r="O294" s="157"/>
      <c r="P294" s="157"/>
      <c r="Q294" s="157"/>
      <c r="R294" s="157"/>
      <c r="S294" s="157"/>
      <c r="T294" s="157"/>
    </row>
    <row r="295" spans="1:20" ht="15.75">
      <c r="A295" s="119"/>
      <c r="B295" s="155"/>
      <c r="C295" s="155"/>
      <c r="D295" s="155"/>
      <c r="E295" s="155"/>
      <c r="F295" s="155"/>
      <c r="G295" s="155"/>
      <c r="H295" s="155"/>
      <c r="I295" s="156"/>
      <c r="J295" s="373"/>
      <c r="K295" s="197"/>
      <c r="L295" s="155"/>
      <c r="M295" s="155"/>
      <c r="N295" s="119"/>
      <c r="O295" s="157"/>
      <c r="P295" s="157"/>
      <c r="Q295" s="157"/>
      <c r="R295" s="157"/>
      <c r="S295" s="157"/>
      <c r="T295" s="157"/>
    </row>
    <row r="296" spans="1:20" ht="15.75">
      <c r="A296" s="119"/>
      <c r="B296" s="155"/>
      <c r="C296" s="155"/>
      <c r="D296" s="155"/>
      <c r="E296" s="155"/>
      <c r="F296" s="155"/>
      <c r="G296" s="155"/>
      <c r="H296" s="155"/>
      <c r="I296" s="156"/>
      <c r="J296" s="373"/>
      <c r="K296" s="197"/>
      <c r="L296" s="155"/>
      <c r="M296" s="155"/>
      <c r="N296" s="119"/>
      <c r="O296" s="157"/>
      <c r="P296" s="157"/>
      <c r="Q296" s="157"/>
      <c r="R296" s="157"/>
      <c r="S296" s="157"/>
      <c r="T296" s="157"/>
    </row>
    <row r="297" spans="1:20" ht="15.75">
      <c r="A297" s="119"/>
      <c r="B297" s="155"/>
      <c r="C297" s="155"/>
      <c r="D297" s="155"/>
      <c r="E297" s="155"/>
      <c r="F297" s="155"/>
      <c r="G297" s="155"/>
      <c r="H297" s="155"/>
      <c r="I297" s="156"/>
      <c r="J297" s="373"/>
      <c r="K297" s="197"/>
      <c r="L297" s="155"/>
      <c r="M297" s="155"/>
      <c r="N297" s="119"/>
      <c r="O297" s="157"/>
      <c r="P297" s="157"/>
      <c r="Q297" s="157"/>
      <c r="R297" s="157"/>
      <c r="S297" s="157"/>
      <c r="T297" s="157"/>
    </row>
    <row r="298" spans="1:20">
      <c r="A298" s="420" t="str">
        <f>"Calibration No.: "&amp;$T$12</f>
        <v>Calibration No.: CAL11957/02</v>
      </c>
      <c r="B298" s="421"/>
      <c r="C298" s="421"/>
      <c r="D298" s="421"/>
      <c r="E298" s="421"/>
      <c r="F298" s="421"/>
      <c r="G298" s="421"/>
      <c r="H298" s="421"/>
      <c r="I298" s="422" t="str">
        <f>$G$32</f>
        <v>0</v>
      </c>
      <c r="J298" s="421"/>
      <c r="K298" s="421"/>
      <c r="L298" s="421"/>
      <c r="M298" s="421"/>
      <c r="N298" s="420" t="s">
        <v>360</v>
      </c>
      <c r="O298" s="423"/>
      <c r="P298" s="423"/>
      <c r="Q298" s="423"/>
      <c r="R298" s="423"/>
      <c r="S298" s="423"/>
      <c r="T298" s="423" t="s">
        <v>1152</v>
      </c>
    </row>
    <row r="299" spans="1:20">
      <c r="A299" s="119"/>
      <c r="B299" s="155"/>
      <c r="C299" s="155"/>
      <c r="D299" s="155"/>
      <c r="E299" s="155"/>
      <c r="F299" s="155"/>
      <c r="G299" s="155"/>
      <c r="H299" s="155"/>
      <c r="I299" s="156"/>
      <c r="J299" s="155"/>
      <c r="K299" s="155"/>
      <c r="L299" s="155"/>
      <c r="M299" s="155"/>
      <c r="N299" s="119"/>
      <c r="O299" s="157"/>
      <c r="P299" s="157"/>
      <c r="Q299" s="157"/>
      <c r="R299" s="157"/>
      <c r="S299" s="157"/>
      <c r="T299" s="157"/>
    </row>
    <row r="300" spans="1:20" ht="15.75">
      <c r="A300" s="119"/>
      <c r="B300" s="155"/>
      <c r="C300" s="155"/>
      <c r="D300" s="155"/>
      <c r="E300" s="155"/>
      <c r="F300" s="155"/>
      <c r="G300" s="155"/>
      <c r="H300" s="155"/>
      <c r="I300" s="156"/>
      <c r="J300" s="373"/>
      <c r="K300" s="197"/>
      <c r="L300" s="155"/>
      <c r="M300" s="155"/>
      <c r="N300" s="119"/>
      <c r="O300" s="157"/>
      <c r="P300" s="157"/>
      <c r="Q300" s="157"/>
      <c r="R300" s="157"/>
      <c r="S300" s="157"/>
      <c r="T300" s="157"/>
    </row>
    <row r="301" spans="1:20" ht="15.75">
      <c r="A301" s="1175" t="s">
        <v>558</v>
      </c>
      <c r="B301" s="1175"/>
      <c r="C301" s="1175"/>
      <c r="D301" s="1175"/>
      <c r="E301" s="1175"/>
      <c r="F301" s="1175"/>
      <c r="G301" s="1175"/>
      <c r="H301" s="1175"/>
      <c r="I301" s="1175"/>
      <c r="J301" s="1175"/>
      <c r="K301" s="1175"/>
      <c r="L301" s="1175"/>
      <c r="M301" s="1175"/>
      <c r="N301" s="1175"/>
      <c r="O301" s="1175"/>
      <c r="P301" s="1175"/>
      <c r="Q301" s="1175"/>
      <c r="R301" s="1175"/>
      <c r="S301" s="1175"/>
      <c r="T301" s="1175"/>
    </row>
    <row r="302" spans="1:20" ht="43.5" customHeight="1">
      <c r="A302" s="198"/>
      <c r="B302" s="198"/>
      <c r="C302" s="198"/>
      <c r="D302" s="198"/>
      <c r="E302" s="198"/>
      <c r="F302" s="198"/>
      <c r="G302" s="198"/>
      <c r="H302" s="198"/>
      <c r="I302" s="198"/>
      <c r="J302" s="198"/>
      <c r="K302" s="198"/>
      <c r="L302" s="198"/>
      <c r="M302" s="198"/>
      <c r="N302" s="198"/>
      <c r="O302" s="198"/>
      <c r="P302" s="198"/>
      <c r="Q302" s="198"/>
      <c r="R302" s="198"/>
      <c r="S302" s="199"/>
      <c r="T302" s="199"/>
    </row>
    <row r="303" spans="1:20" ht="15.75" customHeight="1">
      <c r="A303" s="1175" t="s">
        <v>771</v>
      </c>
      <c r="B303" s="1175"/>
      <c r="C303" s="1175"/>
      <c r="D303" s="1175"/>
      <c r="E303" s="1175"/>
      <c r="F303" s="1175"/>
      <c r="G303" s="1175"/>
      <c r="H303" s="1175"/>
      <c r="I303" s="1175"/>
      <c r="J303" s="1175"/>
      <c r="K303" s="1175"/>
      <c r="L303" s="1175"/>
      <c r="M303" s="1175"/>
      <c r="N303" s="1175"/>
      <c r="O303" s="1175"/>
      <c r="P303" s="1175"/>
      <c r="Q303" s="1175"/>
      <c r="R303" s="1175"/>
      <c r="S303" s="1175"/>
      <c r="T303" s="1175"/>
    </row>
    <row r="304" spans="1:20" ht="15.75">
      <c r="A304" s="197"/>
      <c r="B304" s="197"/>
      <c r="C304" s="197"/>
      <c r="D304" s="197"/>
      <c r="E304" s="197"/>
      <c r="F304" s="197"/>
      <c r="G304" s="197"/>
      <c r="H304" s="197"/>
      <c r="I304" s="197"/>
      <c r="J304" s="197"/>
      <c r="K304" s="197"/>
      <c r="L304" s="197"/>
      <c r="M304" s="197"/>
      <c r="N304" s="197"/>
      <c r="O304" s="197"/>
      <c r="P304" s="197"/>
      <c r="Q304" s="197"/>
      <c r="R304" s="197"/>
      <c r="S304" s="158"/>
      <c r="T304" s="158"/>
    </row>
    <row r="305" spans="1:20" ht="37.5" customHeight="1">
      <c r="A305" s="1140" t="s">
        <v>1217</v>
      </c>
      <c r="B305" s="1406"/>
      <c r="C305" s="1406"/>
      <c r="D305" s="1406"/>
      <c r="E305" s="1406"/>
      <c r="F305" s="1406"/>
      <c r="G305" s="1406"/>
      <c r="H305" s="1406"/>
      <c r="I305" s="1406"/>
      <c r="J305" s="1406"/>
      <c r="K305" s="1406"/>
      <c r="L305" s="1406"/>
      <c r="M305" s="1406"/>
      <c r="N305" s="1406"/>
      <c r="O305" s="1406"/>
      <c r="P305" s="1406"/>
      <c r="Q305" s="1406"/>
      <c r="R305" s="1406"/>
      <c r="S305" s="1406"/>
      <c r="T305" s="1406"/>
    </row>
    <row r="306" spans="1:20" ht="15.75">
      <c r="A306" s="197"/>
      <c r="B306" s="197"/>
      <c r="C306" s="197"/>
      <c r="D306" s="197"/>
      <c r="E306" s="197"/>
      <c r="F306" s="197"/>
      <c r="G306" s="197"/>
      <c r="H306" s="197"/>
      <c r="I306" s="197"/>
      <c r="J306" s="197"/>
      <c r="K306" s="197"/>
      <c r="L306" s="197"/>
      <c r="M306" s="197"/>
      <c r="N306" s="197"/>
      <c r="O306" s="197"/>
      <c r="P306" s="197"/>
      <c r="Q306" s="197"/>
      <c r="R306" s="197"/>
      <c r="S306" s="158"/>
      <c r="T306" s="158"/>
    </row>
    <row r="307" spans="1:20" ht="37.5" customHeight="1">
      <c r="A307" s="197"/>
      <c r="B307" s="197"/>
      <c r="C307" s="197"/>
      <c r="D307" s="197"/>
      <c r="E307" s="197"/>
      <c r="F307" s="197"/>
      <c r="G307" s="197"/>
      <c r="H307" s="197"/>
      <c r="I307" s="197"/>
      <c r="J307" s="197"/>
      <c r="K307" s="197"/>
      <c r="L307" s="197"/>
      <c r="M307" s="197"/>
      <c r="N307" s="197"/>
      <c r="O307" s="197"/>
      <c r="P307" s="197"/>
      <c r="Q307" s="197"/>
      <c r="R307" s="197"/>
      <c r="S307" s="158"/>
      <c r="T307" s="160" t="str">
        <f>"(5)"</f>
        <v>(5)</v>
      </c>
    </row>
    <row r="308" spans="1:20" ht="20.100000000000001" customHeight="1">
      <c r="A308" s="197"/>
      <c r="B308" s="197"/>
      <c r="C308" s="197"/>
      <c r="D308" s="197"/>
      <c r="E308" s="197"/>
      <c r="F308" s="197"/>
      <c r="G308" s="197"/>
      <c r="H308" s="197"/>
      <c r="I308" s="197"/>
      <c r="J308" s="197"/>
      <c r="K308" s="197"/>
      <c r="L308" s="197"/>
      <c r="M308" s="197"/>
      <c r="N308" s="197"/>
      <c r="O308" s="197"/>
      <c r="P308" s="197"/>
      <c r="Q308" s="197"/>
      <c r="R308" s="197"/>
      <c r="S308" s="158"/>
      <c r="T308" s="160"/>
    </row>
    <row r="309" spans="1:20" ht="14.25" customHeight="1">
      <c r="A309" s="197" t="s">
        <v>560</v>
      </c>
      <c r="B309" s="197"/>
      <c r="C309" s="197"/>
      <c r="D309" s="197"/>
      <c r="E309" s="197"/>
      <c r="F309" s="197"/>
      <c r="G309" s="197"/>
      <c r="H309" s="197"/>
      <c r="I309" s="197"/>
      <c r="J309" s="197"/>
      <c r="K309" s="197"/>
      <c r="M309" s="197"/>
      <c r="N309" s="197"/>
      <c r="O309" s="197"/>
      <c r="P309" s="197"/>
      <c r="Q309" s="197"/>
      <c r="R309" s="197"/>
      <c r="S309" s="158"/>
      <c r="T309" s="158"/>
    </row>
    <row r="310" spans="1:20" ht="35.25" customHeight="1">
      <c r="A310" s="197"/>
      <c r="B310" s="197"/>
      <c r="C310" s="200"/>
      <c r="D310" s="197"/>
      <c r="E310" s="197"/>
      <c r="F310" s="1140" t="s">
        <v>562</v>
      </c>
      <c r="G310" s="1406"/>
      <c r="H310" s="1406"/>
      <c r="I310" s="1406"/>
      <c r="J310" s="1406"/>
      <c r="K310" s="1406"/>
      <c r="L310" s="1406"/>
      <c r="M310" s="1406"/>
      <c r="N310" s="1406"/>
      <c r="O310" s="1406"/>
      <c r="P310" s="1406"/>
      <c r="Q310" s="1406"/>
      <c r="R310" s="1406"/>
      <c r="S310" s="1406"/>
      <c r="T310" s="1406"/>
    </row>
    <row r="311" spans="1:20" ht="36" customHeight="1">
      <c r="A311" s="197"/>
      <c r="B311" s="197"/>
      <c r="C311" s="370"/>
      <c r="D311" s="197"/>
      <c r="E311" s="197"/>
      <c r="F311" s="906" t="s">
        <v>563</v>
      </c>
      <c r="G311" s="906"/>
      <c r="H311" s="906"/>
      <c r="I311" s="906"/>
      <c r="J311" s="906"/>
      <c r="K311" s="906"/>
      <c r="L311" s="906"/>
      <c r="M311" s="906"/>
      <c r="N311" s="906"/>
      <c r="O311" s="906"/>
      <c r="P311" s="906"/>
      <c r="Q311" s="906"/>
      <c r="R311" s="906"/>
      <c r="S311" s="906"/>
      <c r="T311" s="906"/>
    </row>
    <row r="312" spans="1:20" ht="19.5" customHeight="1">
      <c r="A312" s="197"/>
      <c r="B312" s="197"/>
      <c r="C312" s="200"/>
      <c r="D312" s="197"/>
      <c r="E312" s="197"/>
      <c r="F312" s="1172" t="s">
        <v>566</v>
      </c>
      <c r="G312" s="1406"/>
      <c r="H312" s="1406"/>
      <c r="I312" s="1406"/>
      <c r="J312" s="1406"/>
      <c r="K312" s="1406"/>
      <c r="L312" s="1406"/>
      <c r="M312" s="1406"/>
      <c r="N312" s="1406"/>
      <c r="O312" s="1406"/>
      <c r="P312" s="1406"/>
      <c r="Q312" s="1406"/>
      <c r="R312" s="1406"/>
      <c r="S312" s="1406"/>
      <c r="T312" s="1406"/>
    </row>
    <row r="313" spans="1:20" ht="31.5" customHeight="1">
      <c r="A313" s="197"/>
      <c r="B313" s="197"/>
      <c r="C313" s="202"/>
      <c r="D313" s="197"/>
      <c r="E313" s="197"/>
      <c r="F313" s="1172" t="s">
        <v>778</v>
      </c>
      <c r="G313" s="1406"/>
      <c r="H313" s="1406"/>
      <c r="I313" s="1406"/>
      <c r="J313" s="1406"/>
      <c r="K313" s="1406"/>
      <c r="L313" s="1406"/>
      <c r="M313" s="1406"/>
      <c r="N313" s="1406"/>
      <c r="O313" s="1406"/>
      <c r="P313" s="1406"/>
      <c r="Q313" s="1406"/>
      <c r="R313" s="1406"/>
      <c r="S313" s="1406"/>
      <c r="T313" s="1406"/>
    </row>
    <row r="314" spans="1:20" ht="33.75" customHeight="1">
      <c r="A314" s="197"/>
      <c r="B314" s="197"/>
      <c r="C314" s="202"/>
      <c r="D314" s="197"/>
      <c r="E314" s="197"/>
      <c r="F314" s="1140" t="s">
        <v>905</v>
      </c>
      <c r="G314" s="1406"/>
      <c r="H314" s="1406"/>
      <c r="I314" s="1406"/>
      <c r="J314" s="1406"/>
      <c r="K314" s="1406"/>
      <c r="L314" s="1406"/>
      <c r="M314" s="1406"/>
      <c r="N314" s="1406"/>
      <c r="O314" s="1406"/>
      <c r="P314" s="1406"/>
      <c r="Q314" s="1406"/>
      <c r="R314" s="1406"/>
      <c r="S314" s="1406"/>
      <c r="T314" s="1406"/>
    </row>
    <row r="315" spans="1:20" ht="19.5" customHeight="1">
      <c r="A315" s="197"/>
      <c r="B315" s="197"/>
      <c r="C315" s="371"/>
      <c r="D315" s="197"/>
      <c r="E315" s="197"/>
      <c r="F315" s="1172" t="s">
        <v>575</v>
      </c>
      <c r="G315" s="1406"/>
      <c r="H315" s="1406"/>
      <c r="I315" s="1406"/>
      <c r="J315" s="1406"/>
      <c r="K315" s="1406"/>
      <c r="L315" s="1406"/>
      <c r="M315" s="1406"/>
      <c r="N315" s="1406"/>
      <c r="O315" s="1406"/>
      <c r="P315" s="1406"/>
      <c r="Q315" s="1406"/>
      <c r="R315" s="1406"/>
      <c r="S315" s="1406"/>
      <c r="T315" s="1406"/>
    </row>
    <row r="316" spans="1:20" ht="32.25" customHeight="1">
      <c r="A316" s="197"/>
      <c r="B316" s="197"/>
      <c r="C316" s="371"/>
      <c r="D316" s="197"/>
      <c r="E316" s="197"/>
      <c r="F316" s="1172" t="s">
        <v>907</v>
      </c>
      <c r="G316" s="1406"/>
      <c r="H316" s="1406"/>
      <c r="I316" s="1406"/>
      <c r="J316" s="1406"/>
      <c r="K316" s="1406"/>
      <c r="L316" s="1406"/>
      <c r="M316" s="1406"/>
      <c r="N316" s="1406"/>
      <c r="O316" s="1406"/>
      <c r="P316" s="1406"/>
      <c r="Q316" s="1406"/>
      <c r="R316" s="1406"/>
      <c r="S316" s="1406"/>
      <c r="T316" s="1406"/>
    </row>
    <row r="317" spans="1:20" ht="31.5" customHeight="1">
      <c r="A317" s="197"/>
      <c r="B317" s="197"/>
      <c r="C317" s="371"/>
      <c r="D317" s="197"/>
      <c r="E317" s="197"/>
      <c r="F317" s="1172" t="s">
        <v>906</v>
      </c>
      <c r="G317" s="1406"/>
      <c r="H317" s="1406"/>
      <c r="I317" s="1406"/>
      <c r="J317" s="1406"/>
      <c r="K317" s="1406"/>
      <c r="L317" s="1406"/>
      <c r="M317" s="1406"/>
      <c r="N317" s="1406"/>
      <c r="O317" s="1406"/>
      <c r="P317" s="1406"/>
      <c r="Q317" s="1406"/>
      <c r="R317" s="1406"/>
      <c r="S317" s="1406"/>
      <c r="T317" s="1406"/>
    </row>
    <row r="318" spans="1:20" ht="72.75" customHeight="1">
      <c r="A318" s="197"/>
      <c r="B318" s="197"/>
      <c r="C318" s="202"/>
      <c r="D318" s="197"/>
      <c r="E318" s="197"/>
      <c r="F318" s="1172" t="s">
        <v>1207</v>
      </c>
      <c r="G318" s="1406"/>
      <c r="H318" s="1406"/>
      <c r="I318" s="1406"/>
      <c r="J318" s="1406"/>
      <c r="K318" s="1406"/>
      <c r="L318" s="1406"/>
      <c r="M318" s="1406"/>
      <c r="N318" s="1406"/>
      <c r="O318" s="1406"/>
      <c r="P318" s="1406"/>
      <c r="Q318" s="1406"/>
      <c r="R318" s="1406"/>
      <c r="S318" s="1406"/>
      <c r="T318" s="1406"/>
    </row>
    <row r="319" spans="1:20" ht="54.75" customHeight="1">
      <c r="A319" s="197"/>
      <c r="B319" s="197"/>
      <c r="C319" s="371"/>
      <c r="D319" s="197"/>
      <c r="F319" s="1172" t="s">
        <v>785</v>
      </c>
      <c r="G319" s="1406"/>
      <c r="H319" s="1406"/>
      <c r="I319" s="1406"/>
      <c r="J319" s="1406"/>
      <c r="K319" s="1406"/>
      <c r="L319" s="1406"/>
      <c r="M319" s="1406"/>
      <c r="N319" s="1406"/>
      <c r="O319" s="1406"/>
      <c r="P319" s="1406"/>
      <c r="Q319" s="1406"/>
      <c r="R319" s="1406"/>
      <c r="S319" s="1406"/>
      <c r="T319" s="1406"/>
    </row>
    <row r="320" spans="1:20" ht="15.75">
      <c r="A320" s="197"/>
      <c r="B320" s="197"/>
      <c r="C320" s="197"/>
      <c r="D320" s="197"/>
      <c r="E320" s="197"/>
      <c r="F320" s="197"/>
      <c r="G320" s="203"/>
      <c r="H320" s="197"/>
      <c r="I320" s="197"/>
      <c r="J320" s="197"/>
      <c r="K320" s="197"/>
      <c r="L320" s="197"/>
      <c r="M320" s="197"/>
      <c r="N320" s="197"/>
      <c r="O320" s="197"/>
      <c r="P320" s="197"/>
      <c r="Q320" s="197"/>
      <c r="R320" s="197"/>
      <c r="S320" s="158"/>
      <c r="T320" s="158"/>
    </row>
    <row r="321" spans="1:20" ht="15.75">
      <c r="A321" s="197"/>
      <c r="B321" s="197"/>
      <c r="C321" s="197"/>
      <c r="D321" s="197"/>
      <c r="E321" s="197"/>
      <c r="F321" s="197"/>
      <c r="G321" s="197"/>
      <c r="H321" s="197"/>
      <c r="I321" s="197"/>
      <c r="J321" s="197"/>
      <c r="K321" s="197"/>
      <c r="L321" s="197"/>
      <c r="M321" s="197"/>
      <c r="N321" s="197"/>
      <c r="O321" s="197"/>
      <c r="P321" s="197"/>
      <c r="Q321" s="197"/>
      <c r="R321" s="197"/>
      <c r="S321" s="158"/>
      <c r="T321" s="158"/>
    </row>
    <row r="322" spans="1:20" ht="15.75">
      <c r="A322" s="197"/>
      <c r="B322" s="197"/>
      <c r="C322" s="197"/>
      <c r="D322" s="197"/>
      <c r="E322" s="197"/>
      <c r="F322" s="197"/>
      <c r="G322" s="197"/>
      <c r="H322" s="197"/>
      <c r="I322" s="197"/>
      <c r="J322" s="197"/>
      <c r="K322" s="197"/>
      <c r="L322" s="197"/>
      <c r="M322" s="197"/>
      <c r="N322" s="197"/>
      <c r="O322" s="197"/>
      <c r="P322" s="197"/>
      <c r="Q322" s="197"/>
      <c r="R322" s="197"/>
      <c r="S322" s="158"/>
      <c r="T322" s="158"/>
    </row>
    <row r="323" spans="1:20" ht="15.75">
      <c r="A323" s="197"/>
      <c r="B323" s="197"/>
      <c r="C323" s="197"/>
      <c r="D323" s="197"/>
      <c r="E323" s="197"/>
      <c r="F323" s="197"/>
      <c r="G323" s="197"/>
      <c r="H323" s="197"/>
      <c r="I323" s="197"/>
      <c r="J323" s="197"/>
      <c r="K323" s="197"/>
      <c r="L323" s="197"/>
      <c r="M323" s="197"/>
      <c r="N323" s="197"/>
      <c r="O323" s="197"/>
      <c r="P323" s="197"/>
      <c r="Q323" s="197"/>
      <c r="R323" s="197"/>
      <c r="S323" s="158"/>
      <c r="T323" s="158"/>
    </row>
    <row r="324" spans="1:20" ht="15.75">
      <c r="A324" s="197"/>
      <c r="B324" s="197"/>
      <c r="C324" s="197"/>
      <c r="D324" s="197"/>
      <c r="E324" s="197"/>
      <c r="F324" s="197"/>
      <c r="G324" s="197"/>
      <c r="H324" s="197"/>
      <c r="I324" s="197"/>
      <c r="J324" s="197"/>
      <c r="K324" s="197"/>
      <c r="L324" s="197"/>
      <c r="M324" s="197"/>
      <c r="N324" s="197"/>
      <c r="O324" s="197"/>
      <c r="P324" s="197"/>
      <c r="Q324" s="197"/>
      <c r="R324" s="197"/>
      <c r="S324" s="158"/>
      <c r="T324" s="158"/>
    </row>
    <row r="325" spans="1:20" ht="15.75">
      <c r="A325" s="197"/>
      <c r="B325" s="197"/>
      <c r="C325" s="197"/>
      <c r="D325" s="197"/>
      <c r="E325" s="197"/>
      <c r="F325" s="197"/>
      <c r="G325" s="197"/>
      <c r="H325" s="197"/>
      <c r="I325" s="197"/>
      <c r="J325" s="197"/>
      <c r="K325" s="197"/>
      <c r="L325" s="197"/>
      <c r="M325" s="197"/>
      <c r="N325" s="197"/>
      <c r="O325" s="197"/>
      <c r="P325" s="197"/>
      <c r="Q325" s="197"/>
      <c r="R325" s="197"/>
      <c r="S325" s="158"/>
      <c r="T325" s="158"/>
    </row>
    <row r="326" spans="1:20" ht="15.75">
      <c r="A326" s="197"/>
      <c r="B326" s="197"/>
      <c r="C326" s="197"/>
      <c r="D326" s="197"/>
      <c r="E326" s="197"/>
      <c r="F326" s="197"/>
      <c r="G326" s="197"/>
      <c r="H326" s="197"/>
      <c r="I326" s="197"/>
      <c r="J326" s="197"/>
      <c r="K326" s="197"/>
      <c r="L326" s="197"/>
      <c r="M326" s="197"/>
      <c r="N326" s="197"/>
      <c r="O326" s="197"/>
      <c r="P326" s="197"/>
      <c r="Q326" s="197"/>
      <c r="R326" s="197"/>
      <c r="S326" s="158"/>
      <c r="T326" s="158"/>
    </row>
    <row r="327" spans="1:20" ht="15.75">
      <c r="A327" s="197"/>
      <c r="B327" s="197"/>
      <c r="C327" s="197"/>
      <c r="D327" s="197"/>
      <c r="E327" s="197"/>
      <c r="F327" s="197"/>
      <c r="G327" s="197"/>
      <c r="H327" s="197"/>
      <c r="I327" s="197"/>
      <c r="J327" s="197"/>
      <c r="K327" s="197"/>
      <c r="L327" s="197"/>
      <c r="M327" s="197"/>
      <c r="N327" s="197"/>
      <c r="O327" s="197"/>
      <c r="P327" s="197"/>
      <c r="Q327" s="197"/>
      <c r="R327" s="197"/>
      <c r="S327" s="158"/>
      <c r="T327" s="158"/>
    </row>
    <row r="328" spans="1:20" ht="15.75">
      <c r="A328" s="197"/>
      <c r="B328" s="197"/>
      <c r="C328" s="197"/>
      <c r="D328" s="197"/>
      <c r="E328" s="197"/>
      <c r="F328" s="197"/>
      <c r="G328" s="197"/>
      <c r="H328" s="197"/>
      <c r="I328" s="197"/>
      <c r="J328" s="197"/>
      <c r="K328" s="197"/>
      <c r="L328" s="197"/>
      <c r="M328" s="197"/>
      <c r="N328" s="197"/>
      <c r="O328" s="197"/>
      <c r="P328" s="197"/>
      <c r="Q328" s="197"/>
      <c r="R328" s="197"/>
      <c r="S328" s="158"/>
      <c r="T328" s="158"/>
    </row>
    <row r="329" spans="1:20" ht="5.0999999999999996" customHeight="1">
      <c r="A329" s="197"/>
      <c r="B329" s="197"/>
      <c r="C329" s="197"/>
      <c r="D329" s="197"/>
      <c r="E329" s="197"/>
      <c r="F329" s="197"/>
      <c r="G329" s="197"/>
      <c r="H329" s="197"/>
      <c r="I329" s="197"/>
      <c r="J329" s="197"/>
      <c r="K329" s="197"/>
      <c r="L329" s="197"/>
      <c r="M329" s="197"/>
      <c r="N329" s="197"/>
      <c r="O329" s="197"/>
      <c r="P329" s="197"/>
      <c r="Q329" s="197"/>
      <c r="R329" s="197"/>
      <c r="S329" s="158"/>
      <c r="T329" s="158"/>
    </row>
    <row r="330" spans="1:20" ht="9.6" customHeight="1">
      <c r="A330" s="197"/>
      <c r="B330" s="197"/>
      <c r="C330" s="197"/>
      <c r="D330" s="197"/>
      <c r="E330" s="197"/>
      <c r="F330" s="197"/>
      <c r="G330" s="197"/>
      <c r="H330" s="197"/>
      <c r="I330" s="197"/>
      <c r="J330" s="197"/>
      <c r="K330" s="197"/>
      <c r="L330" s="197"/>
      <c r="M330" s="197"/>
      <c r="N330" s="197"/>
      <c r="O330" s="197"/>
      <c r="P330" s="197"/>
      <c r="Q330" s="197"/>
      <c r="R330" s="197"/>
      <c r="S330" s="158"/>
      <c r="T330" s="158"/>
    </row>
    <row r="331" spans="1:20" ht="15.75">
      <c r="A331" s="197"/>
      <c r="B331" s="197"/>
      <c r="C331" s="197"/>
      <c r="D331" s="197"/>
      <c r="E331" s="197"/>
      <c r="F331" s="197"/>
      <c r="G331" s="197"/>
      <c r="H331" s="197"/>
      <c r="I331" s="197"/>
      <c r="J331" s="197"/>
      <c r="K331" s="197"/>
      <c r="L331" s="197"/>
      <c r="M331" s="197"/>
      <c r="N331" s="197"/>
      <c r="O331" s="197"/>
      <c r="P331" s="197"/>
      <c r="Q331" s="197"/>
      <c r="R331" s="197"/>
      <c r="S331" s="158"/>
      <c r="T331" s="158"/>
    </row>
    <row r="332" spans="1:20">
      <c r="A332" s="420" t="str">
        <f>"Calibration No.: "&amp;$T$12</f>
        <v>Calibration No.: CAL11957/02</v>
      </c>
      <c r="B332" s="421"/>
      <c r="C332" s="421"/>
      <c r="D332" s="421"/>
      <c r="E332" s="421"/>
      <c r="F332" s="421"/>
      <c r="G332" s="421"/>
      <c r="H332" s="421"/>
      <c r="I332" s="422" t="str">
        <f>$G$32</f>
        <v>0</v>
      </c>
      <c r="J332" s="421"/>
      <c r="K332" s="421"/>
      <c r="L332" s="421"/>
      <c r="M332" s="421"/>
      <c r="N332" s="420" t="s">
        <v>360</v>
      </c>
      <c r="O332" s="423"/>
      <c r="P332" s="423"/>
      <c r="Q332" s="423"/>
      <c r="R332" s="423"/>
      <c r="S332" s="423"/>
      <c r="T332" s="423" t="s">
        <v>1151</v>
      </c>
    </row>
    <row r="333" spans="1:20" ht="15.75">
      <c r="A333" s="197"/>
      <c r="B333" s="197"/>
      <c r="C333" s="197"/>
      <c r="D333" s="197"/>
      <c r="E333" s="197"/>
      <c r="F333" s="197"/>
      <c r="G333" s="197"/>
      <c r="H333" s="197"/>
      <c r="I333" s="197"/>
      <c r="J333" s="197"/>
      <c r="K333" s="197"/>
      <c r="L333" s="197"/>
      <c r="M333" s="197"/>
      <c r="N333" s="197"/>
      <c r="O333" s="197"/>
      <c r="P333" s="197"/>
      <c r="Q333" s="197"/>
      <c r="R333" s="197"/>
      <c r="S333" s="158"/>
      <c r="T333" s="158"/>
    </row>
    <row r="334" spans="1:20" ht="15.75">
      <c r="A334" s="197"/>
      <c r="B334" s="197"/>
      <c r="C334" s="197"/>
      <c r="D334" s="197"/>
      <c r="E334" s="197"/>
      <c r="F334" s="197"/>
      <c r="G334" s="197"/>
      <c r="H334" s="197"/>
      <c r="I334" s="197"/>
      <c r="J334" s="197"/>
      <c r="K334" s="197"/>
      <c r="L334" s="197"/>
      <c r="M334" s="197"/>
      <c r="N334" s="197"/>
      <c r="O334" s="197"/>
      <c r="P334" s="197"/>
      <c r="Q334" s="197"/>
      <c r="R334" s="197"/>
      <c r="S334" s="158"/>
      <c r="T334" s="158"/>
    </row>
    <row r="335" spans="1:20" ht="15.75">
      <c r="A335" s="197"/>
      <c r="B335" s="197"/>
      <c r="C335" s="197"/>
      <c r="D335" s="197"/>
      <c r="E335" s="197"/>
      <c r="F335" s="197"/>
      <c r="G335" s="197"/>
      <c r="H335" s="197"/>
      <c r="I335" s="197"/>
      <c r="J335" s="197"/>
      <c r="K335" s="197"/>
      <c r="L335" s="197"/>
      <c r="M335" s="197"/>
      <c r="N335" s="197"/>
      <c r="O335" s="197"/>
      <c r="P335" s="197"/>
      <c r="Q335" s="197"/>
      <c r="R335" s="197"/>
      <c r="S335" s="158"/>
      <c r="T335" s="158"/>
    </row>
    <row r="336" spans="1:20" ht="15.75">
      <c r="A336" s="197"/>
      <c r="B336" s="197"/>
      <c r="C336" s="197"/>
      <c r="D336" s="197"/>
      <c r="E336" s="197"/>
      <c r="F336" s="197"/>
      <c r="G336" s="197"/>
      <c r="H336" s="197"/>
      <c r="I336" s="197"/>
      <c r="J336" s="197"/>
      <c r="K336" s="197"/>
      <c r="L336" s="197"/>
      <c r="M336" s="197"/>
      <c r="N336" s="197"/>
      <c r="O336" s="197"/>
      <c r="P336" s="197"/>
      <c r="Q336" s="197"/>
      <c r="R336" s="197"/>
      <c r="S336" s="158"/>
      <c r="T336" s="158"/>
    </row>
    <row r="337" spans="1:20" ht="15.75">
      <c r="A337" s="197"/>
      <c r="B337" s="197"/>
      <c r="C337" s="197"/>
      <c r="D337" s="197"/>
      <c r="E337" s="197"/>
      <c r="F337" s="197"/>
      <c r="G337" s="197"/>
      <c r="H337" s="197"/>
      <c r="I337" s="197"/>
      <c r="J337" s="197"/>
      <c r="K337" s="197"/>
      <c r="L337" s="197"/>
      <c r="M337" s="197"/>
      <c r="N337" s="197"/>
      <c r="O337" s="197"/>
      <c r="P337" s="197"/>
      <c r="Q337" s="197"/>
      <c r="R337" s="197"/>
      <c r="S337" s="158"/>
      <c r="T337" s="158"/>
    </row>
    <row r="338" spans="1:20" ht="15.75">
      <c r="A338" s="197"/>
      <c r="B338" s="197"/>
      <c r="C338" s="197"/>
      <c r="D338" s="197"/>
      <c r="E338" s="197"/>
      <c r="F338" s="197"/>
      <c r="G338" s="197"/>
      <c r="H338" s="197"/>
      <c r="I338" s="197"/>
      <c r="J338" s="197"/>
      <c r="K338" s="197"/>
      <c r="L338" s="197"/>
      <c r="M338" s="197"/>
      <c r="N338" s="197"/>
      <c r="O338" s="197"/>
      <c r="P338" s="197"/>
      <c r="Q338" s="197"/>
      <c r="R338" s="197"/>
      <c r="S338" s="158"/>
      <c r="T338" s="158"/>
    </row>
    <row r="339" spans="1:20" ht="15.75">
      <c r="A339" s="197"/>
      <c r="B339" s="197"/>
      <c r="C339" s="197"/>
      <c r="D339" s="197"/>
      <c r="E339" s="197"/>
      <c r="F339" s="197"/>
      <c r="G339" s="197"/>
      <c r="H339" s="197"/>
      <c r="I339" s="197"/>
      <c r="J339" s="197"/>
      <c r="K339" s="197"/>
      <c r="L339" s="197"/>
      <c r="M339" s="197"/>
      <c r="N339" s="197"/>
      <c r="O339" s="197"/>
      <c r="P339" s="197"/>
      <c r="Q339" s="197"/>
      <c r="R339" s="197"/>
      <c r="S339" s="158"/>
      <c r="T339" s="158"/>
    </row>
    <row r="340" spans="1:20" ht="15.75">
      <c r="A340" s="197"/>
      <c r="B340" s="197"/>
      <c r="C340" s="197"/>
      <c r="D340" s="197"/>
      <c r="E340" s="197"/>
      <c r="F340" s="197"/>
      <c r="G340" s="197"/>
      <c r="H340" s="197"/>
      <c r="I340" s="197"/>
      <c r="J340" s="197"/>
      <c r="K340" s="197"/>
      <c r="L340" s="197"/>
      <c r="M340" s="197"/>
      <c r="N340" s="197"/>
      <c r="O340" s="197"/>
      <c r="P340" s="197"/>
      <c r="Q340" s="197"/>
      <c r="R340" s="197"/>
      <c r="S340" s="158"/>
      <c r="T340" s="158"/>
    </row>
    <row r="341" spans="1:20" ht="15.75">
      <c r="A341" s="197"/>
      <c r="B341" s="197"/>
      <c r="C341" s="197"/>
      <c r="D341" s="197"/>
      <c r="E341" s="197"/>
      <c r="F341" s="197"/>
      <c r="G341" s="197"/>
      <c r="H341" s="197"/>
      <c r="I341" s="197"/>
      <c r="J341" s="197"/>
      <c r="K341" s="197"/>
      <c r="L341" s="197"/>
      <c r="M341" s="197"/>
      <c r="N341" s="197"/>
      <c r="O341" s="197"/>
      <c r="P341" s="197"/>
      <c r="Q341" s="197"/>
      <c r="R341" s="197"/>
      <c r="S341" s="158"/>
      <c r="T341" s="158"/>
    </row>
    <row r="342" spans="1:20" ht="15.75">
      <c r="A342" s="197"/>
      <c r="B342" s="197"/>
      <c r="C342" s="197"/>
      <c r="D342" s="197"/>
      <c r="E342" s="197"/>
      <c r="F342" s="197"/>
      <c r="G342" s="197"/>
      <c r="H342" s="197"/>
      <c r="I342" s="197"/>
      <c r="J342" s="197"/>
      <c r="K342" s="197"/>
      <c r="L342" s="197"/>
      <c r="M342" s="197"/>
      <c r="N342" s="197"/>
      <c r="O342" s="197"/>
      <c r="P342" s="197"/>
      <c r="Q342" s="197"/>
      <c r="R342" s="197"/>
      <c r="S342" s="158"/>
      <c r="T342" s="158"/>
    </row>
    <row r="343" spans="1:20" ht="15.75">
      <c r="A343" s="197"/>
      <c r="B343" s="197"/>
      <c r="C343" s="197"/>
      <c r="D343" s="197"/>
      <c r="E343" s="197"/>
      <c r="F343" s="197"/>
      <c r="G343" s="197"/>
      <c r="H343" s="197"/>
      <c r="I343" s="197"/>
      <c r="J343" s="197"/>
      <c r="K343" s="197"/>
      <c r="L343" s="197"/>
      <c r="M343" s="197"/>
      <c r="N343" s="197"/>
      <c r="O343" s="197"/>
      <c r="P343" s="197"/>
      <c r="Q343" s="197"/>
      <c r="R343" s="197"/>
      <c r="S343" s="158"/>
      <c r="T343" s="158"/>
    </row>
    <row r="344" spans="1:20" ht="15.75">
      <c r="A344" s="197"/>
      <c r="B344" s="197"/>
      <c r="C344" s="197"/>
      <c r="D344" s="197"/>
      <c r="E344" s="197"/>
      <c r="F344" s="197"/>
      <c r="G344" s="197"/>
      <c r="H344" s="197"/>
      <c r="I344" s="197"/>
      <c r="J344" s="197"/>
      <c r="K344" s="197"/>
      <c r="L344" s="197"/>
      <c r="M344" s="197"/>
      <c r="N344" s="197"/>
      <c r="O344" s="197"/>
      <c r="P344" s="197"/>
      <c r="Q344" s="197"/>
      <c r="R344" s="197"/>
      <c r="S344" s="158"/>
      <c r="T344" s="158"/>
    </row>
    <row r="345" spans="1:20" ht="15.75">
      <c r="A345" s="197"/>
      <c r="B345" s="197"/>
      <c r="C345" s="197"/>
      <c r="D345" s="197"/>
      <c r="E345" s="197"/>
      <c r="F345" s="197"/>
      <c r="G345" s="197"/>
      <c r="H345" s="197"/>
      <c r="I345" s="197"/>
      <c r="J345" s="197"/>
      <c r="K345" s="197"/>
      <c r="L345" s="197"/>
      <c r="M345" s="197"/>
      <c r="N345" s="197"/>
      <c r="O345" s="197"/>
      <c r="P345" s="197"/>
      <c r="Q345" s="197"/>
      <c r="R345" s="197"/>
      <c r="S345" s="158"/>
      <c r="T345" s="158"/>
    </row>
    <row r="346" spans="1:20" ht="15.75">
      <c r="A346" s="197"/>
      <c r="B346" s="197"/>
      <c r="C346" s="197"/>
      <c r="D346" s="197"/>
      <c r="E346" s="197"/>
      <c r="F346" s="197"/>
      <c r="G346" s="197"/>
      <c r="H346" s="197"/>
      <c r="I346" s="197"/>
      <c r="J346" s="197"/>
      <c r="K346" s="197"/>
      <c r="L346" s="197"/>
      <c r="M346" s="197"/>
      <c r="N346" s="197"/>
      <c r="O346" s="197"/>
      <c r="P346" s="197"/>
      <c r="Q346" s="197"/>
      <c r="R346" s="197"/>
      <c r="S346" s="158"/>
      <c r="T346" s="158"/>
    </row>
    <row r="347" spans="1:20" ht="15.75">
      <c r="A347" s="197"/>
      <c r="B347" s="197"/>
      <c r="C347" s="197"/>
      <c r="D347" s="197"/>
      <c r="E347" s="197"/>
      <c r="F347" s="197"/>
      <c r="G347" s="197"/>
      <c r="H347" s="197"/>
      <c r="I347" s="197"/>
      <c r="J347" s="197"/>
      <c r="K347" s="197"/>
      <c r="L347" s="197"/>
      <c r="M347" s="197"/>
      <c r="N347" s="197"/>
      <c r="O347" s="197"/>
      <c r="P347" s="197"/>
      <c r="Q347" s="197"/>
      <c r="R347" s="197"/>
      <c r="S347" s="158"/>
      <c r="T347" s="158"/>
    </row>
    <row r="348" spans="1:20" ht="15.75">
      <c r="A348" s="197"/>
      <c r="B348" s="197"/>
      <c r="C348" s="197"/>
      <c r="D348" s="197"/>
      <c r="E348" s="197"/>
      <c r="F348" s="197"/>
      <c r="G348" s="197"/>
      <c r="H348" s="197"/>
      <c r="I348" s="197"/>
      <c r="J348" s="197"/>
      <c r="K348" s="197"/>
      <c r="L348" s="197"/>
      <c r="M348" s="197"/>
      <c r="N348" s="197"/>
      <c r="O348" s="197"/>
      <c r="P348" s="197"/>
      <c r="Q348" s="197"/>
      <c r="R348" s="197"/>
      <c r="S348" s="158"/>
      <c r="T348" s="158"/>
    </row>
    <row r="349" spans="1:20" ht="15.75">
      <c r="A349" s="197"/>
      <c r="B349" s="197"/>
      <c r="C349" s="197"/>
      <c r="D349" s="197"/>
      <c r="E349" s="197"/>
      <c r="F349" s="197"/>
      <c r="G349" s="197"/>
      <c r="H349" s="197"/>
      <c r="I349" s="197"/>
      <c r="J349" s="197"/>
      <c r="K349" s="197"/>
      <c r="L349" s="197"/>
      <c r="M349" s="197"/>
      <c r="N349" s="197"/>
      <c r="O349" s="197"/>
      <c r="P349" s="197"/>
      <c r="Q349" s="197"/>
      <c r="R349" s="197"/>
      <c r="S349" s="158"/>
      <c r="T349" s="158"/>
    </row>
    <row r="350" spans="1:20" ht="15.75">
      <c r="A350" s="197"/>
      <c r="B350" s="197"/>
      <c r="C350" s="197"/>
      <c r="D350" s="197"/>
      <c r="E350" s="197"/>
      <c r="F350" s="197"/>
      <c r="G350" s="197"/>
      <c r="H350" s="197"/>
      <c r="I350" s="197"/>
      <c r="J350" s="197"/>
      <c r="K350" s="197"/>
      <c r="L350" s="197"/>
      <c r="M350" s="197"/>
      <c r="N350" s="197"/>
      <c r="O350" s="197"/>
      <c r="P350" s="197"/>
      <c r="Q350" s="197"/>
      <c r="R350" s="197"/>
      <c r="S350" s="158"/>
      <c r="T350" s="158"/>
    </row>
    <row r="351" spans="1:20" ht="15.75">
      <c r="A351" s="197"/>
      <c r="B351" s="197"/>
      <c r="C351" s="197"/>
      <c r="D351" s="197"/>
      <c r="E351" s="197"/>
      <c r="F351" s="197"/>
      <c r="G351" s="197"/>
      <c r="H351" s="197"/>
      <c r="I351" s="197"/>
      <c r="J351" s="197"/>
      <c r="K351" s="197"/>
      <c r="L351" s="197"/>
      <c r="M351" s="197"/>
      <c r="N351" s="197"/>
      <c r="O351" s="197"/>
      <c r="P351" s="197"/>
      <c r="Q351" s="197"/>
      <c r="R351" s="197"/>
      <c r="S351" s="158"/>
      <c r="T351" s="158"/>
    </row>
    <row r="352" spans="1:20" ht="15.75">
      <c r="A352" s="197"/>
      <c r="B352" s="197"/>
      <c r="C352" s="197"/>
      <c r="D352" s="197"/>
      <c r="E352" s="197"/>
      <c r="F352" s="197"/>
      <c r="G352" s="197"/>
      <c r="H352" s="197"/>
      <c r="I352" s="197"/>
      <c r="J352" s="197"/>
      <c r="K352" s="197"/>
      <c r="L352" s="197"/>
      <c r="M352" s="197"/>
      <c r="N352" s="197"/>
      <c r="O352" s="197"/>
      <c r="P352" s="197"/>
      <c r="Q352" s="197"/>
      <c r="R352" s="197"/>
      <c r="S352" s="158"/>
      <c r="T352" s="158"/>
    </row>
    <row r="353" spans="1:20" ht="15.75">
      <c r="A353" s="197"/>
      <c r="B353" s="197"/>
      <c r="C353" s="197"/>
      <c r="D353" s="197"/>
      <c r="E353" s="197"/>
      <c r="F353" s="197"/>
      <c r="G353" s="197"/>
      <c r="H353" s="197"/>
      <c r="I353" s="197"/>
      <c r="J353" s="197"/>
      <c r="K353" s="197"/>
      <c r="L353" s="197"/>
      <c r="M353" s="197"/>
      <c r="N353" s="197"/>
      <c r="O353" s="197"/>
      <c r="P353" s="197"/>
      <c r="Q353" s="197"/>
      <c r="R353" s="197"/>
      <c r="S353" s="158"/>
      <c r="T353" s="158"/>
    </row>
    <row r="354" spans="1:20">
      <c r="A354" s="97"/>
      <c r="B354" s="97"/>
      <c r="C354" s="97"/>
      <c r="D354" s="97"/>
      <c r="E354" s="97"/>
      <c r="F354" s="97"/>
      <c r="G354" s="97"/>
      <c r="H354" s="97"/>
      <c r="I354" s="97"/>
      <c r="J354" s="97"/>
      <c r="K354" s="97"/>
      <c r="L354" s="97"/>
      <c r="M354" s="97"/>
      <c r="N354" s="97"/>
      <c r="O354" s="97"/>
      <c r="P354" s="97"/>
      <c r="Q354" s="97"/>
      <c r="R354" s="97"/>
    </row>
    <row r="355" spans="1:20">
      <c r="A355" s="97"/>
      <c r="B355" s="97"/>
      <c r="C355" s="97"/>
      <c r="D355" s="97"/>
      <c r="E355" s="97"/>
      <c r="F355" s="97"/>
      <c r="G355" s="97"/>
      <c r="H355" s="97"/>
      <c r="I355" s="97"/>
      <c r="J355" s="97"/>
      <c r="K355" s="97"/>
      <c r="L355" s="97"/>
      <c r="M355" s="97"/>
      <c r="N355" s="97"/>
      <c r="O355" s="97"/>
      <c r="P355" s="97"/>
      <c r="Q355" s="97"/>
      <c r="R355" s="97"/>
    </row>
    <row r="356" spans="1:20">
      <c r="A356" s="97"/>
      <c r="B356" s="97"/>
      <c r="C356" s="97"/>
      <c r="D356" s="97"/>
      <c r="E356" s="97"/>
      <c r="F356" s="97"/>
      <c r="G356" s="97"/>
      <c r="H356" s="97"/>
      <c r="I356" s="97"/>
      <c r="J356" s="97"/>
      <c r="K356" s="97"/>
      <c r="L356" s="97"/>
      <c r="M356" s="97"/>
      <c r="N356" s="97"/>
      <c r="O356" s="97"/>
      <c r="P356" s="97"/>
      <c r="Q356" s="97"/>
      <c r="R356" s="97"/>
    </row>
    <row r="357" spans="1:20">
      <c r="A357" s="97"/>
      <c r="B357" s="97"/>
      <c r="C357" s="97"/>
      <c r="D357" s="97"/>
      <c r="E357" s="97"/>
      <c r="F357" s="97"/>
      <c r="G357" s="97"/>
      <c r="H357" s="97"/>
      <c r="I357" s="97"/>
      <c r="J357" s="97"/>
      <c r="K357" s="97"/>
      <c r="L357" s="97"/>
      <c r="M357" s="97"/>
      <c r="N357" s="97"/>
      <c r="O357" s="97"/>
      <c r="P357" s="97"/>
      <c r="Q357" s="97"/>
      <c r="R357" s="97"/>
    </row>
    <row r="358" spans="1:20">
      <c r="A358" s="97"/>
      <c r="B358" s="97"/>
      <c r="C358" s="97"/>
      <c r="D358" s="97"/>
      <c r="E358" s="97"/>
      <c r="F358" s="97"/>
      <c r="G358" s="97"/>
      <c r="H358" s="97"/>
      <c r="I358" s="97"/>
      <c r="J358" s="97"/>
      <c r="K358" s="97"/>
      <c r="L358" s="97"/>
      <c r="M358" s="97"/>
      <c r="N358" s="97"/>
      <c r="O358" s="97"/>
      <c r="P358" s="97"/>
      <c r="Q358" s="97"/>
      <c r="R358" s="97"/>
    </row>
    <row r="359" spans="1:20">
      <c r="A359" s="97"/>
      <c r="B359" s="97"/>
      <c r="C359" s="97"/>
      <c r="D359" s="97"/>
      <c r="E359" s="97"/>
      <c r="F359" s="97"/>
      <c r="G359" s="97"/>
      <c r="H359" s="97"/>
      <c r="I359" s="97"/>
      <c r="J359" s="97"/>
      <c r="K359" s="97"/>
      <c r="L359" s="97"/>
      <c r="M359" s="97"/>
      <c r="N359" s="97"/>
      <c r="O359" s="97"/>
      <c r="P359" s="97"/>
      <c r="Q359" s="97"/>
      <c r="R359" s="97"/>
    </row>
    <row r="360" spans="1:20">
      <c r="A360" s="97"/>
      <c r="B360" s="97"/>
      <c r="C360" s="97"/>
      <c r="D360" s="97"/>
      <c r="E360" s="97"/>
      <c r="F360" s="97"/>
      <c r="G360" s="97"/>
      <c r="H360" s="97"/>
      <c r="I360" s="97"/>
      <c r="J360" s="97"/>
      <c r="K360" s="97"/>
      <c r="L360" s="97"/>
      <c r="M360" s="97"/>
      <c r="N360" s="97"/>
      <c r="O360" s="97"/>
      <c r="P360" s="97"/>
      <c r="Q360" s="97"/>
      <c r="R360" s="97"/>
    </row>
    <row r="361" spans="1:20">
      <c r="A361" s="97"/>
      <c r="B361" s="97"/>
      <c r="C361" s="97"/>
      <c r="D361" s="97"/>
      <c r="E361" s="97"/>
      <c r="F361" s="97"/>
      <c r="G361" s="97"/>
      <c r="H361" s="97"/>
      <c r="I361" s="97"/>
      <c r="J361" s="97"/>
      <c r="K361" s="97"/>
      <c r="L361" s="97"/>
      <c r="M361" s="97"/>
      <c r="N361" s="97"/>
      <c r="O361" s="97"/>
      <c r="P361" s="97"/>
      <c r="Q361" s="97"/>
      <c r="R361" s="97"/>
    </row>
    <row r="362" spans="1:20">
      <c r="A362" s="97"/>
      <c r="B362" s="97"/>
      <c r="C362" s="97"/>
      <c r="D362" s="97"/>
      <c r="E362" s="97"/>
      <c r="F362" s="97"/>
      <c r="G362" s="97"/>
      <c r="H362" s="97"/>
      <c r="I362" s="97"/>
      <c r="J362" s="97"/>
      <c r="K362" s="97"/>
      <c r="L362" s="97"/>
      <c r="M362" s="97"/>
      <c r="N362" s="97"/>
      <c r="O362" s="97"/>
      <c r="P362" s="97"/>
      <c r="Q362" s="97"/>
      <c r="R362" s="97"/>
    </row>
    <row r="363" spans="1:20">
      <c r="A363" s="97"/>
      <c r="B363" s="97"/>
      <c r="C363" s="97"/>
      <c r="D363" s="97"/>
      <c r="E363" s="97"/>
      <c r="F363" s="97"/>
      <c r="G363" s="97"/>
      <c r="H363" s="97"/>
      <c r="I363" s="97"/>
      <c r="J363" s="97"/>
      <c r="K363" s="97"/>
      <c r="L363" s="97"/>
      <c r="M363" s="97"/>
      <c r="N363" s="97"/>
      <c r="O363" s="97"/>
      <c r="P363" s="97"/>
      <c r="Q363" s="97"/>
      <c r="R363" s="97"/>
    </row>
    <row r="364" spans="1:20">
      <c r="A364" s="97"/>
      <c r="B364" s="97"/>
      <c r="C364" s="97"/>
      <c r="D364" s="97"/>
      <c r="E364" s="97"/>
      <c r="F364" s="97"/>
      <c r="G364" s="97"/>
      <c r="H364" s="97"/>
      <c r="I364" s="97"/>
      <c r="J364" s="97"/>
      <c r="K364" s="97"/>
      <c r="L364" s="97"/>
      <c r="M364" s="97"/>
      <c r="N364" s="97"/>
      <c r="O364" s="97"/>
      <c r="P364" s="97"/>
      <c r="Q364" s="97"/>
      <c r="R364" s="97"/>
    </row>
    <row r="365" spans="1:20">
      <c r="A365" s="97"/>
      <c r="B365" s="97"/>
      <c r="C365" s="97"/>
      <c r="D365" s="97"/>
      <c r="E365" s="97"/>
      <c r="F365" s="97"/>
      <c r="G365" s="97"/>
      <c r="H365" s="97"/>
      <c r="I365" s="97"/>
      <c r="J365" s="97"/>
      <c r="K365" s="97"/>
      <c r="L365" s="97"/>
      <c r="M365" s="97"/>
      <c r="N365" s="97"/>
      <c r="O365" s="97"/>
      <c r="P365" s="97"/>
      <c r="Q365" s="97"/>
      <c r="R365" s="97"/>
    </row>
    <row r="366" spans="1:20">
      <c r="A366" s="97"/>
      <c r="B366" s="97"/>
      <c r="C366" s="97"/>
      <c r="D366" s="97"/>
      <c r="E366" s="97"/>
      <c r="F366" s="97"/>
      <c r="G366" s="97"/>
      <c r="H366" s="97"/>
      <c r="I366" s="97"/>
      <c r="J366" s="97"/>
      <c r="K366" s="97"/>
      <c r="L366" s="97"/>
      <c r="M366" s="97"/>
      <c r="N366" s="97"/>
      <c r="O366" s="97"/>
      <c r="P366" s="97"/>
      <c r="Q366" s="97"/>
      <c r="R366" s="97"/>
    </row>
    <row r="367" spans="1:20">
      <c r="A367" s="97"/>
      <c r="B367" s="97"/>
      <c r="C367" s="97"/>
      <c r="D367" s="97"/>
      <c r="E367" s="97"/>
      <c r="F367" s="97"/>
      <c r="G367" s="97"/>
      <c r="H367" s="97"/>
      <c r="I367" s="97"/>
      <c r="J367" s="97"/>
      <c r="K367" s="97"/>
      <c r="L367" s="97"/>
      <c r="M367" s="97"/>
      <c r="N367" s="97"/>
      <c r="O367" s="97"/>
      <c r="P367" s="97"/>
      <c r="Q367" s="97"/>
      <c r="R367" s="97"/>
    </row>
    <row r="368" spans="1:20">
      <c r="A368" s="97"/>
      <c r="B368" s="97"/>
      <c r="C368" s="97"/>
      <c r="D368" s="97"/>
      <c r="E368" s="97"/>
      <c r="F368" s="97"/>
      <c r="G368" s="97"/>
      <c r="H368" s="97"/>
      <c r="I368" s="97"/>
      <c r="J368" s="97"/>
      <c r="K368" s="97"/>
      <c r="L368" s="97"/>
      <c r="M368" s="97"/>
      <c r="N368" s="97"/>
      <c r="O368" s="97"/>
      <c r="P368" s="97"/>
      <c r="Q368" s="97"/>
      <c r="R368" s="97"/>
    </row>
    <row r="369" spans="1:18">
      <c r="A369" s="97"/>
      <c r="B369" s="97"/>
      <c r="C369" s="97"/>
      <c r="D369" s="97"/>
      <c r="E369" s="97"/>
      <c r="F369" s="97"/>
      <c r="G369" s="97"/>
      <c r="H369" s="97"/>
      <c r="I369" s="97"/>
      <c r="J369" s="97"/>
      <c r="K369" s="97"/>
      <c r="L369" s="97"/>
      <c r="M369" s="97"/>
      <c r="N369" s="97"/>
      <c r="O369" s="97"/>
      <c r="P369" s="97"/>
      <c r="Q369" s="97"/>
      <c r="R369" s="97"/>
    </row>
    <row r="370" spans="1:18">
      <c r="A370" s="97"/>
      <c r="B370" s="97"/>
      <c r="C370" s="97"/>
      <c r="D370" s="97"/>
      <c r="E370" s="97"/>
      <c r="F370" s="97"/>
      <c r="G370" s="97"/>
      <c r="H370" s="97"/>
      <c r="I370" s="97"/>
      <c r="J370" s="97"/>
      <c r="K370" s="97"/>
      <c r="L370" s="97"/>
      <c r="M370" s="97"/>
      <c r="N370" s="97"/>
      <c r="O370" s="97"/>
      <c r="P370" s="97"/>
      <c r="Q370" s="97"/>
      <c r="R370" s="97"/>
    </row>
    <row r="371" spans="1:18">
      <c r="A371" s="97"/>
      <c r="B371" s="97"/>
      <c r="C371" s="97"/>
      <c r="D371" s="97"/>
      <c r="E371" s="97"/>
      <c r="F371" s="97"/>
      <c r="G371" s="97"/>
      <c r="H371" s="97"/>
      <c r="I371" s="97"/>
      <c r="J371" s="97"/>
      <c r="K371" s="97"/>
      <c r="L371" s="97"/>
      <c r="M371" s="97"/>
      <c r="N371" s="97"/>
      <c r="O371" s="97"/>
      <c r="P371" s="97"/>
      <c r="Q371" s="97"/>
      <c r="R371" s="97"/>
    </row>
    <row r="372" spans="1:18">
      <c r="A372" s="97"/>
      <c r="B372" s="97"/>
      <c r="C372" s="97"/>
      <c r="D372" s="97"/>
      <c r="E372" s="97"/>
      <c r="F372" s="97"/>
      <c r="G372" s="97"/>
      <c r="H372" s="97"/>
      <c r="I372" s="97"/>
      <c r="J372" s="97"/>
      <c r="K372" s="97"/>
      <c r="L372" s="97"/>
      <c r="M372" s="97"/>
      <c r="N372" s="97"/>
      <c r="O372" s="97"/>
      <c r="P372" s="97"/>
      <c r="Q372" s="97"/>
      <c r="R372" s="97"/>
    </row>
    <row r="373" spans="1:18">
      <c r="A373" s="97"/>
      <c r="B373" s="97"/>
      <c r="C373" s="97"/>
      <c r="D373" s="97"/>
      <c r="E373" s="97"/>
      <c r="F373" s="97"/>
      <c r="G373" s="97"/>
      <c r="H373" s="97"/>
      <c r="I373" s="97"/>
      <c r="J373" s="97"/>
      <c r="K373" s="97"/>
      <c r="L373" s="97"/>
      <c r="M373" s="97"/>
      <c r="N373" s="97"/>
      <c r="O373" s="97"/>
      <c r="P373" s="97"/>
      <c r="Q373" s="97"/>
      <c r="R373" s="97"/>
    </row>
    <row r="374" spans="1:18">
      <c r="A374" s="97"/>
      <c r="B374" s="97"/>
      <c r="C374" s="97"/>
      <c r="D374" s="97"/>
      <c r="E374" s="97"/>
      <c r="F374" s="97"/>
      <c r="G374" s="97"/>
      <c r="H374" s="97"/>
      <c r="I374" s="97"/>
      <c r="J374" s="97"/>
      <c r="K374" s="97"/>
      <c r="L374" s="97"/>
      <c r="M374" s="97"/>
      <c r="N374" s="97"/>
      <c r="O374" s="97"/>
      <c r="P374" s="97"/>
      <c r="Q374" s="97"/>
      <c r="R374" s="97"/>
    </row>
    <row r="375" spans="1:18">
      <c r="A375" s="97"/>
      <c r="B375" s="97"/>
      <c r="C375" s="97"/>
      <c r="D375" s="97"/>
      <c r="E375" s="97"/>
      <c r="F375" s="97"/>
      <c r="G375" s="97"/>
      <c r="H375" s="97"/>
      <c r="I375" s="97"/>
      <c r="J375" s="97"/>
      <c r="K375" s="97"/>
      <c r="L375" s="97"/>
      <c r="M375" s="97"/>
      <c r="N375" s="97"/>
      <c r="O375" s="97"/>
      <c r="P375" s="97"/>
      <c r="Q375" s="97"/>
      <c r="R375" s="97"/>
    </row>
    <row r="376" spans="1:18">
      <c r="A376" s="97"/>
      <c r="B376" s="97"/>
      <c r="C376" s="97"/>
      <c r="D376" s="97"/>
      <c r="E376" s="97"/>
      <c r="F376" s="97"/>
      <c r="G376" s="97"/>
      <c r="H376" s="97"/>
      <c r="I376" s="97"/>
      <c r="J376" s="97"/>
      <c r="K376" s="97"/>
      <c r="L376" s="97"/>
      <c r="M376" s="97"/>
      <c r="N376" s="97"/>
      <c r="O376" s="97"/>
      <c r="P376" s="97"/>
      <c r="Q376" s="97"/>
      <c r="R376" s="97"/>
    </row>
    <row r="377" spans="1:18">
      <c r="A377" s="97"/>
      <c r="B377" s="97"/>
      <c r="C377" s="97"/>
      <c r="D377" s="97"/>
      <c r="E377" s="97"/>
      <c r="F377" s="97"/>
      <c r="G377" s="97"/>
      <c r="H377" s="97"/>
      <c r="I377" s="97"/>
      <c r="J377" s="97"/>
      <c r="K377" s="97"/>
      <c r="L377" s="97"/>
      <c r="M377" s="97"/>
      <c r="N377" s="97"/>
      <c r="O377" s="97"/>
      <c r="P377" s="97"/>
      <c r="Q377" s="97"/>
      <c r="R377" s="97"/>
    </row>
    <row r="378" spans="1:18">
      <c r="A378" s="97"/>
      <c r="B378" s="97"/>
      <c r="C378" s="97"/>
      <c r="D378" s="97"/>
      <c r="E378" s="97"/>
      <c r="F378" s="97"/>
      <c r="G378" s="97"/>
      <c r="H378" s="97"/>
      <c r="I378" s="97"/>
      <c r="J378" s="97"/>
      <c r="K378" s="97"/>
      <c r="L378" s="97"/>
      <c r="M378" s="97"/>
      <c r="N378" s="97"/>
      <c r="O378" s="97"/>
      <c r="P378" s="97"/>
      <c r="Q378" s="97"/>
      <c r="R378" s="97"/>
    </row>
    <row r="379" spans="1:18">
      <c r="A379" s="97"/>
      <c r="B379" s="97"/>
      <c r="C379" s="97"/>
      <c r="D379" s="97"/>
      <c r="E379" s="97"/>
      <c r="F379" s="97"/>
      <c r="G379" s="97"/>
      <c r="H379" s="97"/>
      <c r="I379" s="97"/>
      <c r="J379" s="97"/>
      <c r="K379" s="97"/>
      <c r="L379" s="97"/>
      <c r="M379" s="97"/>
      <c r="N379" s="97"/>
      <c r="O379" s="97"/>
      <c r="P379" s="97"/>
      <c r="Q379" s="97"/>
      <c r="R379" s="97"/>
    </row>
    <row r="380" spans="1:18">
      <c r="A380" s="97"/>
      <c r="B380" s="97"/>
      <c r="C380" s="97"/>
      <c r="D380" s="97"/>
      <c r="E380" s="97"/>
      <c r="F380" s="97"/>
      <c r="G380" s="97"/>
      <c r="H380" s="97"/>
      <c r="I380" s="97"/>
      <c r="J380" s="97"/>
      <c r="K380" s="97"/>
      <c r="L380" s="97"/>
      <c r="M380" s="97"/>
      <c r="N380" s="97"/>
      <c r="O380" s="97"/>
      <c r="P380" s="97"/>
      <c r="Q380" s="97"/>
      <c r="R380" s="97"/>
    </row>
    <row r="381" spans="1:18">
      <c r="A381" s="97"/>
      <c r="B381" s="97"/>
      <c r="C381" s="97"/>
      <c r="D381" s="97"/>
      <c r="E381" s="97"/>
      <c r="F381" s="97"/>
      <c r="G381" s="97"/>
      <c r="H381" s="97"/>
      <c r="I381" s="97"/>
      <c r="J381" s="97"/>
      <c r="K381" s="97"/>
      <c r="L381" s="97"/>
      <c r="M381" s="97"/>
      <c r="N381" s="97"/>
      <c r="O381" s="97"/>
      <c r="P381" s="97"/>
      <c r="Q381" s="97"/>
      <c r="R381" s="97"/>
    </row>
    <row r="382" spans="1:18">
      <c r="A382" s="97"/>
      <c r="B382" s="97"/>
      <c r="C382" s="97"/>
      <c r="D382" s="97"/>
      <c r="E382" s="97"/>
      <c r="F382" s="97"/>
      <c r="G382" s="97"/>
      <c r="H382" s="97"/>
      <c r="I382" s="97"/>
      <c r="J382" s="97"/>
      <c r="K382" s="97"/>
      <c r="L382" s="97"/>
      <c r="M382" s="97"/>
      <c r="N382" s="97"/>
      <c r="O382" s="97"/>
      <c r="P382" s="97"/>
      <c r="Q382" s="97"/>
      <c r="R382" s="97"/>
    </row>
    <row r="383" spans="1:18">
      <c r="A383" s="97"/>
      <c r="B383" s="97"/>
      <c r="C383" s="97"/>
      <c r="D383" s="97"/>
      <c r="E383" s="97"/>
      <c r="F383" s="97"/>
      <c r="G383" s="97"/>
      <c r="H383" s="97"/>
      <c r="I383" s="97"/>
      <c r="J383" s="97"/>
      <c r="K383" s="97"/>
      <c r="L383" s="97"/>
      <c r="M383" s="97"/>
      <c r="N383" s="97"/>
      <c r="O383" s="97"/>
      <c r="P383" s="97"/>
      <c r="Q383" s="97"/>
      <c r="R383" s="97"/>
    </row>
    <row r="384" spans="1:18">
      <c r="A384" s="97"/>
      <c r="B384" s="97"/>
      <c r="C384" s="97"/>
      <c r="D384" s="97"/>
      <c r="E384" s="97"/>
      <c r="F384" s="97"/>
      <c r="G384" s="97"/>
      <c r="H384" s="97"/>
      <c r="I384" s="97"/>
      <c r="J384" s="97"/>
      <c r="K384" s="97"/>
      <c r="L384" s="97"/>
      <c r="M384" s="97"/>
      <c r="N384" s="97"/>
      <c r="O384" s="97"/>
      <c r="P384" s="97"/>
      <c r="Q384" s="97"/>
      <c r="R384" s="97"/>
    </row>
    <row r="385" spans="1:18">
      <c r="A385" s="97"/>
      <c r="B385" s="97"/>
      <c r="C385" s="97"/>
      <c r="D385" s="97"/>
      <c r="E385" s="97"/>
      <c r="F385" s="97"/>
      <c r="G385" s="97"/>
      <c r="H385" s="97"/>
      <c r="I385" s="97"/>
      <c r="J385" s="97"/>
      <c r="K385" s="97"/>
      <c r="L385" s="97"/>
      <c r="M385" s="97"/>
      <c r="N385" s="97"/>
      <c r="O385" s="97"/>
      <c r="P385" s="97"/>
      <c r="Q385" s="97"/>
      <c r="R385" s="97"/>
    </row>
    <row r="386" spans="1:18">
      <c r="A386" s="97"/>
      <c r="B386" s="97"/>
      <c r="C386" s="97"/>
      <c r="D386" s="97"/>
      <c r="E386" s="97"/>
      <c r="F386" s="97"/>
      <c r="G386" s="97"/>
      <c r="H386" s="97"/>
      <c r="I386" s="97"/>
      <c r="J386" s="97"/>
      <c r="K386" s="97"/>
      <c r="L386" s="97"/>
      <c r="M386" s="97"/>
      <c r="N386" s="97"/>
      <c r="O386" s="97"/>
      <c r="P386" s="97"/>
      <c r="Q386" s="97"/>
      <c r="R386" s="97"/>
    </row>
    <row r="387" spans="1:18">
      <c r="A387" s="97"/>
      <c r="B387" s="97"/>
      <c r="C387" s="97"/>
      <c r="D387" s="97"/>
      <c r="E387" s="97"/>
      <c r="F387" s="97"/>
      <c r="G387" s="97"/>
      <c r="H387" s="97"/>
      <c r="I387" s="97"/>
      <c r="J387" s="97"/>
      <c r="K387" s="97"/>
      <c r="L387" s="97"/>
      <c r="M387" s="97"/>
      <c r="N387" s="97"/>
      <c r="O387" s="97"/>
      <c r="P387" s="97"/>
      <c r="Q387" s="97"/>
      <c r="R387" s="97"/>
    </row>
    <row r="388" spans="1:18">
      <c r="A388" s="97"/>
      <c r="B388" s="97"/>
      <c r="C388" s="97"/>
      <c r="D388" s="97"/>
      <c r="E388" s="97"/>
      <c r="F388" s="97"/>
      <c r="G388" s="97"/>
      <c r="H388" s="97"/>
      <c r="I388" s="97"/>
      <c r="J388" s="97"/>
      <c r="K388" s="97"/>
      <c r="L388" s="97"/>
      <c r="M388" s="97"/>
      <c r="N388" s="97"/>
      <c r="O388" s="97"/>
      <c r="P388" s="97"/>
      <c r="Q388" s="97"/>
      <c r="R388" s="97"/>
    </row>
    <row r="389" spans="1:18">
      <c r="A389" s="97"/>
      <c r="B389" s="97"/>
      <c r="C389" s="97"/>
      <c r="D389" s="97"/>
      <c r="E389" s="97"/>
      <c r="F389" s="97"/>
      <c r="G389" s="97"/>
      <c r="H389" s="97"/>
      <c r="I389" s="97"/>
      <c r="J389" s="97"/>
      <c r="K389" s="97"/>
      <c r="L389" s="97"/>
      <c r="M389" s="97"/>
      <c r="N389" s="97"/>
      <c r="O389" s="97"/>
      <c r="P389" s="97"/>
      <c r="Q389" s="97"/>
      <c r="R389" s="97"/>
    </row>
    <row r="390" spans="1:18">
      <c r="A390" s="97"/>
      <c r="B390" s="97"/>
      <c r="C390" s="97"/>
      <c r="D390" s="97"/>
      <c r="E390" s="97"/>
      <c r="F390" s="97"/>
      <c r="G390" s="97"/>
      <c r="H390" s="97"/>
      <c r="I390" s="97"/>
      <c r="J390" s="97"/>
      <c r="K390" s="97"/>
      <c r="L390" s="97"/>
      <c r="M390" s="97"/>
      <c r="N390" s="97"/>
      <c r="O390" s="97"/>
      <c r="P390" s="97"/>
      <c r="Q390" s="97"/>
      <c r="R390" s="97"/>
    </row>
    <row r="391" spans="1:18">
      <c r="A391" s="97"/>
      <c r="B391" s="97"/>
      <c r="C391" s="97"/>
      <c r="D391" s="97"/>
      <c r="E391" s="97"/>
      <c r="F391" s="97"/>
      <c r="G391" s="97"/>
      <c r="H391" s="97"/>
      <c r="I391" s="97"/>
      <c r="J391" s="97"/>
      <c r="K391" s="97"/>
      <c r="L391" s="97"/>
      <c r="M391" s="97"/>
      <c r="N391" s="97"/>
      <c r="O391" s="97"/>
      <c r="P391" s="97"/>
      <c r="Q391" s="97"/>
      <c r="R391" s="97"/>
    </row>
    <row r="392" spans="1:18">
      <c r="A392" s="97"/>
      <c r="B392" s="97"/>
      <c r="C392" s="97"/>
      <c r="D392" s="97"/>
      <c r="E392" s="97"/>
      <c r="F392" s="97"/>
      <c r="G392" s="97"/>
      <c r="H392" s="97"/>
      <c r="I392" s="97"/>
      <c r="J392" s="97"/>
      <c r="K392" s="97"/>
      <c r="L392" s="97"/>
      <c r="M392" s="97"/>
      <c r="N392" s="97"/>
      <c r="O392" s="97"/>
      <c r="P392" s="97"/>
      <c r="Q392" s="97"/>
      <c r="R392" s="97"/>
    </row>
    <row r="393" spans="1:18">
      <c r="A393" s="97"/>
      <c r="B393" s="97"/>
      <c r="C393" s="97"/>
      <c r="D393" s="97"/>
      <c r="E393" s="97"/>
      <c r="F393" s="97"/>
      <c r="G393" s="97"/>
      <c r="H393" s="97"/>
      <c r="I393" s="97"/>
      <c r="J393" s="97"/>
      <c r="K393" s="97"/>
      <c r="L393" s="97"/>
      <c r="M393" s="97"/>
      <c r="N393" s="97"/>
      <c r="O393" s="97"/>
      <c r="P393" s="97"/>
      <c r="Q393" s="97"/>
      <c r="R393" s="97"/>
    </row>
    <row r="394" spans="1:18">
      <c r="A394" s="97"/>
      <c r="B394" s="97"/>
      <c r="C394" s="97"/>
      <c r="D394" s="97"/>
      <c r="E394" s="97"/>
      <c r="F394" s="97"/>
      <c r="G394" s="97"/>
      <c r="H394" s="97"/>
      <c r="I394" s="97"/>
      <c r="J394" s="97"/>
      <c r="K394" s="97"/>
      <c r="L394" s="97"/>
      <c r="M394" s="97"/>
      <c r="N394" s="97"/>
      <c r="O394" s="97"/>
      <c r="P394" s="97"/>
      <c r="Q394" s="97"/>
      <c r="R394" s="97"/>
    </row>
    <row r="395" spans="1:18">
      <c r="A395" s="97"/>
      <c r="B395" s="97"/>
      <c r="C395" s="97"/>
      <c r="D395" s="97"/>
      <c r="E395" s="97"/>
      <c r="F395" s="97"/>
      <c r="G395" s="97"/>
      <c r="H395" s="97"/>
      <c r="I395" s="97"/>
      <c r="J395" s="97"/>
      <c r="K395" s="97"/>
      <c r="L395" s="97"/>
      <c r="M395" s="97"/>
      <c r="N395" s="97"/>
      <c r="O395" s="97"/>
      <c r="P395" s="97"/>
      <c r="Q395" s="97"/>
      <c r="R395" s="97"/>
    </row>
    <row r="396" spans="1:18">
      <c r="A396" s="97"/>
      <c r="B396" s="97"/>
      <c r="C396" s="97"/>
      <c r="D396" s="97"/>
      <c r="E396" s="97"/>
      <c r="F396" s="97"/>
      <c r="G396" s="97"/>
      <c r="H396" s="97"/>
      <c r="I396" s="97"/>
      <c r="J396" s="97"/>
      <c r="K396" s="97"/>
      <c r="L396" s="97"/>
      <c r="M396" s="97"/>
      <c r="N396" s="97"/>
      <c r="O396" s="97"/>
      <c r="P396" s="97"/>
      <c r="Q396" s="97"/>
      <c r="R396" s="97"/>
    </row>
    <row r="397" spans="1:18">
      <c r="A397" s="97"/>
      <c r="B397" s="97"/>
      <c r="C397" s="97"/>
      <c r="D397" s="97"/>
      <c r="E397" s="97"/>
      <c r="F397" s="97"/>
      <c r="G397" s="97"/>
      <c r="H397" s="97"/>
      <c r="I397" s="97"/>
      <c r="J397" s="97"/>
      <c r="K397" s="97"/>
      <c r="L397" s="97"/>
      <c r="M397" s="97"/>
      <c r="N397" s="97"/>
      <c r="O397" s="97"/>
      <c r="P397" s="97"/>
      <c r="Q397" s="97"/>
      <c r="R397" s="97"/>
    </row>
    <row r="398" spans="1:18">
      <c r="A398" s="97"/>
      <c r="B398" s="97"/>
      <c r="C398" s="97"/>
      <c r="D398" s="97"/>
      <c r="E398" s="97"/>
      <c r="F398" s="97"/>
      <c r="G398" s="97"/>
      <c r="H398" s="97"/>
      <c r="I398" s="97"/>
      <c r="J398" s="97"/>
      <c r="K398" s="97"/>
      <c r="L398" s="97"/>
      <c r="M398" s="97"/>
      <c r="N398" s="97"/>
      <c r="O398" s="97"/>
      <c r="P398" s="97"/>
      <c r="Q398" s="97"/>
      <c r="R398" s="97"/>
    </row>
    <row r="399" spans="1:18">
      <c r="A399" s="97"/>
      <c r="B399" s="97"/>
      <c r="C399" s="97"/>
      <c r="D399" s="97"/>
      <c r="E399" s="97"/>
      <c r="F399" s="97"/>
      <c r="G399" s="97"/>
      <c r="H399" s="97"/>
      <c r="I399" s="97"/>
      <c r="J399" s="97"/>
      <c r="K399" s="97"/>
      <c r="L399" s="97"/>
      <c r="M399" s="97"/>
      <c r="N399" s="97"/>
      <c r="O399" s="97"/>
      <c r="P399" s="97"/>
      <c r="Q399" s="97"/>
      <c r="R399" s="97"/>
    </row>
    <row r="400" spans="1:18">
      <c r="A400" s="97"/>
      <c r="B400" s="97"/>
      <c r="C400" s="97"/>
      <c r="D400" s="97"/>
      <c r="E400" s="97"/>
      <c r="F400" s="97"/>
      <c r="G400" s="97"/>
      <c r="H400" s="97"/>
      <c r="I400" s="97"/>
      <c r="J400" s="97"/>
      <c r="K400" s="97"/>
      <c r="L400" s="97"/>
      <c r="M400" s="97"/>
      <c r="N400" s="97"/>
      <c r="O400" s="97"/>
      <c r="P400" s="97"/>
      <c r="Q400" s="97"/>
      <c r="R400" s="97"/>
    </row>
    <row r="401" spans="1:18">
      <c r="A401" s="97"/>
      <c r="B401" s="97"/>
      <c r="C401" s="97"/>
      <c r="D401" s="97"/>
      <c r="E401" s="97"/>
      <c r="F401" s="97"/>
      <c r="G401" s="97"/>
      <c r="H401" s="97"/>
      <c r="I401" s="97"/>
      <c r="J401" s="97"/>
      <c r="K401" s="97"/>
      <c r="L401" s="97"/>
      <c r="M401" s="97"/>
      <c r="N401" s="97"/>
      <c r="O401" s="97"/>
      <c r="P401" s="97"/>
      <c r="Q401" s="97"/>
      <c r="R401" s="97"/>
    </row>
    <row r="402" spans="1:18">
      <c r="A402" s="97"/>
      <c r="B402" s="97"/>
      <c r="C402" s="97"/>
      <c r="D402" s="97"/>
      <c r="E402" s="97"/>
      <c r="F402" s="97"/>
      <c r="G402" s="97"/>
      <c r="H402" s="97"/>
      <c r="I402" s="97"/>
      <c r="J402" s="97"/>
      <c r="K402" s="97"/>
      <c r="L402" s="97"/>
      <c r="M402" s="97"/>
      <c r="N402" s="97"/>
      <c r="O402" s="97"/>
      <c r="P402" s="97"/>
      <c r="Q402" s="97"/>
      <c r="R402" s="97"/>
    </row>
    <row r="403" spans="1:18">
      <c r="A403" s="97"/>
      <c r="B403" s="97"/>
      <c r="C403" s="97"/>
      <c r="D403" s="97"/>
      <c r="E403" s="97"/>
      <c r="F403" s="97"/>
      <c r="G403" s="97"/>
      <c r="H403" s="97"/>
      <c r="I403" s="97"/>
      <c r="J403" s="97"/>
      <c r="K403" s="97"/>
      <c r="L403" s="97"/>
      <c r="M403" s="97"/>
      <c r="N403" s="97"/>
      <c r="O403" s="97"/>
      <c r="P403" s="97"/>
      <c r="Q403" s="97"/>
      <c r="R403" s="97"/>
    </row>
    <row r="404" spans="1:18">
      <c r="A404" s="97"/>
      <c r="B404" s="97"/>
      <c r="C404" s="97"/>
      <c r="D404" s="97"/>
      <c r="E404" s="97"/>
      <c r="F404" s="97"/>
      <c r="G404" s="97"/>
      <c r="H404" s="97"/>
      <c r="I404" s="97"/>
      <c r="J404" s="97"/>
      <c r="K404" s="97"/>
      <c r="L404" s="97"/>
      <c r="M404" s="97"/>
      <c r="N404" s="97"/>
      <c r="O404" s="97"/>
      <c r="P404" s="97"/>
      <c r="Q404" s="97"/>
      <c r="R404" s="97"/>
    </row>
    <row r="405" spans="1:18">
      <c r="A405" s="97"/>
      <c r="B405" s="97"/>
      <c r="C405" s="97"/>
      <c r="D405" s="97"/>
      <c r="E405" s="97"/>
      <c r="F405" s="97"/>
      <c r="G405" s="97"/>
      <c r="H405" s="97"/>
      <c r="I405" s="97"/>
      <c r="J405" s="97"/>
      <c r="K405" s="97"/>
      <c r="L405" s="97"/>
      <c r="M405" s="97"/>
      <c r="N405" s="97"/>
      <c r="O405" s="97"/>
      <c r="P405" s="97"/>
      <c r="Q405" s="97"/>
      <c r="R405" s="97"/>
    </row>
    <row r="406" spans="1:18">
      <c r="A406" s="97"/>
      <c r="B406" s="97"/>
      <c r="C406" s="97"/>
      <c r="D406" s="97"/>
      <c r="E406" s="97"/>
      <c r="F406" s="97"/>
      <c r="G406" s="97"/>
      <c r="H406" s="97"/>
      <c r="I406" s="97"/>
      <c r="J406" s="97"/>
      <c r="K406" s="97"/>
      <c r="L406" s="97"/>
      <c r="M406" s="97"/>
      <c r="N406" s="97"/>
      <c r="O406" s="97"/>
      <c r="P406" s="97"/>
      <c r="Q406" s="97"/>
      <c r="R406" s="97"/>
    </row>
    <row r="407" spans="1:18">
      <c r="A407" s="97"/>
      <c r="B407" s="97"/>
      <c r="C407" s="97"/>
      <c r="D407" s="97"/>
      <c r="E407" s="97"/>
      <c r="F407" s="97"/>
      <c r="G407" s="97"/>
      <c r="H407" s="97"/>
      <c r="I407" s="97"/>
      <c r="J407" s="97"/>
      <c r="K407" s="97"/>
      <c r="L407" s="97"/>
      <c r="M407" s="97"/>
      <c r="N407" s="97"/>
      <c r="O407" s="97"/>
      <c r="P407" s="97"/>
      <c r="Q407" s="97"/>
      <c r="R407" s="97"/>
    </row>
    <row r="408" spans="1:18">
      <c r="A408" s="97"/>
      <c r="B408" s="97"/>
      <c r="C408" s="97"/>
      <c r="D408" s="97"/>
      <c r="E408" s="97"/>
      <c r="F408" s="97"/>
      <c r="G408" s="97"/>
      <c r="H408" s="97"/>
      <c r="I408" s="97"/>
      <c r="J408" s="97"/>
      <c r="K408" s="97"/>
      <c r="L408" s="97"/>
      <c r="M408" s="97"/>
      <c r="N408" s="97"/>
      <c r="O408" s="97"/>
      <c r="P408" s="97"/>
      <c r="Q408" s="97"/>
      <c r="R408" s="97"/>
    </row>
    <row r="409" spans="1:18">
      <c r="A409" s="97"/>
      <c r="B409" s="97"/>
      <c r="C409" s="97"/>
      <c r="D409" s="97"/>
      <c r="E409" s="97"/>
      <c r="F409" s="97"/>
      <c r="G409" s="97"/>
      <c r="H409" s="97"/>
      <c r="I409" s="97"/>
      <c r="J409" s="97"/>
      <c r="K409" s="97"/>
      <c r="L409" s="97"/>
      <c r="M409" s="97"/>
      <c r="N409" s="97"/>
      <c r="O409" s="97"/>
      <c r="P409" s="97"/>
      <c r="Q409" s="97"/>
      <c r="R409" s="97"/>
    </row>
    <row r="410" spans="1:18">
      <c r="A410" s="97"/>
      <c r="B410" s="97"/>
      <c r="C410" s="97"/>
      <c r="D410" s="97"/>
      <c r="E410" s="97"/>
      <c r="F410" s="97"/>
      <c r="G410" s="97"/>
      <c r="H410" s="97"/>
      <c r="I410" s="97"/>
      <c r="J410" s="97"/>
      <c r="K410" s="97"/>
      <c r="L410" s="97"/>
      <c r="M410" s="97"/>
      <c r="N410" s="97"/>
      <c r="O410" s="97"/>
      <c r="P410" s="97"/>
      <c r="Q410" s="97"/>
      <c r="R410" s="97"/>
    </row>
    <row r="411" spans="1:18">
      <c r="A411" s="97"/>
      <c r="B411" s="97"/>
      <c r="C411" s="97"/>
      <c r="D411" s="97"/>
      <c r="E411" s="97"/>
      <c r="F411" s="97"/>
      <c r="G411" s="97"/>
      <c r="H411" s="97"/>
      <c r="I411" s="97"/>
      <c r="J411" s="97"/>
      <c r="K411" s="97"/>
      <c r="L411" s="97"/>
      <c r="M411" s="97"/>
      <c r="N411" s="97"/>
      <c r="O411" s="97"/>
      <c r="P411" s="97"/>
      <c r="Q411" s="97"/>
      <c r="R411" s="97"/>
    </row>
    <row r="412" spans="1:18">
      <c r="A412" s="97"/>
      <c r="B412" s="97"/>
      <c r="C412" s="97"/>
      <c r="D412" s="97"/>
      <c r="E412" s="97"/>
      <c r="F412" s="97"/>
      <c r="G412" s="97"/>
      <c r="H412" s="97"/>
      <c r="I412" s="97"/>
      <c r="J412" s="97"/>
      <c r="K412" s="97"/>
      <c r="L412" s="97"/>
      <c r="M412" s="97"/>
      <c r="N412" s="97"/>
      <c r="O412" s="97"/>
      <c r="P412" s="97"/>
      <c r="Q412" s="97"/>
      <c r="R412" s="97"/>
    </row>
    <row r="413" spans="1:18">
      <c r="A413" s="97"/>
      <c r="B413" s="97"/>
      <c r="C413" s="97"/>
      <c r="D413" s="97"/>
      <c r="E413" s="97"/>
      <c r="F413" s="97"/>
      <c r="G413" s="97"/>
      <c r="H413" s="97"/>
      <c r="I413" s="97"/>
      <c r="J413" s="97"/>
      <c r="K413" s="97"/>
      <c r="L413" s="97"/>
      <c r="M413" s="97"/>
      <c r="N413" s="97"/>
      <c r="O413" s="97"/>
      <c r="P413" s="97"/>
      <c r="Q413" s="97"/>
      <c r="R413" s="97"/>
    </row>
    <row r="414" spans="1:18">
      <c r="A414" s="97"/>
      <c r="B414" s="97"/>
      <c r="C414" s="97"/>
      <c r="D414" s="97"/>
      <c r="E414" s="97"/>
      <c r="F414" s="97"/>
      <c r="G414" s="97"/>
      <c r="H414" s="97"/>
      <c r="I414" s="97"/>
      <c r="J414" s="97"/>
      <c r="K414" s="97"/>
      <c r="L414" s="97"/>
      <c r="M414" s="97"/>
      <c r="N414" s="97"/>
      <c r="O414" s="97"/>
      <c r="P414" s="97"/>
      <c r="Q414" s="97"/>
      <c r="R414" s="97"/>
    </row>
    <row r="415" spans="1:18">
      <c r="A415" s="97"/>
      <c r="B415" s="97"/>
      <c r="C415" s="97"/>
      <c r="D415" s="97"/>
      <c r="E415" s="97"/>
      <c r="F415" s="97"/>
      <c r="G415" s="97"/>
      <c r="H415" s="97"/>
      <c r="I415" s="97"/>
      <c r="J415" s="97"/>
      <c r="K415" s="97"/>
      <c r="L415" s="97"/>
      <c r="M415" s="97"/>
      <c r="N415" s="97"/>
      <c r="O415" s="97"/>
      <c r="P415" s="97"/>
      <c r="Q415" s="97"/>
      <c r="R415" s="97"/>
    </row>
    <row r="416" spans="1:18">
      <c r="A416" s="97"/>
      <c r="B416" s="97"/>
      <c r="C416" s="97"/>
      <c r="D416" s="97"/>
      <c r="E416" s="97"/>
      <c r="F416" s="97"/>
      <c r="G416" s="97"/>
      <c r="H416" s="97"/>
      <c r="I416" s="97"/>
      <c r="J416" s="97"/>
      <c r="K416" s="97"/>
      <c r="L416" s="97"/>
      <c r="M416" s="97"/>
      <c r="N416" s="97"/>
      <c r="O416" s="97"/>
      <c r="P416" s="97"/>
      <c r="Q416" s="97"/>
      <c r="R416" s="97"/>
    </row>
    <row r="417" spans="1:18">
      <c r="A417" s="97"/>
      <c r="B417" s="97"/>
      <c r="C417" s="97"/>
      <c r="D417" s="97"/>
      <c r="E417" s="97"/>
      <c r="F417" s="97"/>
      <c r="G417" s="97"/>
      <c r="H417" s="97"/>
      <c r="I417" s="97"/>
      <c r="J417" s="97"/>
      <c r="K417" s="97"/>
      <c r="L417" s="97"/>
      <c r="M417" s="97"/>
      <c r="N417" s="97"/>
      <c r="O417" s="97"/>
      <c r="P417" s="97"/>
      <c r="Q417" s="97"/>
      <c r="R417" s="97"/>
    </row>
    <row r="418" spans="1:18">
      <c r="A418" s="97"/>
      <c r="B418" s="97"/>
      <c r="C418" s="97"/>
      <c r="D418" s="97"/>
      <c r="E418" s="97"/>
      <c r="F418" s="97"/>
      <c r="G418" s="97"/>
      <c r="H418" s="97"/>
      <c r="I418" s="97"/>
      <c r="J418" s="97"/>
      <c r="K418" s="97"/>
      <c r="L418" s="97"/>
      <c r="M418" s="97"/>
      <c r="N418" s="97"/>
      <c r="O418" s="97"/>
      <c r="P418" s="97"/>
      <c r="Q418" s="97"/>
      <c r="R418" s="97"/>
    </row>
    <row r="419" spans="1:18">
      <c r="A419" s="97"/>
      <c r="B419" s="97"/>
      <c r="C419" s="97"/>
      <c r="D419" s="97"/>
      <c r="E419" s="97"/>
      <c r="F419" s="97"/>
      <c r="G419" s="97"/>
      <c r="H419" s="97"/>
      <c r="I419" s="97"/>
      <c r="J419" s="97"/>
      <c r="K419" s="97"/>
      <c r="L419" s="97"/>
      <c r="M419" s="97"/>
      <c r="N419" s="97"/>
      <c r="O419" s="97"/>
      <c r="P419" s="97"/>
      <c r="Q419" s="97"/>
      <c r="R419" s="97"/>
    </row>
    <row r="420" spans="1:18">
      <c r="A420" s="97"/>
      <c r="B420" s="97"/>
      <c r="C420" s="97"/>
      <c r="D420" s="97"/>
      <c r="E420" s="97"/>
      <c r="F420" s="97"/>
      <c r="G420" s="97"/>
      <c r="H420" s="97"/>
      <c r="I420" s="97"/>
      <c r="J420" s="97"/>
      <c r="K420" s="97"/>
      <c r="L420" s="97"/>
      <c r="M420" s="97"/>
      <c r="N420" s="97"/>
      <c r="O420" s="97"/>
      <c r="P420" s="97"/>
      <c r="Q420" s="97"/>
      <c r="R420" s="97"/>
    </row>
    <row r="421" spans="1:18">
      <c r="A421" s="97"/>
      <c r="B421" s="97"/>
      <c r="C421" s="97"/>
      <c r="D421" s="97"/>
      <c r="E421" s="97"/>
      <c r="F421" s="97"/>
      <c r="G421" s="97"/>
      <c r="H421" s="97"/>
      <c r="I421" s="97"/>
      <c r="J421" s="97"/>
      <c r="K421" s="97"/>
      <c r="L421" s="97"/>
      <c r="M421" s="97"/>
      <c r="N421" s="97"/>
      <c r="O421" s="97"/>
      <c r="P421" s="97"/>
      <c r="Q421" s="97"/>
      <c r="R421" s="97"/>
    </row>
    <row r="422" spans="1:18">
      <c r="A422" s="97"/>
      <c r="B422" s="97"/>
      <c r="C422" s="97"/>
      <c r="D422" s="97"/>
      <c r="E422" s="97"/>
      <c r="F422" s="97"/>
      <c r="G422" s="97"/>
      <c r="H422" s="97"/>
      <c r="I422" s="97"/>
      <c r="J422" s="97"/>
      <c r="K422" s="97"/>
      <c r="L422" s="97"/>
      <c r="M422" s="97"/>
      <c r="N422" s="97"/>
      <c r="O422" s="97"/>
      <c r="P422" s="97"/>
      <c r="Q422" s="97"/>
      <c r="R422" s="97"/>
    </row>
    <row r="423" spans="1:18">
      <c r="A423" s="97"/>
      <c r="B423" s="97"/>
      <c r="C423" s="97"/>
      <c r="D423" s="97"/>
      <c r="E423" s="97"/>
      <c r="F423" s="97"/>
      <c r="G423" s="97"/>
      <c r="H423" s="97"/>
      <c r="I423" s="97"/>
      <c r="J423" s="97"/>
      <c r="K423" s="97"/>
      <c r="L423" s="97"/>
      <c r="M423" s="97"/>
      <c r="N423" s="97"/>
      <c r="O423" s="97"/>
      <c r="P423" s="97"/>
      <c r="Q423" s="97"/>
      <c r="R423" s="97"/>
    </row>
    <row r="424" spans="1:18">
      <c r="A424" s="97"/>
      <c r="B424" s="97"/>
      <c r="C424" s="97"/>
      <c r="D424" s="97"/>
      <c r="E424" s="97"/>
      <c r="F424" s="97"/>
      <c r="G424" s="97"/>
      <c r="H424" s="97"/>
      <c r="I424" s="97"/>
      <c r="J424" s="97"/>
      <c r="K424" s="97"/>
      <c r="L424" s="97"/>
      <c r="M424" s="97"/>
      <c r="N424" s="97"/>
      <c r="O424" s="97"/>
      <c r="P424" s="97"/>
      <c r="Q424" s="97"/>
      <c r="R424" s="97"/>
    </row>
    <row r="425" spans="1:18">
      <c r="A425" s="97"/>
      <c r="B425" s="97"/>
      <c r="C425" s="97"/>
      <c r="D425" s="97"/>
      <c r="E425" s="97"/>
      <c r="F425" s="97"/>
      <c r="G425" s="97"/>
      <c r="H425" s="97"/>
      <c r="I425" s="97"/>
      <c r="J425" s="97"/>
      <c r="K425" s="97"/>
      <c r="L425" s="97"/>
      <c r="M425" s="97"/>
      <c r="N425" s="97"/>
      <c r="O425" s="97"/>
      <c r="P425" s="97"/>
      <c r="Q425" s="97"/>
      <c r="R425" s="97"/>
    </row>
    <row r="426" spans="1:18">
      <c r="A426" s="97"/>
      <c r="B426" s="97"/>
      <c r="C426" s="97"/>
      <c r="D426" s="97"/>
      <c r="E426" s="97"/>
      <c r="F426" s="97"/>
      <c r="G426" s="97"/>
      <c r="H426" s="97"/>
      <c r="I426" s="97"/>
      <c r="J426" s="97"/>
      <c r="K426" s="97"/>
      <c r="L426" s="97"/>
      <c r="M426" s="97"/>
      <c r="N426" s="97"/>
      <c r="O426" s="97"/>
      <c r="P426" s="97"/>
      <c r="Q426" s="97"/>
      <c r="R426" s="97"/>
    </row>
    <row r="427" spans="1:18">
      <c r="A427" s="97"/>
      <c r="B427" s="97"/>
      <c r="C427" s="97"/>
      <c r="D427" s="97"/>
      <c r="E427" s="97"/>
      <c r="F427" s="97"/>
      <c r="G427" s="97"/>
      <c r="H427" s="97"/>
      <c r="I427" s="97"/>
      <c r="J427" s="97"/>
      <c r="K427" s="97"/>
      <c r="L427" s="97"/>
      <c r="M427" s="97"/>
      <c r="N427" s="97"/>
      <c r="O427" s="97"/>
      <c r="P427" s="97"/>
      <c r="Q427" s="97"/>
      <c r="R427" s="97"/>
    </row>
    <row r="428" spans="1:18">
      <c r="A428" s="97"/>
      <c r="B428" s="97"/>
      <c r="C428" s="97"/>
      <c r="D428" s="97"/>
      <c r="E428" s="97"/>
      <c r="F428" s="97"/>
      <c r="G428" s="97"/>
      <c r="H428" s="97"/>
      <c r="I428" s="97"/>
      <c r="J428" s="97"/>
      <c r="K428" s="97"/>
      <c r="L428" s="97"/>
      <c r="M428" s="97"/>
      <c r="N428" s="97"/>
      <c r="O428" s="97"/>
      <c r="P428" s="97"/>
      <c r="Q428" s="97"/>
      <c r="R428" s="97"/>
    </row>
    <row r="429" spans="1:18">
      <c r="A429" s="97"/>
      <c r="B429" s="97"/>
      <c r="C429" s="97"/>
      <c r="D429" s="97"/>
      <c r="E429" s="97"/>
      <c r="F429" s="97"/>
      <c r="G429" s="97"/>
      <c r="H429" s="97"/>
      <c r="I429" s="97"/>
      <c r="J429" s="97"/>
      <c r="K429" s="97"/>
      <c r="L429" s="97"/>
      <c r="M429" s="97"/>
      <c r="N429" s="97"/>
      <c r="O429" s="97"/>
      <c r="P429" s="97"/>
      <c r="Q429" s="97"/>
      <c r="R429" s="97"/>
    </row>
    <row r="430" spans="1:18">
      <c r="A430" s="97"/>
      <c r="B430" s="97"/>
      <c r="C430" s="97"/>
      <c r="D430" s="97"/>
      <c r="E430" s="97"/>
      <c r="F430" s="97"/>
      <c r="G430" s="97"/>
      <c r="H430" s="97"/>
      <c r="I430" s="97"/>
      <c r="J430" s="97"/>
      <c r="K430" s="97"/>
      <c r="L430" s="97"/>
      <c r="M430" s="97"/>
      <c r="N430" s="97"/>
      <c r="O430" s="97"/>
      <c r="P430" s="97"/>
      <c r="Q430" s="97"/>
      <c r="R430" s="97"/>
    </row>
    <row r="431" spans="1:18">
      <c r="A431" s="97"/>
      <c r="B431" s="97"/>
      <c r="C431" s="97"/>
      <c r="D431" s="97"/>
      <c r="E431" s="97"/>
      <c r="F431" s="97"/>
      <c r="G431" s="97"/>
      <c r="H431" s="97"/>
      <c r="I431" s="97"/>
      <c r="J431" s="97"/>
      <c r="K431" s="97"/>
      <c r="L431" s="97"/>
      <c r="M431" s="97"/>
      <c r="N431" s="97"/>
      <c r="O431" s="97"/>
      <c r="P431" s="97"/>
      <c r="Q431" s="97"/>
      <c r="R431" s="97"/>
    </row>
    <row r="432" spans="1:18">
      <c r="A432" s="97"/>
      <c r="B432" s="97"/>
      <c r="C432" s="97"/>
      <c r="D432" s="97"/>
      <c r="E432" s="97"/>
      <c r="F432" s="97"/>
      <c r="G432" s="97"/>
      <c r="H432" s="97"/>
      <c r="I432" s="97"/>
      <c r="J432" s="97"/>
      <c r="K432" s="97"/>
      <c r="L432" s="97"/>
      <c r="M432" s="97"/>
      <c r="N432" s="97"/>
      <c r="O432" s="97"/>
      <c r="P432" s="97"/>
      <c r="Q432" s="97"/>
      <c r="R432" s="97"/>
    </row>
    <row r="433" spans="1:18">
      <c r="A433" s="97"/>
      <c r="B433" s="97"/>
      <c r="C433" s="97"/>
      <c r="D433" s="97"/>
      <c r="E433" s="97"/>
      <c r="F433" s="97"/>
      <c r="G433" s="97"/>
      <c r="H433" s="97"/>
      <c r="I433" s="97"/>
      <c r="J433" s="97"/>
      <c r="K433" s="97"/>
      <c r="L433" s="97"/>
      <c r="M433" s="97"/>
      <c r="N433" s="97"/>
      <c r="O433" s="97"/>
      <c r="P433" s="97"/>
      <c r="Q433" s="97"/>
      <c r="R433" s="97"/>
    </row>
    <row r="434" spans="1:18">
      <c r="A434" s="97"/>
      <c r="B434" s="97"/>
      <c r="C434" s="97"/>
      <c r="D434" s="97"/>
      <c r="E434" s="97"/>
      <c r="F434" s="97"/>
      <c r="G434" s="97"/>
      <c r="H434" s="97"/>
      <c r="I434" s="97"/>
      <c r="J434" s="97"/>
      <c r="K434" s="97"/>
      <c r="L434" s="97"/>
      <c r="M434" s="97"/>
      <c r="N434" s="97"/>
      <c r="O434" s="97"/>
      <c r="P434" s="97"/>
      <c r="Q434" s="97"/>
      <c r="R434" s="97"/>
    </row>
    <row r="435" spans="1:18">
      <c r="A435" s="97"/>
      <c r="B435" s="97"/>
      <c r="C435" s="97"/>
      <c r="D435" s="97"/>
      <c r="E435" s="97"/>
      <c r="F435" s="97"/>
      <c r="G435" s="97"/>
      <c r="H435" s="97"/>
      <c r="I435" s="97"/>
      <c r="J435" s="97"/>
      <c r="K435" s="97"/>
      <c r="L435" s="97"/>
      <c r="M435" s="97"/>
      <c r="N435" s="97"/>
      <c r="O435" s="97"/>
      <c r="P435" s="97"/>
      <c r="Q435" s="97"/>
      <c r="R435" s="97"/>
    </row>
    <row r="436" spans="1:18">
      <c r="A436" s="97"/>
      <c r="B436" s="97"/>
      <c r="C436" s="97"/>
      <c r="D436" s="97"/>
      <c r="E436" s="97"/>
      <c r="F436" s="97"/>
      <c r="G436" s="97"/>
      <c r="H436" s="97"/>
      <c r="I436" s="97"/>
      <c r="J436" s="97"/>
      <c r="K436" s="97"/>
      <c r="L436" s="97"/>
      <c r="M436" s="97"/>
      <c r="N436" s="97"/>
      <c r="O436" s="97"/>
      <c r="P436" s="97"/>
      <c r="Q436" s="97"/>
      <c r="R436" s="97"/>
    </row>
    <row r="437" spans="1:18">
      <c r="A437" s="97"/>
      <c r="B437" s="97"/>
      <c r="C437" s="97"/>
      <c r="D437" s="97"/>
      <c r="E437" s="97"/>
      <c r="F437" s="97"/>
      <c r="G437" s="97"/>
      <c r="H437" s="97"/>
      <c r="I437" s="97"/>
      <c r="J437" s="97"/>
      <c r="K437" s="97"/>
      <c r="L437" s="97"/>
      <c r="M437" s="97"/>
      <c r="N437" s="97"/>
      <c r="O437" s="97"/>
      <c r="P437" s="97"/>
      <c r="Q437" s="97"/>
      <c r="R437" s="97"/>
    </row>
    <row r="438" spans="1:18">
      <c r="A438" s="97"/>
      <c r="B438" s="97"/>
      <c r="C438" s="97"/>
      <c r="D438" s="97"/>
      <c r="E438" s="97"/>
      <c r="F438" s="97"/>
      <c r="G438" s="97"/>
      <c r="H438" s="97"/>
      <c r="I438" s="97"/>
      <c r="J438" s="97"/>
      <c r="K438" s="97"/>
      <c r="L438" s="97"/>
      <c r="M438" s="97"/>
      <c r="N438" s="97"/>
      <c r="O438" s="97"/>
      <c r="P438" s="97"/>
      <c r="Q438" s="97"/>
      <c r="R438" s="97"/>
    </row>
    <row r="439" spans="1:18">
      <c r="A439" s="97"/>
      <c r="B439" s="97"/>
      <c r="C439" s="97"/>
      <c r="D439" s="97"/>
      <c r="E439" s="97"/>
      <c r="F439" s="97"/>
      <c r="G439" s="97"/>
      <c r="H439" s="97"/>
      <c r="I439" s="97"/>
      <c r="J439" s="97"/>
      <c r="K439" s="97"/>
      <c r="L439" s="97"/>
      <c r="M439" s="97"/>
      <c r="N439" s="97"/>
      <c r="O439" s="97"/>
      <c r="P439" s="97"/>
      <c r="Q439" s="97"/>
      <c r="R439" s="97"/>
    </row>
    <row r="440" spans="1:18">
      <c r="A440" s="97"/>
      <c r="B440" s="97"/>
      <c r="C440" s="97"/>
      <c r="D440" s="97"/>
      <c r="E440" s="97"/>
      <c r="F440" s="97"/>
      <c r="G440" s="97"/>
      <c r="H440" s="97"/>
      <c r="I440" s="97"/>
      <c r="J440" s="97"/>
      <c r="K440" s="97"/>
      <c r="L440" s="97"/>
      <c r="M440" s="97"/>
      <c r="N440" s="97"/>
      <c r="O440" s="97"/>
      <c r="P440" s="97"/>
      <c r="Q440" s="97"/>
      <c r="R440" s="97"/>
    </row>
    <row r="441" spans="1:18">
      <c r="A441" s="97"/>
      <c r="B441" s="97"/>
      <c r="C441" s="97"/>
      <c r="D441" s="97"/>
      <c r="E441" s="97"/>
      <c r="F441" s="97"/>
      <c r="G441" s="97"/>
      <c r="H441" s="97"/>
      <c r="I441" s="97"/>
      <c r="J441" s="97"/>
      <c r="K441" s="97"/>
      <c r="L441" s="97"/>
      <c r="M441" s="97"/>
      <c r="N441" s="97"/>
      <c r="O441" s="97"/>
      <c r="P441" s="97"/>
      <c r="Q441" s="97"/>
      <c r="R441" s="97"/>
    </row>
  </sheetData>
  <mergeCells count="151">
    <mergeCell ref="B75:T75"/>
    <mergeCell ref="B87:T87"/>
    <mergeCell ref="A16:T16"/>
    <mergeCell ref="A56:T56"/>
    <mergeCell ref="B72:T72"/>
    <mergeCell ref="B78:T78"/>
    <mergeCell ref="B79:T79"/>
    <mergeCell ref="A6:T6"/>
    <mergeCell ref="A7:T7"/>
    <mergeCell ref="A8:T8"/>
    <mergeCell ref="A9:T9"/>
    <mergeCell ref="A14:T14"/>
    <mergeCell ref="A15:T15"/>
    <mergeCell ref="O38:R38"/>
    <mergeCell ref="T27:T40"/>
    <mergeCell ref="B94:T94"/>
    <mergeCell ref="B95:T95"/>
    <mergeCell ref="B96:H96"/>
    <mergeCell ref="I96:K96"/>
    <mergeCell ref="L96:N96"/>
    <mergeCell ref="O96:Q96"/>
    <mergeCell ref="R96:T96"/>
    <mergeCell ref="B80:T80"/>
    <mergeCell ref="B83:T83"/>
    <mergeCell ref="B86:T86"/>
    <mergeCell ref="B92:T92"/>
    <mergeCell ref="B93:T93"/>
    <mergeCell ref="B97:H97"/>
    <mergeCell ref="I97:K97"/>
    <mergeCell ref="L97:N97"/>
    <mergeCell ref="O97:Q97"/>
    <mergeCell ref="R97:T97"/>
    <mergeCell ref="B98:H98"/>
    <mergeCell ref="I98:K98"/>
    <mergeCell ref="L98:N98"/>
    <mergeCell ref="O98:Q98"/>
    <mergeCell ref="R98:T98"/>
    <mergeCell ref="B106:D106"/>
    <mergeCell ref="E106:F106"/>
    <mergeCell ref="H106:I106"/>
    <mergeCell ref="J106:T106"/>
    <mergeCell ref="B107:G107"/>
    <mergeCell ref="B108:T108"/>
    <mergeCell ref="B99:H99"/>
    <mergeCell ref="I99:K99"/>
    <mergeCell ref="L99:N99"/>
    <mergeCell ref="O99:Q99"/>
    <mergeCell ref="R99:T99"/>
    <mergeCell ref="B100:H100"/>
    <mergeCell ref="I100:K100"/>
    <mergeCell ref="L100:N100"/>
    <mergeCell ref="O100:Q100"/>
    <mergeCell ref="R100:T100"/>
    <mergeCell ref="B113:T113"/>
    <mergeCell ref="B116:T116"/>
    <mergeCell ref="B120:T120"/>
    <mergeCell ref="B121:T121"/>
    <mergeCell ref="B125:H125"/>
    <mergeCell ref="I125:K125"/>
    <mergeCell ref="L125:N125"/>
    <mergeCell ref="O125:Q125"/>
    <mergeCell ref="R125:T125"/>
    <mergeCell ref="B126:H126"/>
    <mergeCell ref="I126:K126"/>
    <mergeCell ref="L126:N126"/>
    <mergeCell ref="O126:Q126"/>
    <mergeCell ref="R126:T126"/>
    <mergeCell ref="B127:H127"/>
    <mergeCell ref="I127:K127"/>
    <mergeCell ref="L127:N127"/>
    <mergeCell ref="O127:Q127"/>
    <mergeCell ref="R127:T127"/>
    <mergeCell ref="B128:H128"/>
    <mergeCell ref="I128:K128"/>
    <mergeCell ref="L128:N128"/>
    <mergeCell ref="O128:Q128"/>
    <mergeCell ref="R128:T128"/>
    <mergeCell ref="B129:H129"/>
    <mergeCell ref="I129:K129"/>
    <mergeCell ref="L129:N129"/>
    <mergeCell ref="O129:Q129"/>
    <mergeCell ref="R129:T129"/>
    <mergeCell ref="C237:F237"/>
    <mergeCell ref="G237:J237"/>
    <mergeCell ref="K237:N237"/>
    <mergeCell ref="O237:R237"/>
    <mergeCell ref="B133:T133"/>
    <mergeCell ref="B137:T137"/>
    <mergeCell ref="B142:T142"/>
    <mergeCell ref="A211:T211"/>
    <mergeCell ref="G223:T223"/>
    <mergeCell ref="C231:F231"/>
    <mergeCell ref="G231:J231"/>
    <mergeCell ref="K231:N231"/>
    <mergeCell ref="O231:R231"/>
    <mergeCell ref="I191:L191"/>
    <mergeCell ref="M191:P191"/>
    <mergeCell ref="Q191:T191"/>
    <mergeCell ref="A190:D190"/>
    <mergeCell ref="E190:H190"/>
    <mergeCell ref="I190:L190"/>
    <mergeCell ref="M190:P190"/>
    <mergeCell ref="Q190:T190"/>
    <mergeCell ref="F318:T318"/>
    <mergeCell ref="A167:T167"/>
    <mergeCell ref="G169:S169"/>
    <mergeCell ref="A189:D189"/>
    <mergeCell ref="E189:H189"/>
    <mergeCell ref="I189:L189"/>
    <mergeCell ref="M189:P189"/>
    <mergeCell ref="Q189:T189"/>
    <mergeCell ref="A191:D191"/>
    <mergeCell ref="E191:H191"/>
    <mergeCell ref="F312:T312"/>
    <mergeCell ref="F313:T313"/>
    <mergeCell ref="F314:T314"/>
    <mergeCell ref="F315:T315"/>
    <mergeCell ref="C241:F241"/>
    <mergeCell ref="G241:J241"/>
    <mergeCell ref="K241:N241"/>
    <mergeCell ref="O241:R241"/>
    <mergeCell ref="F316:T316"/>
    <mergeCell ref="F317:T317"/>
    <mergeCell ref="F310:T310"/>
    <mergeCell ref="C239:F239"/>
    <mergeCell ref="G239:J239"/>
    <mergeCell ref="O233:R233"/>
    <mergeCell ref="B288:N288"/>
    <mergeCell ref="F319:T319"/>
    <mergeCell ref="C232:F232"/>
    <mergeCell ref="G232:J232"/>
    <mergeCell ref="K232:N232"/>
    <mergeCell ref="O232:R232"/>
    <mergeCell ref="C238:F238"/>
    <mergeCell ref="G238:J238"/>
    <mergeCell ref="K238:N238"/>
    <mergeCell ref="O238:R238"/>
    <mergeCell ref="K239:N239"/>
    <mergeCell ref="O239:R239"/>
    <mergeCell ref="C240:F240"/>
    <mergeCell ref="G240:J240"/>
    <mergeCell ref="K240:N240"/>
    <mergeCell ref="O240:R240"/>
    <mergeCell ref="B284:T284"/>
    <mergeCell ref="B291:T291"/>
    <mergeCell ref="A301:T301"/>
    <mergeCell ref="A303:T303"/>
    <mergeCell ref="A305:T305"/>
    <mergeCell ref="C233:F233"/>
    <mergeCell ref="G233:J233"/>
    <mergeCell ref="K233:N233"/>
  </mergeCells>
  <pageMargins left="0.62992125984251968" right="0.62992125984251968" top="0.35433070866141736" bottom="0.35433070866141736" header="0.31496062992125984" footer="0.31496062992125984"/>
  <pageSetup paperSize="9" orientation="portrait" r:id="rId1"/>
  <drawing r:id="rId2"/>
  <legacyDrawing r:id="rId3"/>
  <oleObjects>
    <mc:AlternateContent xmlns:mc="http://schemas.openxmlformats.org/markup-compatibility/2006">
      <mc:Choice Requires="x14">
        <oleObject progId="Equation.3" shapeId="13413377" r:id="rId4">
          <objectPr defaultSize="0" autoPict="0" r:id="rId5">
            <anchor moveWithCells="1" sizeWithCells="1">
              <from>
                <xdr:col>6</xdr:col>
                <xdr:colOff>47625</xdr:colOff>
                <xdr:row>102</xdr:row>
                <xdr:rowOff>85725</xdr:rowOff>
              </from>
              <to>
                <xdr:col>12</xdr:col>
                <xdr:colOff>104775</xdr:colOff>
                <xdr:row>104</xdr:row>
                <xdr:rowOff>152400</xdr:rowOff>
              </to>
            </anchor>
          </objectPr>
        </oleObject>
      </mc:Choice>
      <mc:Fallback>
        <oleObject progId="Equation.3" shapeId="13413377" r:id="rId4"/>
      </mc:Fallback>
    </mc:AlternateContent>
    <mc:AlternateContent xmlns:mc="http://schemas.openxmlformats.org/markup-compatibility/2006">
      <mc:Choice Requires="x14">
        <oleObject progId="Equation.3" shapeId="13413378" r:id="rId6">
          <objectPr defaultSize="0" autoPict="0" r:id="rId7">
            <anchor moveWithCells="1" sizeWithCells="1">
              <from>
                <xdr:col>7</xdr:col>
                <xdr:colOff>142875</xdr:colOff>
                <xdr:row>116</xdr:row>
                <xdr:rowOff>9525</xdr:rowOff>
              </from>
              <to>
                <xdr:col>11</xdr:col>
                <xdr:colOff>180975</xdr:colOff>
                <xdr:row>118</xdr:row>
                <xdr:rowOff>114300</xdr:rowOff>
              </to>
            </anchor>
          </objectPr>
        </oleObject>
      </mc:Choice>
      <mc:Fallback>
        <oleObject progId="Equation.3" shapeId="13413378" r:id="rId6"/>
      </mc:Fallback>
    </mc:AlternateContent>
    <mc:AlternateContent xmlns:mc="http://schemas.openxmlformats.org/markup-compatibility/2006">
      <mc:Choice Requires="x14">
        <oleObject progId="Equation.3" shapeId="13413379" r:id="rId8">
          <objectPr defaultSize="0" autoPict="0" r:id="rId9">
            <anchor moveWithCells="1" sizeWithCells="1">
              <from>
                <xdr:col>6</xdr:col>
                <xdr:colOff>85725</xdr:colOff>
                <xdr:row>108</xdr:row>
                <xdr:rowOff>28575</xdr:rowOff>
              </from>
              <to>
                <xdr:col>12</xdr:col>
                <xdr:colOff>133350</xdr:colOff>
                <xdr:row>110</xdr:row>
                <xdr:rowOff>161925</xdr:rowOff>
              </to>
            </anchor>
          </objectPr>
        </oleObject>
      </mc:Choice>
      <mc:Fallback>
        <oleObject progId="Equation.3" shapeId="13413379" r:id="rId8"/>
      </mc:Fallback>
    </mc:AlternateContent>
  </oleObjec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1"/>
  <dimension ref="A1:AC394"/>
  <sheetViews>
    <sheetView zoomScaleNormal="100" workbookViewId="0">
      <selection activeCell="AD34" sqref="AD34"/>
    </sheetView>
  </sheetViews>
  <sheetFormatPr defaultRowHeight="12.75"/>
  <cols>
    <col min="1" max="21" width="4.42578125" customWidth="1"/>
    <col min="22" max="24" width="5" customWidth="1"/>
    <col min="25" max="25" width="10.7109375" customWidth="1"/>
  </cols>
  <sheetData>
    <row r="1" spans="1:22" ht="12" customHeight="1"/>
    <row r="5" spans="1:22">
      <c r="V5" s="358"/>
    </row>
    <row r="6" spans="1:22" ht="12.75" customHeight="1">
      <c r="A6" s="1109" t="s">
        <v>1173</v>
      </c>
      <c r="B6" s="1109"/>
      <c r="C6" s="1109"/>
      <c r="D6" s="1109"/>
      <c r="E6" s="1109"/>
      <c r="F6" s="1109"/>
      <c r="G6" s="1109"/>
      <c r="H6" s="1109"/>
      <c r="I6" s="1109"/>
      <c r="J6" s="1109"/>
      <c r="K6" s="1109"/>
      <c r="L6" s="1109"/>
      <c r="M6" s="1109"/>
      <c r="N6" s="1109"/>
      <c r="O6" s="1109"/>
      <c r="P6" s="1109"/>
      <c r="Q6" s="1109"/>
      <c r="R6" s="1109"/>
      <c r="S6" s="1109"/>
      <c r="T6" s="1109"/>
    </row>
    <row r="7" spans="1:22">
      <c r="A7" s="1110" t="s">
        <v>340</v>
      </c>
      <c r="B7" s="1110"/>
      <c r="C7" s="1110"/>
      <c r="D7" s="1110"/>
      <c r="E7" s="1110"/>
      <c r="F7" s="1110"/>
      <c r="G7" s="1110"/>
      <c r="H7" s="1110"/>
      <c r="I7" s="1110"/>
      <c r="J7" s="1110"/>
      <c r="K7" s="1110"/>
      <c r="L7" s="1110"/>
      <c r="M7" s="1110"/>
      <c r="N7" s="1110"/>
      <c r="O7" s="1110"/>
      <c r="P7" s="1110"/>
      <c r="Q7" s="1110"/>
      <c r="R7" s="1110"/>
      <c r="S7" s="1110"/>
      <c r="T7" s="1110"/>
    </row>
    <row r="8" spans="1:22">
      <c r="A8" s="1111" t="s">
        <v>341</v>
      </c>
      <c r="B8" s="1111"/>
      <c r="C8" s="1111"/>
      <c r="D8" s="1111"/>
      <c r="E8" s="1111"/>
      <c r="F8" s="1111"/>
      <c r="G8" s="1111"/>
      <c r="H8" s="1111"/>
      <c r="I8" s="1111"/>
      <c r="J8" s="1111"/>
      <c r="K8" s="1111"/>
      <c r="L8" s="1111"/>
      <c r="M8" s="1111"/>
      <c r="N8" s="1111"/>
      <c r="O8" s="1111"/>
      <c r="P8" s="1111"/>
      <c r="Q8" s="1111"/>
      <c r="R8" s="1111"/>
      <c r="S8" s="1111"/>
      <c r="T8" s="1111"/>
    </row>
    <row r="9" spans="1:22" ht="21.75" customHeight="1">
      <c r="A9" s="1112" t="s">
        <v>1175</v>
      </c>
      <c r="B9" s="1113"/>
      <c r="C9" s="1113"/>
      <c r="D9" s="1113"/>
      <c r="E9" s="1113"/>
      <c r="F9" s="1113"/>
      <c r="G9" s="1113"/>
      <c r="H9" s="1113"/>
      <c r="I9" s="1113"/>
      <c r="J9" s="1113"/>
      <c r="K9" s="1113"/>
      <c r="L9" s="1113"/>
      <c r="M9" s="1113"/>
      <c r="N9" s="1113"/>
      <c r="O9" s="1113"/>
      <c r="P9" s="1113"/>
      <c r="Q9" s="1113"/>
      <c r="R9" s="1113"/>
      <c r="S9" s="1113"/>
      <c r="T9" s="1113"/>
    </row>
    <row r="10" spans="1:22" ht="22.5" customHeight="1">
      <c r="A10" s="91"/>
      <c r="B10" s="91"/>
      <c r="C10" s="91"/>
      <c r="D10" s="91"/>
      <c r="E10" s="91"/>
      <c r="F10" s="91"/>
      <c r="G10" s="91"/>
      <c r="H10" s="91"/>
      <c r="I10" s="91"/>
      <c r="J10" s="92"/>
      <c r="K10" s="93"/>
      <c r="L10" s="91"/>
      <c r="M10" s="91"/>
      <c r="N10" s="94"/>
      <c r="O10" s="91"/>
      <c r="P10" s="91"/>
      <c r="T10" s="220" t="s">
        <v>648</v>
      </c>
    </row>
    <row r="11" spans="1:22" ht="15.75">
      <c r="A11" s="91"/>
      <c r="B11" s="91"/>
      <c r="C11" s="91"/>
      <c r="D11" s="91"/>
      <c r="E11" s="91"/>
      <c r="F11" s="91"/>
      <c r="G11" s="91"/>
      <c r="H11" s="91"/>
      <c r="I11" s="91"/>
      <c r="J11" s="91"/>
      <c r="K11" s="91"/>
      <c r="L11" s="91"/>
      <c r="M11" s="91"/>
      <c r="N11" s="94"/>
      <c r="O11" s="91"/>
      <c r="P11" s="91"/>
      <c r="T11" s="220" t="str">
        <f>Client!B4</f>
        <v>None</v>
      </c>
    </row>
    <row r="12" spans="1:22" ht="15.75">
      <c r="A12" s="91"/>
      <c r="B12" s="91"/>
      <c r="C12" s="91"/>
      <c r="D12" s="91"/>
      <c r="E12" s="91"/>
      <c r="F12" s="91"/>
      <c r="G12" s="91"/>
      <c r="H12" s="91"/>
      <c r="I12" s="91"/>
      <c r="J12" s="91"/>
      <c r="K12" s="91"/>
      <c r="L12" s="91"/>
      <c r="M12" s="91"/>
      <c r="N12" s="91"/>
      <c r="O12" s="91"/>
      <c r="P12" s="91"/>
      <c r="Q12" s="91"/>
      <c r="R12" s="96"/>
      <c r="S12" s="96"/>
      <c r="T12" s="95" t="str">
        <f>Client!B5&amp;"/"&amp;TEXT(Client!B89,"00")</f>
        <v>CAL11957/02</v>
      </c>
    </row>
    <row r="13" spans="1:22" ht="15">
      <c r="A13" s="91"/>
      <c r="B13" s="91"/>
      <c r="C13" s="91"/>
      <c r="D13" s="91"/>
      <c r="E13" s="91"/>
      <c r="F13" s="91"/>
      <c r="G13" s="91"/>
      <c r="H13" s="91"/>
      <c r="I13" s="91"/>
      <c r="J13" s="91"/>
      <c r="K13" s="91"/>
      <c r="L13" s="91"/>
      <c r="M13" s="91"/>
      <c r="N13" s="91"/>
      <c r="O13" s="91"/>
      <c r="P13" s="91"/>
      <c r="Q13" s="91"/>
      <c r="R13" s="96"/>
      <c r="S13" s="96"/>
    </row>
    <row r="14" spans="1:22" ht="18.75">
      <c r="A14" s="1114" t="s">
        <v>342</v>
      </c>
      <c r="B14" s="1114"/>
      <c r="C14" s="1114"/>
      <c r="D14" s="1114"/>
      <c r="E14" s="1114"/>
      <c r="F14" s="1114"/>
      <c r="G14" s="1114"/>
      <c r="H14" s="1114"/>
      <c r="I14" s="1114"/>
      <c r="J14" s="1114"/>
      <c r="K14" s="1114"/>
      <c r="L14" s="1114"/>
      <c r="M14" s="1114"/>
      <c r="N14" s="1114"/>
      <c r="O14" s="1114"/>
      <c r="P14" s="1114"/>
      <c r="Q14" s="1114"/>
      <c r="R14" s="1114"/>
      <c r="S14" s="1114"/>
      <c r="T14" s="1114"/>
    </row>
    <row r="15" spans="1:22" ht="15" customHeight="1">
      <c r="A15" s="1142" t="s">
        <v>1310</v>
      </c>
      <c r="B15" s="1142"/>
      <c r="C15" s="1142"/>
      <c r="D15" s="1142"/>
      <c r="E15" s="1142"/>
      <c r="F15" s="1142"/>
      <c r="G15" s="1142"/>
      <c r="H15" s="1142"/>
      <c r="I15" s="1142"/>
      <c r="J15" s="1142"/>
      <c r="K15" s="1142"/>
      <c r="L15" s="1142"/>
      <c r="M15" s="1142"/>
      <c r="N15" s="1142"/>
      <c r="O15" s="1142"/>
      <c r="P15" s="1142"/>
      <c r="Q15" s="1142"/>
      <c r="R15" s="1142"/>
      <c r="S15" s="1142"/>
      <c r="T15" s="1142"/>
    </row>
    <row r="16" spans="1:22" ht="15" customHeight="1">
      <c r="A16" s="1441" t="s">
        <v>726</v>
      </c>
      <c r="B16" s="1142"/>
      <c r="C16" s="1142"/>
      <c r="D16" s="1142"/>
      <c r="E16" s="1142"/>
      <c r="F16" s="1142"/>
      <c r="G16" s="1142"/>
      <c r="H16" s="1142"/>
      <c r="I16" s="1142"/>
      <c r="J16" s="1142"/>
      <c r="K16" s="1142"/>
      <c r="L16" s="1142"/>
      <c r="M16" s="1142"/>
      <c r="N16" s="1142"/>
      <c r="O16" s="1142"/>
      <c r="P16" s="1142"/>
      <c r="Q16" s="1142"/>
      <c r="R16" s="1142"/>
      <c r="S16" s="1142"/>
      <c r="T16" s="1142"/>
    </row>
    <row r="17" spans="1:20" ht="15" customHeight="1"/>
    <row r="18" spans="1:20" ht="15">
      <c r="A18" s="91"/>
      <c r="B18" s="91"/>
      <c r="C18" s="91"/>
      <c r="D18" s="91"/>
      <c r="E18" s="91"/>
      <c r="F18" s="91"/>
      <c r="G18" s="91"/>
      <c r="H18" s="91"/>
      <c r="I18" s="91"/>
      <c r="J18" s="91"/>
      <c r="K18" s="91"/>
      <c r="L18" s="91"/>
      <c r="M18" s="91"/>
      <c r="N18" s="91"/>
      <c r="O18" s="91"/>
      <c r="P18" s="91"/>
      <c r="Q18" s="91"/>
      <c r="R18" s="96"/>
      <c r="S18" s="96"/>
    </row>
    <row r="19" spans="1:20" ht="15.75">
      <c r="A19" s="98" t="s">
        <v>2</v>
      </c>
      <c r="B19" s="99"/>
      <c r="C19" s="99"/>
      <c r="D19" s="99"/>
      <c r="E19" s="99"/>
      <c r="F19" s="99"/>
      <c r="G19" s="100" t="str">
        <f>Client!B6</f>
        <v>De-identified for distribution</v>
      </c>
      <c r="H19" s="99"/>
      <c r="I19" s="99"/>
      <c r="J19" s="99"/>
      <c r="K19" s="99"/>
      <c r="L19" s="99"/>
      <c r="M19" s="99"/>
      <c r="N19" s="99"/>
      <c r="O19" s="99"/>
      <c r="P19" s="99"/>
      <c r="Q19" s="91"/>
      <c r="R19" s="96"/>
      <c r="S19" s="96"/>
    </row>
    <row r="20" spans="1:20" ht="15.75">
      <c r="A20" s="98"/>
      <c r="B20" s="99"/>
      <c r="C20" s="99"/>
      <c r="D20" s="99"/>
      <c r="E20" s="99"/>
      <c r="F20" s="99"/>
      <c r="G20" s="100" t="str">
        <f>Client!B7</f>
        <v>100 Street Name</v>
      </c>
      <c r="H20" s="99"/>
      <c r="I20" s="99"/>
      <c r="J20" s="99"/>
      <c r="K20" s="99"/>
      <c r="L20" s="99"/>
      <c r="M20" s="99"/>
      <c r="N20" s="99"/>
      <c r="O20" s="99"/>
      <c r="P20" s="99"/>
      <c r="Q20" s="91"/>
      <c r="R20" s="96"/>
      <c r="S20" s="96"/>
    </row>
    <row r="21" spans="1:20" ht="15.75">
      <c r="A21" s="98"/>
      <c r="B21" s="99"/>
      <c r="C21" s="99"/>
      <c r="D21" s="99"/>
      <c r="E21" s="99"/>
      <c r="F21" s="99"/>
      <c r="G21" s="100" t="str">
        <f>Client!B8</f>
        <v>Suburb 2000 NSW</v>
      </c>
      <c r="H21" s="99"/>
      <c r="I21" s="99"/>
      <c r="J21" s="99"/>
      <c r="K21" s="99"/>
      <c r="L21" s="99"/>
      <c r="M21" s="99"/>
      <c r="N21" s="99"/>
      <c r="O21" s="99"/>
      <c r="P21" s="99"/>
      <c r="Q21" s="91"/>
      <c r="R21" s="96"/>
      <c r="S21" s="96"/>
    </row>
    <row r="22" spans="1:20" ht="15.75">
      <c r="A22" s="98"/>
      <c r="B22" s="99"/>
      <c r="C22" s="99"/>
      <c r="D22" s="99"/>
      <c r="E22" s="99"/>
      <c r="F22" s="99"/>
      <c r="G22" s="100">
        <f>Client!B9</f>
        <v>0</v>
      </c>
      <c r="H22" s="99"/>
      <c r="I22" s="99"/>
      <c r="J22" s="99"/>
      <c r="K22" s="99"/>
      <c r="L22" s="99"/>
      <c r="M22" s="99"/>
      <c r="N22" s="99"/>
      <c r="O22" s="99"/>
      <c r="P22" s="99"/>
      <c r="Q22" s="91"/>
      <c r="R22" s="96"/>
      <c r="S22" s="96"/>
    </row>
    <row r="23" spans="1:20" ht="15.75">
      <c r="A23" s="98"/>
      <c r="B23" s="99"/>
      <c r="C23" s="99"/>
      <c r="D23" s="99"/>
      <c r="E23" s="99"/>
      <c r="F23" s="99"/>
      <c r="G23" s="99"/>
      <c r="H23" s="99"/>
      <c r="I23" s="99"/>
      <c r="J23" s="99"/>
      <c r="K23" s="99"/>
      <c r="L23" s="99"/>
      <c r="M23" s="99"/>
      <c r="N23" s="99"/>
      <c r="O23" s="99"/>
      <c r="P23" s="99"/>
      <c r="Q23" s="91"/>
      <c r="R23" s="96"/>
      <c r="S23" s="96"/>
    </row>
    <row r="24" spans="1:20" ht="15.75">
      <c r="A24" s="98" t="s">
        <v>1311</v>
      </c>
      <c r="B24" s="99"/>
      <c r="C24" s="99"/>
      <c r="D24" s="99"/>
      <c r="E24" s="99"/>
      <c r="F24" s="99"/>
      <c r="G24" s="99" t="str">
        <f>Client!B29&amp;", serial number " &amp;Client!B30</f>
        <v>IBA FC65-G, serial number 457</v>
      </c>
      <c r="H24" s="99"/>
      <c r="I24" s="99"/>
      <c r="J24" s="99"/>
      <c r="K24" s="99"/>
      <c r="L24" s="99"/>
      <c r="M24" s="99"/>
      <c r="N24" s="99"/>
      <c r="O24" s="99"/>
      <c r="P24" s="99"/>
      <c r="Q24" s="91"/>
      <c r="R24" s="96"/>
      <c r="S24" s="96"/>
    </row>
    <row r="25" spans="1:20" ht="15.75">
      <c r="A25" s="98"/>
      <c r="B25" s="99"/>
      <c r="C25" s="99"/>
      <c r="D25" s="99"/>
      <c r="E25" s="99"/>
      <c r="F25" s="99"/>
      <c r="G25" s="99"/>
      <c r="H25" s="99"/>
      <c r="I25" s="99"/>
      <c r="J25" s="99"/>
      <c r="K25" s="99"/>
      <c r="L25" s="99"/>
      <c r="M25" s="99"/>
      <c r="N25" s="99"/>
      <c r="O25" s="99"/>
      <c r="P25" s="99"/>
      <c r="Q25" s="91"/>
      <c r="R25" s="96"/>
      <c r="S25" s="96"/>
    </row>
    <row r="26" spans="1:20" ht="15.75">
      <c r="A26" s="98" t="s">
        <v>334</v>
      </c>
      <c r="B26" s="99"/>
      <c r="C26" s="99"/>
      <c r="D26" s="99"/>
      <c r="E26" s="99"/>
      <c r="F26" s="99"/>
      <c r="G26" s="99" t="str" cm="1">
        <f t="array" ref="G26">make_Date_range(Client!K91,Client!L91)</f>
        <v>30 December 1899</v>
      </c>
      <c r="H26" s="99"/>
      <c r="I26" s="99"/>
      <c r="J26" s="99"/>
      <c r="K26" s="99"/>
      <c r="L26" s="99"/>
      <c r="M26" s="99"/>
      <c r="N26" s="99"/>
      <c r="O26" s="99"/>
      <c r="P26" s="99"/>
      <c r="Q26" s="91"/>
      <c r="R26" s="96"/>
      <c r="S26" s="96"/>
    </row>
    <row r="27" spans="1:20" ht="15.75">
      <c r="A27" s="98"/>
      <c r="B27" s="99"/>
      <c r="C27" s="99"/>
      <c r="D27" s="99"/>
      <c r="E27" s="99"/>
      <c r="F27" s="99"/>
      <c r="G27" s="99"/>
      <c r="H27" s="99"/>
      <c r="I27" s="99"/>
      <c r="J27" s="99"/>
      <c r="K27" s="99"/>
      <c r="L27" s="99"/>
      <c r="M27" s="99"/>
      <c r="N27" s="99"/>
      <c r="O27" s="99"/>
      <c r="P27" s="99"/>
      <c r="Q27" s="91"/>
      <c r="R27" s="96"/>
      <c r="S27" s="96"/>
      <c r="T27" s="1147" t="str">
        <f>Intro!D4&amp;" "&amp;Intro!D5</f>
        <v>IRC-FORM-2100J (ARPANSA-FORM-1856) 23-Production</v>
      </c>
    </row>
    <row r="28" spans="1:20" ht="15.75" customHeight="1">
      <c r="A28" s="98" t="s">
        <v>71</v>
      </c>
      <c r="B28" s="99"/>
      <c r="C28" s="99"/>
      <c r="D28" s="99"/>
      <c r="E28" s="99"/>
      <c r="F28" s="99"/>
      <c r="G28" s="100">
        <f xml:space="preserve"> Client!B92</f>
        <v>0</v>
      </c>
      <c r="H28" s="99"/>
      <c r="I28" s="99"/>
      <c r="J28" s="97"/>
      <c r="K28" s="99"/>
      <c r="L28" s="99"/>
      <c r="M28" s="99"/>
      <c r="N28" s="99"/>
      <c r="O28" s="99"/>
      <c r="P28" s="99"/>
      <c r="R28" s="96"/>
      <c r="S28" s="96"/>
      <c r="T28" s="1147"/>
    </row>
    <row r="29" spans="1:20" ht="15.75">
      <c r="A29" s="98"/>
      <c r="B29" s="99"/>
      <c r="C29" s="99"/>
      <c r="D29" s="99"/>
      <c r="E29" s="99"/>
      <c r="F29" s="99"/>
      <c r="G29" s="99"/>
      <c r="H29" s="99"/>
      <c r="I29" s="99"/>
      <c r="J29" s="99"/>
      <c r="K29" s="99"/>
      <c r="L29" s="99"/>
      <c r="M29" s="99"/>
      <c r="N29" s="99"/>
      <c r="O29" s="99"/>
      <c r="P29" s="99"/>
      <c r="R29" s="96"/>
      <c r="S29" s="96"/>
      <c r="T29" s="1147"/>
    </row>
    <row r="30" spans="1:20" ht="15.75">
      <c r="A30" s="98" t="str">
        <f>IF(Client!L94,"Test and report by","Test by")</f>
        <v>Test and report by</v>
      </c>
      <c r="B30" s="99"/>
      <c r="C30" s="99"/>
      <c r="D30" s="99"/>
      <c r="E30" s="99"/>
      <c r="F30" s="99"/>
      <c r="G30" s="100">
        <f>Client!B93</f>
        <v>0</v>
      </c>
      <c r="H30" s="99"/>
      <c r="I30" s="99"/>
      <c r="J30" s="99"/>
      <c r="K30" s="99"/>
      <c r="L30" s="99"/>
      <c r="M30" s="99"/>
      <c r="N30" s="99"/>
      <c r="O30" s="99"/>
      <c r="P30" s="99"/>
      <c r="R30" s="96"/>
      <c r="S30" s="96"/>
      <c r="T30" s="1147"/>
    </row>
    <row r="31" spans="1:20" ht="15.75" customHeight="1">
      <c r="A31" s="98" t="str">
        <f>IF(Client!L94,"","Report by")</f>
        <v/>
      </c>
      <c r="B31" s="99"/>
      <c r="C31" s="99"/>
      <c r="D31" s="99"/>
      <c r="E31" s="99"/>
      <c r="F31" s="99"/>
      <c r="G31" s="206" t="str">
        <f>IF(Client!L94,"",Client!B94)</f>
        <v/>
      </c>
      <c r="H31" s="99"/>
      <c r="I31" s="99"/>
      <c r="J31" s="99"/>
      <c r="K31" s="99"/>
      <c r="L31" s="99"/>
      <c r="M31" s="99"/>
      <c r="N31" s="99"/>
      <c r="O31" s="99"/>
      <c r="P31" s="99"/>
      <c r="R31" s="96"/>
      <c r="S31" s="96"/>
      <c r="T31" s="1147"/>
    </row>
    <row r="32" spans="1:20" ht="15.75">
      <c r="A32" s="98" t="s">
        <v>333</v>
      </c>
      <c r="B32" s="99"/>
      <c r="C32" s="99"/>
      <c r="D32" s="99"/>
      <c r="E32" s="99"/>
      <c r="F32" s="99"/>
      <c r="G32" s="99" t="str" cm="1">
        <f t="array" ref="G32">date_to_text(Client!B90)</f>
        <v>0</v>
      </c>
      <c r="H32" s="99"/>
      <c r="I32" s="99"/>
      <c r="J32" s="99"/>
      <c r="K32" s="99"/>
      <c r="L32" s="99"/>
      <c r="M32" s="99"/>
      <c r="N32" s="99"/>
      <c r="O32" s="99"/>
      <c r="P32" s="99"/>
      <c r="R32" s="96"/>
      <c r="S32" s="96"/>
      <c r="T32" s="1147"/>
    </row>
    <row r="33" spans="1:20" ht="15.75">
      <c r="A33" s="98"/>
      <c r="B33" s="99"/>
      <c r="C33" s="99"/>
      <c r="D33" s="99"/>
      <c r="E33" s="99"/>
      <c r="F33" s="99"/>
      <c r="G33" s="99"/>
      <c r="H33" s="99"/>
      <c r="I33" s="99"/>
      <c r="J33" s="99"/>
      <c r="K33" s="99"/>
      <c r="L33" s="99"/>
      <c r="M33" s="99"/>
      <c r="N33" s="99"/>
      <c r="O33" s="99"/>
      <c r="P33" s="99"/>
      <c r="R33" s="96"/>
      <c r="S33" s="96"/>
      <c r="T33" s="1147"/>
    </row>
    <row r="34" spans="1:20" ht="15.75">
      <c r="A34" s="99" t="s">
        <v>343</v>
      </c>
      <c r="B34" s="99"/>
      <c r="C34" s="99"/>
      <c r="D34" s="99"/>
      <c r="E34" s="99"/>
      <c r="F34" s="99"/>
      <c r="G34" s="99" t="s">
        <v>344</v>
      </c>
      <c r="H34" s="99"/>
      <c r="I34" s="99"/>
      <c r="J34" s="99"/>
      <c r="K34" s="99"/>
      <c r="L34" s="99"/>
      <c r="M34" s="99"/>
      <c r="N34" s="99"/>
      <c r="O34" s="99"/>
      <c r="P34" s="99"/>
      <c r="R34" s="96"/>
      <c r="S34" s="96"/>
      <c r="T34" s="1147"/>
    </row>
    <row r="35" spans="1:20" ht="15.75">
      <c r="A35" s="98" t="s">
        <v>345</v>
      </c>
      <c r="B35" s="99"/>
      <c r="C35" s="99"/>
      <c r="D35" s="99"/>
      <c r="E35" s="99"/>
      <c r="F35" s="99"/>
      <c r="G35" s="221" t="s">
        <v>1176</v>
      </c>
      <c r="H35" s="99"/>
      <c r="I35" s="99"/>
      <c r="J35" s="99"/>
      <c r="K35" s="99"/>
      <c r="L35" s="99"/>
      <c r="M35" s="99"/>
      <c r="N35" s="99"/>
      <c r="O35" s="99"/>
      <c r="P35" s="99"/>
      <c r="R35" s="96"/>
      <c r="S35" s="96"/>
      <c r="T35" s="1147"/>
    </row>
    <row r="36" spans="1:20" ht="15.75" customHeight="1">
      <c r="A36" s="99"/>
      <c r="B36" s="99"/>
      <c r="C36" s="99"/>
      <c r="D36" s="99"/>
      <c r="E36" s="99"/>
      <c r="F36" s="99"/>
      <c r="G36" s="99"/>
      <c r="H36" s="99"/>
      <c r="I36" s="99"/>
      <c r="J36" s="99"/>
      <c r="K36" s="99"/>
      <c r="L36" s="99"/>
      <c r="M36" s="99"/>
      <c r="N36" s="99"/>
      <c r="O36" s="99"/>
      <c r="P36" s="99"/>
      <c r="R36" s="96"/>
      <c r="S36" s="96"/>
      <c r="T36" s="1147"/>
    </row>
    <row r="37" spans="1:20" ht="27.75" customHeight="1">
      <c r="A37" s="99"/>
      <c r="B37" s="99"/>
      <c r="C37" s="99"/>
      <c r="D37" s="99"/>
      <c r="E37" s="99"/>
      <c r="F37" s="99"/>
      <c r="G37" s="99"/>
      <c r="H37" s="99"/>
      <c r="I37" s="99"/>
      <c r="J37" s="99"/>
      <c r="K37" s="99"/>
      <c r="L37" s="99"/>
      <c r="M37" s="99"/>
      <c r="N37" s="99"/>
      <c r="O37" s="99"/>
      <c r="P37" s="99"/>
      <c r="Q37" s="91"/>
      <c r="R37" s="96"/>
      <c r="S37" s="96"/>
      <c r="T37" s="1147"/>
    </row>
    <row r="38" spans="1:20" ht="15.75">
      <c r="A38" s="99" t="s">
        <v>346</v>
      </c>
      <c r="B38" s="99"/>
      <c r="C38" s="101"/>
      <c r="D38" s="101"/>
      <c r="E38" s="101"/>
      <c r="F38" s="101"/>
      <c r="G38" s="101"/>
      <c r="H38" s="102" t="s">
        <v>347</v>
      </c>
      <c r="I38" s="99"/>
      <c r="J38" s="99"/>
      <c r="K38" s="99"/>
      <c r="L38" s="99"/>
      <c r="N38" s="95" t="s">
        <v>348</v>
      </c>
      <c r="O38" s="101"/>
      <c r="P38" s="101"/>
      <c r="Q38" s="101"/>
      <c r="S38" s="91"/>
      <c r="T38" s="1147"/>
    </row>
    <row r="39" spans="1:20" ht="15.75">
      <c r="A39" s="99"/>
      <c r="B39" s="99"/>
      <c r="C39" s="99"/>
      <c r="D39" s="99"/>
      <c r="E39" s="99"/>
      <c r="F39" s="99"/>
      <c r="G39" s="99"/>
      <c r="H39" s="99"/>
      <c r="I39" s="99"/>
      <c r="J39" s="99"/>
      <c r="K39" s="99"/>
      <c r="L39" s="99"/>
      <c r="M39" s="99"/>
      <c r="N39" s="99"/>
      <c r="O39" s="99"/>
      <c r="P39" s="99"/>
      <c r="Q39" s="91"/>
      <c r="R39" s="96"/>
      <c r="S39" s="96"/>
      <c r="T39" s="1147"/>
    </row>
    <row r="40" spans="1:20" ht="15.75">
      <c r="A40" s="100">
        <f>Client!B44</f>
        <v>0</v>
      </c>
      <c r="B40" s="99"/>
      <c r="C40" s="99"/>
      <c r="D40" s="99"/>
      <c r="E40" s="99"/>
      <c r="F40" s="99"/>
      <c r="G40" s="99"/>
      <c r="H40" s="99"/>
      <c r="I40" s="99"/>
      <c r="J40" s="99"/>
      <c r="K40" s="99"/>
      <c r="L40" s="99"/>
      <c r="M40" s="99"/>
      <c r="N40" s="99"/>
      <c r="O40" s="99"/>
      <c r="P40" s="99"/>
      <c r="Q40" s="91"/>
      <c r="R40" s="96"/>
      <c r="S40" s="96"/>
      <c r="T40" s="1147"/>
    </row>
    <row r="41" spans="1:20" ht="15.75">
      <c r="A41" s="99" t="s">
        <v>349</v>
      </c>
      <c r="B41" s="99"/>
      <c r="C41" s="99"/>
      <c r="D41" s="99"/>
      <c r="E41" s="99"/>
      <c r="F41" s="99"/>
      <c r="G41" s="99"/>
      <c r="H41" s="99"/>
      <c r="I41" s="99"/>
      <c r="J41" s="99"/>
      <c r="K41" s="99"/>
      <c r="L41" s="99"/>
      <c r="M41" s="99"/>
      <c r="N41" s="99"/>
      <c r="O41" s="99"/>
      <c r="P41" s="99"/>
      <c r="Q41" s="91"/>
      <c r="R41" s="96"/>
      <c r="S41" s="96"/>
    </row>
    <row r="42" spans="1:20" ht="15">
      <c r="A42" s="96"/>
      <c r="B42" s="96"/>
      <c r="C42" s="96"/>
      <c r="D42" s="96"/>
      <c r="E42" s="96"/>
      <c r="F42" s="96"/>
      <c r="G42" s="96"/>
      <c r="H42" s="96"/>
      <c r="I42" s="96"/>
      <c r="J42" s="96"/>
      <c r="K42" s="96"/>
      <c r="L42" s="96"/>
      <c r="M42" s="96"/>
      <c r="N42" s="96"/>
      <c r="O42" s="96"/>
      <c r="P42" s="96"/>
      <c r="Q42" s="96"/>
      <c r="R42" s="96"/>
      <c r="S42" s="96"/>
    </row>
    <row r="45" spans="1:20" ht="15">
      <c r="M45" s="103"/>
    </row>
    <row r="46" spans="1:20" ht="9.9499999999999993" customHeight="1"/>
    <row r="47" spans="1:20" ht="8.1" customHeight="1">
      <c r="N47" s="104"/>
    </row>
    <row r="48" spans="1:20" ht="8.1" customHeight="1">
      <c r="N48" s="104"/>
    </row>
    <row r="49" spans="1:21" ht="8.1" customHeight="1">
      <c r="E49" s="105" t="s">
        <v>1058</v>
      </c>
      <c r="N49" s="104"/>
    </row>
    <row r="50" spans="1:21" ht="8.1" customHeight="1">
      <c r="E50" s="105" t="s">
        <v>353</v>
      </c>
      <c r="N50" s="104"/>
    </row>
    <row r="51" spans="1:21" ht="8.1" customHeight="1">
      <c r="C51" s="105"/>
      <c r="E51" s="105" t="s">
        <v>355</v>
      </c>
      <c r="N51" s="104"/>
    </row>
    <row r="52" spans="1:21" ht="8.1" customHeight="1">
      <c r="E52" s="105" t="s">
        <v>357</v>
      </c>
      <c r="N52" s="104"/>
    </row>
    <row r="53" spans="1:21" ht="13.5" customHeight="1">
      <c r="E53" s="106" t="s">
        <v>1238</v>
      </c>
      <c r="N53" s="107"/>
    </row>
    <row r="54" spans="1:21" ht="22.5" customHeight="1"/>
    <row r="55" spans="1:21">
      <c r="A55" s="420" t="str">
        <f>"Calibration No.: "&amp;$T$12</f>
        <v>Calibration No.: CAL11957/02</v>
      </c>
      <c r="B55" s="421"/>
      <c r="C55" s="421"/>
      <c r="D55" s="421"/>
      <c r="E55" s="421"/>
      <c r="F55" s="421"/>
      <c r="G55" s="421"/>
      <c r="H55" s="421"/>
      <c r="I55" s="422" t="str">
        <f>$G$32</f>
        <v>0</v>
      </c>
      <c r="J55" s="421"/>
      <c r="K55" s="421"/>
      <c r="L55" s="421"/>
      <c r="M55" s="421"/>
      <c r="N55" s="420" t="s">
        <v>360</v>
      </c>
      <c r="O55" s="423"/>
      <c r="P55" s="423"/>
      <c r="Q55" s="423"/>
      <c r="R55" s="423"/>
      <c r="S55" s="423"/>
      <c r="T55" s="423" t="s">
        <v>784</v>
      </c>
      <c r="U55" s="352"/>
    </row>
    <row r="56" spans="1:21">
      <c r="A56" s="119"/>
      <c r="B56" s="120"/>
      <c r="C56" s="120"/>
      <c r="D56" s="120"/>
      <c r="E56" s="120"/>
      <c r="F56" s="120"/>
      <c r="G56" s="120"/>
      <c r="H56" s="120"/>
      <c r="I56" s="121"/>
      <c r="J56" s="120"/>
      <c r="K56" s="120"/>
      <c r="L56" s="120"/>
      <c r="M56" s="120"/>
      <c r="N56" s="122"/>
      <c r="O56" s="123"/>
      <c r="P56" s="123"/>
      <c r="Q56" s="123"/>
      <c r="R56" s="123"/>
      <c r="S56" s="123"/>
      <c r="T56" s="123"/>
    </row>
    <row r="57" spans="1:21" ht="15.75">
      <c r="A57" s="108"/>
      <c r="B57" s="108"/>
      <c r="C57" s="108"/>
      <c r="D57" s="108"/>
      <c r="E57" s="108"/>
      <c r="F57" s="108"/>
      <c r="G57" s="108"/>
      <c r="H57" s="108"/>
      <c r="I57" s="108"/>
      <c r="J57" s="108"/>
      <c r="K57" s="108"/>
      <c r="L57" s="108"/>
      <c r="M57" s="108"/>
      <c r="N57" s="108"/>
      <c r="O57" s="108"/>
      <c r="P57" s="108"/>
      <c r="Q57" s="108"/>
    </row>
    <row r="58" spans="1:21" ht="15.75">
      <c r="A58" s="1144" t="s">
        <v>361</v>
      </c>
      <c r="B58" s="1144"/>
      <c r="C58" s="1144"/>
      <c r="D58" s="1144"/>
      <c r="E58" s="1144"/>
      <c r="F58" s="1144"/>
      <c r="G58" s="1144"/>
      <c r="H58" s="1144"/>
      <c r="I58" s="1144"/>
      <c r="J58" s="1144"/>
      <c r="K58" s="1144"/>
      <c r="L58" s="1144"/>
      <c r="M58" s="1144"/>
      <c r="N58" s="1144"/>
      <c r="O58" s="1144"/>
      <c r="P58" s="1144"/>
      <c r="Q58" s="1144"/>
      <c r="R58" s="1144"/>
      <c r="S58" s="1144"/>
      <c r="T58" s="1144"/>
    </row>
    <row r="59" spans="1:21" ht="15.75">
      <c r="A59" s="109"/>
      <c r="B59" s="109"/>
      <c r="C59" s="109"/>
      <c r="D59" s="109"/>
      <c r="E59" s="109"/>
      <c r="F59" s="109"/>
      <c r="G59" s="109"/>
      <c r="H59" s="109"/>
      <c r="I59" s="109"/>
      <c r="J59" s="109"/>
      <c r="K59" s="109"/>
      <c r="L59" s="109"/>
      <c r="M59" s="109"/>
      <c r="N59" s="109"/>
      <c r="O59" s="108"/>
      <c r="P59" s="108"/>
      <c r="Q59" s="108"/>
    </row>
    <row r="60" spans="1:21" ht="15.75">
      <c r="A60" s="110" t="str">
        <f ca="1">Client!Q2</f>
        <v>Chamber description – IBA FC65-G</v>
      </c>
      <c r="B60" s="109"/>
      <c r="C60" s="109"/>
      <c r="D60" s="109"/>
      <c r="E60" s="109"/>
      <c r="F60" s="109"/>
      <c r="G60" s="109"/>
      <c r="H60" s="109"/>
      <c r="I60" s="109"/>
      <c r="J60" s="109"/>
      <c r="K60" s="109"/>
      <c r="L60" s="109"/>
      <c r="M60" s="109"/>
      <c r="N60" s="109"/>
      <c r="O60" s="108"/>
      <c r="P60" s="108"/>
      <c r="Q60" s="108"/>
    </row>
    <row r="61" spans="1:21" ht="15.75">
      <c r="A61" s="111" t="s">
        <v>362</v>
      </c>
      <c r="B61" s="109" t="str">
        <f ca="1">Client!Q3&amp;Client!Z3</f>
        <v>Farmer-type with graphite walls of nominal thickness 0.073 g/cm².</v>
      </c>
      <c r="C61" s="109"/>
      <c r="D61" s="109"/>
      <c r="E61" s="109"/>
      <c r="F61" s="109"/>
      <c r="G61" s="109"/>
      <c r="H61" s="109"/>
      <c r="I61" s="109"/>
      <c r="J61" s="109"/>
      <c r="K61" s="109"/>
      <c r="L61" s="109"/>
      <c r="M61" s="109"/>
      <c r="N61" s="109"/>
      <c r="O61" s="108"/>
      <c r="P61" s="108"/>
      <c r="Q61" s="108"/>
    </row>
    <row r="62" spans="1:21" ht="15.75">
      <c r="A62" s="111" t="s">
        <v>362</v>
      </c>
      <c r="B62" s="109" t="str">
        <f ca="1">Client!Q4</f>
        <v>The nominal cavity volume is 0.65 cc (length 23.1 mm and radius 3.1 mm).</v>
      </c>
      <c r="C62" s="109"/>
      <c r="D62" s="109"/>
      <c r="E62" s="109"/>
      <c r="F62" s="109"/>
      <c r="G62" s="109"/>
      <c r="H62" s="109"/>
      <c r="I62" s="109"/>
      <c r="J62" s="109"/>
      <c r="K62" s="109"/>
      <c r="L62" s="109"/>
      <c r="M62" s="109"/>
      <c r="N62" s="109"/>
      <c r="O62" s="108"/>
      <c r="P62" s="108"/>
      <c r="Q62" s="108"/>
    </row>
    <row r="63" spans="1:21" ht="15.75">
      <c r="A63" s="111" t="s">
        <v>362</v>
      </c>
      <c r="B63" s="109" t="str">
        <f ca="1">Client!Q5</f>
        <v>The central electrode is aluminium.</v>
      </c>
      <c r="C63" s="109"/>
      <c r="D63" s="109"/>
      <c r="E63" s="109"/>
      <c r="F63" s="109"/>
      <c r="G63" s="109"/>
      <c r="H63" s="109"/>
      <c r="I63" s="109"/>
      <c r="J63" s="109"/>
      <c r="K63" s="109"/>
      <c r="L63" s="109"/>
      <c r="M63" s="109"/>
      <c r="N63" s="109"/>
      <c r="O63" s="108"/>
      <c r="P63" s="108"/>
      <c r="Q63" s="108"/>
    </row>
    <row r="64" spans="1:21" ht="15.75">
      <c r="A64" s="111" t="s">
        <v>362</v>
      </c>
      <c r="B64" s="109" t="str">
        <f ca="1">Client!Q6</f>
        <v>The buildup cap is Delrin.</v>
      </c>
      <c r="C64" s="109"/>
      <c r="D64" s="109"/>
      <c r="E64" s="109"/>
      <c r="F64" s="109"/>
      <c r="G64" s="109"/>
      <c r="H64" s="109"/>
      <c r="I64" s="109"/>
      <c r="J64" s="109"/>
      <c r="K64" s="109"/>
      <c r="L64" s="109"/>
      <c r="M64" s="109"/>
      <c r="N64" s="109"/>
      <c r="O64" s="108"/>
      <c r="P64" s="108"/>
      <c r="Q64" s="108"/>
    </row>
    <row r="65" spans="1:28" ht="15.75">
      <c r="A65" s="111" t="s">
        <v>362</v>
      </c>
      <c r="B65" s="109" t="str">
        <f ca="1">Client!Q7</f>
        <v>The chamber is waterproof.</v>
      </c>
      <c r="C65" s="109"/>
      <c r="D65" s="109"/>
      <c r="E65" s="109"/>
      <c r="F65" s="109"/>
      <c r="G65" s="109"/>
      <c r="H65" s="109"/>
      <c r="I65" s="109"/>
      <c r="J65" s="109"/>
      <c r="K65" s="109"/>
      <c r="L65" s="109"/>
      <c r="M65" s="109"/>
      <c r="N65" s="109"/>
      <c r="O65" s="108"/>
      <c r="P65" s="108"/>
      <c r="Q65" s="108"/>
    </row>
    <row r="66" spans="1:28" ht="15.75">
      <c r="A66" s="109"/>
      <c r="B66" s="109"/>
      <c r="C66" s="109"/>
      <c r="D66" s="109"/>
      <c r="E66" s="109"/>
      <c r="F66" s="109"/>
      <c r="G66" s="109"/>
      <c r="H66" s="109"/>
      <c r="I66" s="109"/>
      <c r="J66" s="109"/>
      <c r="K66" s="109"/>
      <c r="L66" s="109"/>
      <c r="M66" s="109"/>
      <c r="N66" s="109"/>
      <c r="O66" s="108"/>
      <c r="P66" s="108"/>
      <c r="Q66" s="108"/>
    </row>
    <row r="67" spans="1:28" ht="15.75">
      <c r="A67" s="110" t="s">
        <v>363</v>
      </c>
      <c r="B67" s="109"/>
      <c r="C67" s="109"/>
      <c r="D67" s="109"/>
      <c r="E67" s="109"/>
      <c r="F67" s="109"/>
      <c r="G67" s="109"/>
      <c r="H67" s="109"/>
      <c r="I67" s="109"/>
      <c r="J67" s="109"/>
      <c r="K67" s="109"/>
      <c r="L67" s="109"/>
      <c r="M67" s="109"/>
      <c r="N67" s="109"/>
      <c r="O67" s="108"/>
      <c r="P67" s="108"/>
      <c r="Q67" s="108"/>
    </row>
    <row r="68" spans="1:28" ht="15.75">
      <c r="A68" s="111" t="s">
        <v>362</v>
      </c>
      <c r="B68" s="100" t="str">
        <f>Client!B34</f>
        <v>Buildup cap</v>
      </c>
      <c r="C68" s="109"/>
      <c r="D68" s="109"/>
      <c r="E68" s="109"/>
      <c r="F68" s="109"/>
      <c r="G68" s="109"/>
      <c r="H68" s="109"/>
      <c r="I68" s="109"/>
      <c r="J68" s="109"/>
      <c r="K68" s="109"/>
      <c r="L68" s="109"/>
      <c r="M68" s="109"/>
      <c r="N68" s="109"/>
      <c r="O68" s="108"/>
      <c r="P68" s="108"/>
      <c r="Q68" s="108"/>
    </row>
    <row r="69" spans="1:28" ht="15.75">
      <c r="A69" s="109"/>
      <c r="B69" s="109"/>
      <c r="C69" s="109"/>
      <c r="D69" s="109"/>
      <c r="E69" s="109"/>
      <c r="F69" s="109"/>
      <c r="G69" s="109"/>
      <c r="H69" s="109"/>
      <c r="I69" s="109"/>
      <c r="J69" s="109"/>
      <c r="K69" s="109"/>
      <c r="L69" s="109"/>
      <c r="M69" s="109"/>
      <c r="N69" s="109"/>
      <c r="O69" s="108"/>
      <c r="P69" s="108"/>
      <c r="Q69" s="108"/>
    </row>
    <row r="70" spans="1:28" ht="15.75">
      <c r="A70" s="110" t="s">
        <v>364</v>
      </c>
      <c r="B70" s="109"/>
      <c r="C70" s="109"/>
      <c r="D70" s="109"/>
      <c r="E70" s="109"/>
      <c r="F70" s="109"/>
      <c r="G70" s="109"/>
      <c r="H70" s="109"/>
      <c r="I70" s="109"/>
      <c r="J70" s="109"/>
      <c r="K70" s="109"/>
      <c r="L70" s="109"/>
      <c r="M70" s="109"/>
      <c r="N70" s="109"/>
      <c r="O70" s="108"/>
      <c r="P70" s="108"/>
      <c r="Q70" s="108"/>
    </row>
    <row r="71" spans="1:28" ht="15.75">
      <c r="A71" s="111" t="s">
        <v>362</v>
      </c>
      <c r="B71" s="109" t="s">
        <v>1308</v>
      </c>
      <c r="C71" s="109"/>
      <c r="D71" s="109"/>
      <c r="E71" s="109"/>
      <c r="F71" s="109"/>
      <c r="G71" s="109"/>
      <c r="H71" s="109"/>
      <c r="I71" s="109"/>
      <c r="J71" s="109"/>
      <c r="K71" s="109"/>
      <c r="L71" s="109"/>
      <c r="M71" s="109"/>
      <c r="N71" s="109"/>
      <c r="O71" s="108"/>
      <c r="P71" s="108"/>
      <c r="Q71" s="108"/>
    </row>
    <row r="72" spans="1:28" ht="15.75">
      <c r="A72" s="108"/>
      <c r="B72" s="108"/>
      <c r="C72" s="108"/>
      <c r="D72" s="108"/>
      <c r="E72" s="108"/>
      <c r="F72" s="108"/>
      <c r="G72" s="108"/>
      <c r="H72" s="108"/>
      <c r="I72" s="108"/>
      <c r="J72" s="108"/>
      <c r="K72" s="108"/>
      <c r="L72" s="108"/>
      <c r="M72" s="108"/>
      <c r="N72" s="108"/>
      <c r="O72" s="108"/>
      <c r="P72" s="108"/>
      <c r="Q72" s="108"/>
    </row>
    <row r="73" spans="1:28" ht="15.75">
      <c r="A73" s="112" t="s">
        <v>365</v>
      </c>
      <c r="B73" s="108"/>
      <c r="C73" s="108"/>
      <c r="D73" s="108"/>
      <c r="E73" s="108"/>
      <c r="F73" s="108"/>
      <c r="G73" s="108"/>
      <c r="H73" s="108"/>
      <c r="I73" s="108"/>
      <c r="J73" s="108"/>
      <c r="K73" s="108"/>
      <c r="L73" s="108"/>
      <c r="M73" s="108"/>
      <c r="N73" s="108"/>
      <c r="O73" s="108"/>
      <c r="P73" s="108"/>
      <c r="Q73" s="108"/>
    </row>
    <row r="74" spans="1:28" ht="48.75" customHeight="1">
      <c r="A74" s="111" t="s">
        <v>362</v>
      </c>
      <c r="B74" s="1136" t="s">
        <v>1280</v>
      </c>
      <c r="C74" s="1136"/>
      <c r="D74" s="1136"/>
      <c r="E74" s="1136"/>
      <c r="F74" s="1136"/>
      <c r="G74" s="1136"/>
      <c r="H74" s="1136"/>
      <c r="I74" s="1136"/>
      <c r="J74" s="1136"/>
      <c r="K74" s="1136"/>
      <c r="L74" s="1136"/>
      <c r="M74" s="1136"/>
      <c r="N74" s="1136"/>
      <c r="O74" s="1136"/>
      <c r="P74" s="1136"/>
      <c r="Q74" s="1136"/>
      <c r="R74" s="1136"/>
      <c r="S74" s="1136"/>
      <c r="T74" s="1136"/>
    </row>
    <row r="75" spans="1:28" ht="15.75" customHeight="1">
      <c r="A75" s="111"/>
      <c r="B75" s="305"/>
      <c r="C75" s="305"/>
      <c r="D75" s="305"/>
      <c r="E75" s="305"/>
      <c r="F75" s="305"/>
      <c r="G75" s="305"/>
      <c r="H75" s="305"/>
      <c r="I75" s="305"/>
      <c r="J75" s="305"/>
      <c r="K75" s="305"/>
      <c r="L75" s="305"/>
      <c r="M75" s="305"/>
      <c r="N75" s="305"/>
      <c r="O75" s="305"/>
      <c r="P75" s="305"/>
      <c r="Q75" s="305"/>
      <c r="R75" s="305"/>
      <c r="S75" s="305"/>
      <c r="T75" s="305"/>
    </row>
    <row r="76" spans="1:28" ht="15.75">
      <c r="A76" s="149" t="s">
        <v>407</v>
      </c>
      <c r="B76" s="108"/>
      <c r="C76" s="108"/>
      <c r="D76" s="108"/>
      <c r="E76" s="108"/>
      <c r="F76" s="108"/>
      <c r="G76" s="108"/>
      <c r="H76" s="108"/>
      <c r="I76" s="108"/>
      <c r="J76" s="108"/>
      <c r="K76" s="108"/>
      <c r="L76" s="108"/>
      <c r="M76" s="108"/>
      <c r="N76" s="108"/>
      <c r="O76" s="108"/>
      <c r="P76" s="108"/>
      <c r="Q76" s="108"/>
    </row>
    <row r="77" spans="1:28" ht="32.25" customHeight="1">
      <c r="A77" s="111" t="s">
        <v>362</v>
      </c>
      <c r="B77" s="1136" t="s">
        <v>809</v>
      </c>
      <c r="C77" s="1136"/>
      <c r="D77" s="1136"/>
      <c r="E77" s="1136"/>
      <c r="F77" s="1136"/>
      <c r="G77" s="1136"/>
      <c r="H77" s="1136"/>
      <c r="I77" s="1136"/>
      <c r="J77" s="1136"/>
      <c r="K77" s="1136"/>
      <c r="L77" s="1136"/>
      <c r="M77" s="1136"/>
      <c r="N77" s="1136"/>
      <c r="O77" s="1136"/>
      <c r="P77" s="1136"/>
      <c r="Q77" s="1136"/>
      <c r="R77" s="1136"/>
      <c r="S77" s="1136"/>
      <c r="T77" s="1136"/>
      <c r="AA77" s="150"/>
      <c r="AB77" s="149"/>
    </row>
    <row r="78" spans="1:28" ht="66.75" customHeight="1">
      <c r="A78" s="111" t="s">
        <v>362</v>
      </c>
      <c r="B78" s="1136" t="str">
        <f ca="1">IF(Client!Q9,Client!AE129,Client!AE125)</f>
        <v>The ionisation chamber, without its buildup cap, was placed in a water phantom of dimensions 30 cm x 30 cm x 30 cm. The radiation beam entered the phantom horizontally through a side window of thickness 3 mm. The centre of the chamber was placed 5 cm behind the front surface of the phantom, and this surface was placed 100 cm from the effective source centre.</v>
      </c>
      <c r="C78" s="1136"/>
      <c r="D78" s="1136"/>
      <c r="E78" s="1136"/>
      <c r="F78" s="1136"/>
      <c r="G78" s="1136"/>
      <c r="H78" s="1136"/>
      <c r="I78" s="1136"/>
      <c r="J78" s="1136"/>
      <c r="K78" s="1136"/>
      <c r="L78" s="1136"/>
      <c r="M78" s="1136"/>
      <c r="N78" s="1136"/>
      <c r="O78" s="1136"/>
      <c r="P78" s="1136"/>
      <c r="Q78" s="1136"/>
      <c r="R78" s="1136"/>
      <c r="S78" s="1136"/>
      <c r="T78" s="1136"/>
      <c r="AA78" s="151"/>
      <c r="AB78" s="351"/>
    </row>
    <row r="79" spans="1:28" ht="99.75" customHeight="1">
      <c r="A79" s="111" t="s">
        <v>362</v>
      </c>
      <c r="B79" s="1136" t="s">
        <v>1293</v>
      </c>
      <c r="C79" s="1136"/>
      <c r="D79" s="1136"/>
      <c r="E79" s="1136"/>
      <c r="F79" s="1136"/>
      <c r="G79" s="1136"/>
      <c r="H79" s="1136"/>
      <c r="I79" s="1136"/>
      <c r="J79" s="1136"/>
      <c r="K79" s="1136"/>
      <c r="L79" s="1136"/>
      <c r="M79" s="1136"/>
      <c r="N79" s="1136"/>
      <c r="O79" s="1136"/>
      <c r="P79" s="1136"/>
      <c r="Q79" s="1136"/>
      <c r="R79" s="1136"/>
      <c r="S79" s="1136"/>
      <c r="T79" s="1136"/>
      <c r="AB79" s="351"/>
    </row>
    <row r="80" spans="1:28" ht="15" customHeight="1">
      <c r="A80" s="111"/>
      <c r="B80" s="305"/>
      <c r="C80" s="305"/>
      <c r="D80" s="305"/>
      <c r="E80" s="305"/>
      <c r="F80" s="305"/>
      <c r="G80" s="305"/>
      <c r="H80" s="305"/>
      <c r="I80" s="305"/>
      <c r="J80" s="305"/>
      <c r="K80" s="305"/>
      <c r="L80" s="305"/>
      <c r="M80" s="305"/>
      <c r="N80" s="305"/>
      <c r="O80" s="305"/>
      <c r="P80" s="305"/>
      <c r="Q80" s="305"/>
      <c r="R80" s="305"/>
      <c r="S80" s="305"/>
      <c r="T80" s="305"/>
    </row>
    <row r="81" spans="1:28" ht="20.25" customHeight="1">
      <c r="A81" s="149" t="s">
        <v>727</v>
      </c>
      <c r="B81" s="305"/>
      <c r="C81" s="305"/>
      <c r="D81" s="305"/>
      <c r="E81" s="305"/>
      <c r="F81" s="305"/>
      <c r="G81" s="305"/>
      <c r="H81" s="305"/>
      <c r="I81" s="305"/>
      <c r="J81" s="305"/>
      <c r="K81" s="305"/>
      <c r="L81" s="305"/>
      <c r="M81" s="305"/>
      <c r="N81" s="305"/>
      <c r="O81" s="305"/>
      <c r="P81" s="305"/>
      <c r="Q81" s="305"/>
      <c r="R81" s="305"/>
      <c r="S81" s="305"/>
      <c r="T81" s="305"/>
    </row>
    <row r="82" spans="1:28" ht="83.25" customHeight="1">
      <c r="A82" s="111" t="s">
        <v>362</v>
      </c>
      <c r="B82" s="1440" t="str">
        <f ca="1">IF(Client!Q9,Client!AE141,Client!AE136)</f>
        <v>The ionisation chamber, without its buildup cap, was placed in a water phantom of dimensions 30 cm x 30 cm x 30 cm. The radiation beam entered the phantom horizontally through a side window of thickness 3 mm. The centre of the chamber was placed at a water equivalent depth of 10 cm with the phantom surface 100 cm from the effective source centre.</v>
      </c>
      <c r="C82" s="1440"/>
      <c r="D82" s="1440"/>
      <c r="E82" s="1440"/>
      <c r="F82" s="1440"/>
      <c r="G82" s="1440"/>
      <c r="H82" s="1440"/>
      <c r="I82" s="1440"/>
      <c r="J82" s="1440"/>
      <c r="K82" s="1440"/>
      <c r="L82" s="1440"/>
      <c r="M82" s="1440"/>
      <c r="N82" s="1440"/>
      <c r="O82" s="1440"/>
      <c r="P82" s="1440"/>
      <c r="Q82" s="1440"/>
      <c r="R82" s="1440"/>
      <c r="S82" s="1440"/>
      <c r="T82" s="1440"/>
      <c r="AB82" s="351"/>
    </row>
    <row r="83" spans="1:28" ht="86.25" customHeight="1">
      <c r="A83" s="111" t="s">
        <v>362</v>
      </c>
      <c r="B83" s="1172" t="s">
        <v>1405</v>
      </c>
      <c r="C83" s="1440"/>
      <c r="D83" s="1440"/>
      <c r="E83" s="1440"/>
      <c r="F83" s="1440"/>
      <c r="G83" s="1440"/>
      <c r="H83" s="1440"/>
      <c r="I83" s="1440"/>
      <c r="J83" s="1440"/>
      <c r="K83" s="1440"/>
      <c r="L83" s="1440"/>
      <c r="M83" s="1440"/>
      <c r="N83" s="1440"/>
      <c r="O83" s="1440"/>
      <c r="P83" s="1440"/>
      <c r="Q83" s="1440"/>
      <c r="R83" s="1440"/>
      <c r="S83" s="1440"/>
      <c r="T83" s="1440"/>
    </row>
    <row r="84" spans="1:28" ht="35.25" customHeight="1">
      <c r="A84" s="111"/>
      <c r="B84" s="305"/>
      <c r="C84" s="305"/>
      <c r="D84" s="305"/>
      <c r="E84" s="305"/>
      <c r="F84" s="305"/>
      <c r="G84" s="305"/>
      <c r="H84" s="305"/>
      <c r="I84" s="305"/>
      <c r="J84" s="305"/>
      <c r="K84" s="305"/>
      <c r="L84" s="305"/>
      <c r="M84" s="305"/>
      <c r="N84" s="305"/>
      <c r="O84" s="305"/>
      <c r="P84" s="305"/>
      <c r="Q84" s="305"/>
      <c r="S84" s="305"/>
      <c r="T84" s="357"/>
    </row>
    <row r="85" spans="1:28" ht="15" customHeight="1">
      <c r="A85" s="420" t="str">
        <f>"Calibration No.: "&amp;$T$12</f>
        <v>Calibration No.: CAL11957/02</v>
      </c>
      <c r="B85" s="421"/>
      <c r="C85" s="421"/>
      <c r="D85" s="421"/>
      <c r="E85" s="421"/>
      <c r="F85" s="421"/>
      <c r="G85" s="421"/>
      <c r="H85" s="421"/>
      <c r="I85" s="422" t="str">
        <f>$G$32</f>
        <v>0</v>
      </c>
      <c r="J85" s="421"/>
      <c r="K85" s="421"/>
      <c r="L85" s="421"/>
      <c r="M85" s="421"/>
      <c r="N85" s="420" t="s">
        <v>360</v>
      </c>
      <c r="O85" s="423"/>
      <c r="P85" s="423"/>
      <c r="Q85" s="423"/>
      <c r="R85" s="423"/>
      <c r="S85" s="423"/>
      <c r="T85" s="423" t="s">
        <v>783</v>
      </c>
    </row>
    <row r="86" spans="1:28" ht="48" customHeight="1">
      <c r="A86" s="111" t="s">
        <v>362</v>
      </c>
      <c r="B86" s="1172" t="s">
        <v>743</v>
      </c>
      <c r="C86" s="1172"/>
      <c r="D86" s="1172"/>
      <c r="E86" s="1172"/>
      <c r="F86" s="1172"/>
      <c r="G86" s="1172"/>
      <c r="H86" s="1172"/>
      <c r="I86" s="1172"/>
      <c r="J86" s="1172"/>
      <c r="K86" s="1172"/>
      <c r="L86" s="1172"/>
      <c r="M86" s="1172"/>
      <c r="N86" s="1172"/>
      <c r="O86" s="1172"/>
      <c r="P86" s="1172"/>
      <c r="Q86" s="1172"/>
      <c r="R86" s="1172"/>
      <c r="S86" s="1172"/>
      <c r="T86" s="1172"/>
    </row>
    <row r="87" spans="1:28" ht="15" customHeight="1">
      <c r="A87" s="119"/>
      <c r="B87" s="155"/>
      <c r="C87" s="155"/>
      <c r="D87" s="155"/>
      <c r="E87" s="155"/>
      <c r="F87" s="155"/>
      <c r="G87" s="155"/>
      <c r="H87" s="155"/>
      <c r="I87" s="156"/>
      <c r="J87" s="155"/>
      <c r="K87" s="155"/>
      <c r="L87" s="155"/>
      <c r="M87" s="155"/>
      <c r="N87" s="119"/>
      <c r="O87" s="157"/>
      <c r="P87" s="157"/>
      <c r="Q87" s="157"/>
      <c r="R87" s="157"/>
      <c r="S87" s="157"/>
      <c r="T87" s="157"/>
    </row>
    <row r="88" spans="1:28" ht="15" customHeight="1">
      <c r="A88" s="112" t="s">
        <v>367</v>
      </c>
      <c r="B88" s="155"/>
      <c r="C88" s="155"/>
      <c r="D88" s="155"/>
      <c r="E88" s="155"/>
      <c r="F88" s="155"/>
      <c r="G88" s="155"/>
      <c r="H88" s="156"/>
      <c r="I88" s="155"/>
      <c r="J88" s="155"/>
      <c r="K88" s="155"/>
      <c r="L88" s="155"/>
      <c r="M88" s="119"/>
      <c r="N88" s="157"/>
      <c r="O88" s="157"/>
      <c r="P88" s="157"/>
      <c r="Q88" s="157"/>
      <c r="R88" s="157"/>
      <c r="S88" s="157"/>
      <c r="T88" s="305"/>
    </row>
    <row r="89" spans="1:28" ht="19.5" customHeight="1">
      <c r="A89" s="451" t="s">
        <v>362</v>
      </c>
      <c r="B89" s="1134" t="s">
        <v>909</v>
      </c>
      <c r="C89" s="1134"/>
      <c r="D89" s="1134"/>
      <c r="E89" s="1134"/>
      <c r="F89" s="1134"/>
      <c r="G89" s="1134"/>
      <c r="H89" s="1134"/>
      <c r="I89" s="1134"/>
      <c r="J89" s="1134"/>
      <c r="K89" s="1134"/>
      <c r="L89" s="1134"/>
      <c r="M89" s="1134"/>
      <c r="N89" s="1134"/>
      <c r="O89" s="1134"/>
      <c r="P89" s="1134"/>
      <c r="Q89" s="1134"/>
      <c r="R89" s="1134"/>
      <c r="S89" s="1134"/>
      <c r="T89" s="1134"/>
    </row>
    <row r="90" spans="1:28" ht="16.5" customHeight="1">
      <c r="A90" s="111"/>
      <c r="B90" s="1134" t="str">
        <f>"two-voltage method[1] at an operating voltage of "&amp;Client!B31&amp;" V and a reduced voltage of"</f>
        <v>two-voltage method[1] at an operating voltage of -242 V and a reduced voltage of</v>
      </c>
      <c r="C90" s="1134"/>
      <c r="D90" s="1134"/>
      <c r="E90" s="1134"/>
      <c r="F90" s="1134"/>
      <c r="G90" s="1134"/>
      <c r="H90" s="1134"/>
      <c r="I90" s="1134"/>
      <c r="J90" s="1134"/>
      <c r="K90" s="1134"/>
      <c r="L90" s="1134"/>
      <c r="M90" s="1134"/>
      <c r="N90" s="1134"/>
      <c r="O90" s="1134"/>
      <c r="P90" s="1134"/>
      <c r="Q90" s="1134"/>
      <c r="R90" s="1134"/>
      <c r="S90" s="1134"/>
      <c r="T90" s="1134"/>
    </row>
    <row r="91" spans="1:28" ht="16.5" customHeight="1">
      <c r="A91" s="111"/>
      <c r="B91" s="1134" t="str">
        <f>Client!B32&amp;" V "&amp;Client!Q10&amp;"."</f>
        <v>-60 V Central Electrode Negative.</v>
      </c>
      <c r="C91" s="1134"/>
      <c r="D91" s="1134"/>
      <c r="E91" s="1134"/>
      <c r="F91" s="1134"/>
      <c r="G91" s="1134"/>
      <c r="H91" s="1134"/>
      <c r="I91" s="1134"/>
      <c r="J91" s="1134"/>
      <c r="K91" s="1134"/>
      <c r="L91" s="1134"/>
      <c r="M91" s="1134"/>
      <c r="N91" s="1134"/>
      <c r="O91" s="1134"/>
      <c r="P91" s="1134"/>
      <c r="Q91" s="1134"/>
      <c r="R91" s="1134"/>
      <c r="S91" s="1134"/>
      <c r="T91" s="1134"/>
    </row>
    <row r="92" spans="1:28" ht="23.25" customHeight="1">
      <c r="A92" s="111"/>
      <c r="B92" s="1438" t="s">
        <v>745</v>
      </c>
      <c r="C92" s="1439"/>
      <c r="D92" s="1439"/>
      <c r="E92" s="1439"/>
      <c r="F92" s="1439"/>
      <c r="G92" s="1439"/>
      <c r="H92" s="1439"/>
      <c r="I92" s="1439"/>
      <c r="J92" s="1439"/>
      <c r="K92" s="1439"/>
      <c r="L92" s="1439"/>
      <c r="M92" s="1439"/>
      <c r="N92" s="1439"/>
      <c r="O92" s="1439"/>
      <c r="P92" s="1439"/>
      <c r="Q92" s="1439"/>
      <c r="R92" s="1439"/>
      <c r="S92" s="1439"/>
      <c r="T92" s="1439"/>
    </row>
    <row r="93" spans="1:28" ht="18" customHeight="1">
      <c r="B93" s="1092" t="s">
        <v>737</v>
      </c>
      <c r="C93" s="1092"/>
      <c r="D93" s="1092"/>
      <c r="E93" s="1092"/>
      <c r="F93" s="1092"/>
      <c r="G93" s="1092"/>
      <c r="H93" s="1092"/>
      <c r="I93" s="1092" t="s">
        <v>746</v>
      </c>
      <c r="J93" s="1092"/>
      <c r="K93" s="1092"/>
      <c r="L93" s="1092" t="s">
        <v>728</v>
      </c>
      <c r="M93" s="1092"/>
      <c r="N93" s="1092"/>
      <c r="O93" s="1092" t="s">
        <v>729</v>
      </c>
      <c r="P93" s="1092"/>
      <c r="Q93" s="1092"/>
      <c r="R93" s="1092" t="s">
        <v>730</v>
      </c>
      <c r="S93" s="1092"/>
      <c r="T93" s="1092"/>
      <c r="Y93" s="29"/>
    </row>
    <row r="94" spans="1:28" ht="18" customHeight="1">
      <c r="B94" s="1092" t="s">
        <v>738</v>
      </c>
      <c r="C94" s="1092"/>
      <c r="D94" s="1092"/>
      <c r="E94" s="1092"/>
      <c r="F94" s="1092"/>
      <c r="G94" s="1092"/>
      <c r="H94" s="1092"/>
      <c r="I94" s="1437">
        <f>'MV-P'!P13</f>
        <v>0.56899999999999995</v>
      </c>
      <c r="J94" s="1437"/>
      <c r="K94" s="1437"/>
      <c r="L94" s="1437">
        <f>'MV-P'!P14</f>
        <v>0.68400000000000005</v>
      </c>
      <c r="M94" s="1437"/>
      <c r="N94" s="1437"/>
      <c r="O94" s="1437">
        <f>'MV-P'!P15</f>
        <v>0.73299999999999998</v>
      </c>
      <c r="P94" s="1437"/>
      <c r="Q94" s="1437"/>
      <c r="R94" s="1437">
        <f>'MV-P'!P16</f>
        <v>0.77900000000000003</v>
      </c>
      <c r="S94" s="1437"/>
      <c r="T94" s="1437"/>
    </row>
    <row r="95" spans="1:28" ht="18" customHeight="1">
      <c r="B95" s="1433" t="s">
        <v>739</v>
      </c>
      <c r="C95" s="1433"/>
      <c r="D95" s="1433"/>
      <c r="E95" s="1433"/>
      <c r="F95" s="1433"/>
      <c r="G95" s="1433"/>
      <c r="H95" s="1433"/>
      <c r="I95" s="1434" t="str">
        <f>Co!N22</f>
        <v>-</v>
      </c>
      <c r="J95" s="1434"/>
      <c r="K95" s="1434"/>
      <c r="L95" s="1434">
        <f>'MV-P'!C22</f>
        <v>0</v>
      </c>
      <c r="M95" s="1434"/>
      <c r="N95" s="1434"/>
      <c r="O95" s="1434">
        <f>'MV-P'!C23</f>
        <v>0</v>
      </c>
      <c r="P95" s="1434"/>
      <c r="Q95" s="1434"/>
      <c r="R95" s="1434">
        <f>'MV-P'!C24</f>
        <v>0</v>
      </c>
      <c r="S95" s="1434"/>
      <c r="T95" s="1434"/>
    </row>
    <row r="96" spans="1:28" ht="18" customHeight="1">
      <c r="B96" s="1092" t="s">
        <v>744</v>
      </c>
      <c r="C96" s="1092"/>
      <c r="D96" s="1092"/>
      <c r="E96" s="1092"/>
      <c r="F96" s="1092"/>
      <c r="G96" s="1092"/>
      <c r="H96" s="1092"/>
      <c r="I96" s="1092" t="str">
        <f>TEXT(Co!N37,"0")&amp; " mGy/s"</f>
        <v>0 mGy/s</v>
      </c>
      <c r="J96" s="1092"/>
      <c r="K96" s="1092"/>
      <c r="L96" s="1092" t="s">
        <v>731</v>
      </c>
      <c r="M96" s="1092"/>
      <c r="N96" s="1092"/>
      <c r="O96" s="1092" t="s">
        <v>732</v>
      </c>
      <c r="P96" s="1092"/>
      <c r="Q96" s="1092"/>
      <c r="R96" s="1092" t="s">
        <v>733</v>
      </c>
      <c r="S96" s="1092"/>
      <c r="T96" s="1092"/>
      <c r="Y96" s="29"/>
    </row>
    <row r="97" spans="1:29" ht="18" customHeight="1">
      <c r="B97" s="1092" t="s">
        <v>740</v>
      </c>
      <c r="C97" s="1092"/>
      <c r="D97" s="1092"/>
      <c r="E97" s="1092"/>
      <c r="F97" s="1092"/>
      <c r="G97" s="1092"/>
      <c r="H97" s="1092"/>
      <c r="I97" s="1092" t="s">
        <v>466</v>
      </c>
      <c r="J97" s="1092"/>
      <c r="K97" s="1092"/>
      <c r="L97" s="1092" t="s">
        <v>734</v>
      </c>
      <c r="M97" s="1092"/>
      <c r="N97" s="1092"/>
      <c r="O97" s="1092" t="s">
        <v>735</v>
      </c>
      <c r="P97" s="1092"/>
      <c r="Q97" s="1092"/>
      <c r="R97" s="1092" t="s">
        <v>736</v>
      </c>
      <c r="S97" s="1092"/>
      <c r="T97" s="1092"/>
    </row>
    <row r="99" spans="1:29" ht="18.75">
      <c r="A99" s="111" t="s">
        <v>362</v>
      </c>
      <c r="B99" s="355" t="s">
        <v>747</v>
      </c>
      <c r="C99" s="158"/>
      <c r="D99" s="158"/>
      <c r="E99" s="158"/>
      <c r="F99" s="158"/>
      <c r="G99" s="158"/>
      <c r="H99" s="158"/>
      <c r="I99" s="158"/>
      <c r="J99" s="158"/>
      <c r="K99" s="158"/>
      <c r="L99" s="158"/>
      <c r="M99" s="158"/>
      <c r="N99" s="158"/>
      <c r="O99" s="158"/>
      <c r="P99" s="158"/>
      <c r="Q99" s="158"/>
      <c r="R99" s="158"/>
      <c r="S99" s="158"/>
    </row>
    <row r="100" spans="1:29" ht="15.75">
      <c r="A100" s="352"/>
      <c r="B100" s="158"/>
      <c r="C100" s="158"/>
      <c r="D100" s="158"/>
      <c r="E100" s="158"/>
      <c r="F100" s="158"/>
      <c r="G100" s="158"/>
      <c r="H100" s="158"/>
      <c r="I100" s="158"/>
      <c r="J100" s="158"/>
      <c r="K100" s="158"/>
      <c r="L100" s="158"/>
      <c r="M100" s="158"/>
      <c r="N100" s="158"/>
      <c r="O100" s="158"/>
      <c r="P100" s="158"/>
      <c r="Q100" s="158"/>
      <c r="R100" s="158"/>
      <c r="S100" s="158"/>
      <c r="T100" s="158"/>
    </row>
    <row r="101" spans="1:29" ht="15.75">
      <c r="A101" s="352"/>
      <c r="B101" s="158"/>
      <c r="C101" s="158"/>
      <c r="D101" s="158"/>
      <c r="E101" s="158"/>
      <c r="F101" s="158"/>
      <c r="G101" s="158"/>
      <c r="H101" s="158"/>
      <c r="I101" s="158"/>
      <c r="J101" s="158"/>
      <c r="K101" s="158"/>
      <c r="L101" s="158"/>
      <c r="M101" s="158"/>
      <c r="N101" s="158"/>
      <c r="O101" s="158"/>
      <c r="P101" s="158"/>
      <c r="Q101" s="158"/>
      <c r="R101" s="158"/>
      <c r="S101" s="158"/>
      <c r="T101" s="160" t="str">
        <f>"(1)"</f>
        <v>(1)</v>
      </c>
      <c r="Y101" s="29"/>
      <c r="Z101" s="30"/>
      <c r="AA101" s="1"/>
      <c r="AB101" s="30"/>
      <c r="AC101" s="1"/>
    </row>
    <row r="102" spans="1:29" ht="15.75">
      <c r="A102" s="352"/>
      <c r="B102" s="154"/>
      <c r="C102" s="154"/>
      <c r="D102" s="154"/>
      <c r="E102" s="154"/>
      <c r="F102" s="154"/>
      <c r="G102" s="154"/>
      <c r="H102" s="154"/>
      <c r="I102" s="154"/>
      <c r="J102" s="154"/>
      <c r="K102" s="154"/>
      <c r="L102" s="154"/>
      <c r="M102" s="154"/>
      <c r="N102" s="154"/>
      <c r="O102" s="154"/>
      <c r="P102" s="154"/>
      <c r="Q102" s="154"/>
      <c r="R102" s="158"/>
      <c r="S102" s="158"/>
      <c r="T102" s="158"/>
    </row>
    <row r="103" spans="1:29" ht="20.25" customHeight="1">
      <c r="A103" s="353"/>
      <c r="B103" s="1435" t="s">
        <v>903</v>
      </c>
      <c r="C103" s="1435"/>
      <c r="D103" s="1435"/>
      <c r="E103" s="1176" t="str">
        <f>Client!B31&amp;" V,"</f>
        <v>-242 V,</v>
      </c>
      <c r="F103" s="1176"/>
      <c r="G103" s="480" t="s">
        <v>901</v>
      </c>
      <c r="H103" s="1176" t="str">
        <f>"is "&amp;Client!B32&amp;" V,"</f>
        <v>is -60 V,</v>
      </c>
      <c r="I103" s="1176"/>
      <c r="J103" s="1176" t="s">
        <v>900</v>
      </c>
      <c r="K103" s="1176"/>
      <c r="L103" s="1176"/>
      <c r="M103" s="1176"/>
      <c r="N103" s="1176"/>
      <c r="O103" s="1176"/>
      <c r="P103" s="1176"/>
      <c r="Q103" s="1176"/>
      <c r="R103" s="1176"/>
      <c r="S103" s="1176"/>
      <c r="T103" s="1176"/>
    </row>
    <row r="104" spans="1:29" ht="20.25" customHeight="1">
      <c r="A104" s="353"/>
      <c r="B104" s="1140" t="s">
        <v>902</v>
      </c>
      <c r="C104" s="1140"/>
      <c r="D104" s="1140"/>
      <c r="E104" s="1140"/>
      <c r="F104" s="1140"/>
      <c r="G104" s="1140"/>
      <c r="H104" s="471"/>
      <c r="I104" s="471"/>
      <c r="J104" s="471"/>
      <c r="K104" s="471"/>
      <c r="L104" s="471"/>
      <c r="M104" s="471"/>
      <c r="N104" s="471"/>
      <c r="O104" s="471"/>
      <c r="P104" s="471"/>
      <c r="Q104" s="471"/>
      <c r="R104" s="471"/>
      <c r="S104" s="471"/>
      <c r="T104" s="471"/>
    </row>
    <row r="105" spans="1:29" ht="15" customHeight="1">
      <c r="A105" s="111" t="s">
        <v>362</v>
      </c>
      <c r="B105" s="1436" t="s">
        <v>908</v>
      </c>
      <c r="C105" s="1436"/>
      <c r="D105" s="1436"/>
      <c r="E105" s="1436"/>
      <c r="F105" s="1436"/>
      <c r="G105" s="1436"/>
      <c r="H105" s="1436"/>
      <c r="I105" s="1436"/>
      <c r="J105" s="1436"/>
      <c r="K105" s="1436"/>
      <c r="L105" s="1436"/>
      <c r="M105" s="1436"/>
      <c r="N105" s="1436"/>
      <c r="O105" s="1436"/>
      <c r="P105" s="1436"/>
      <c r="Q105" s="1436"/>
      <c r="R105" s="1436"/>
      <c r="S105" s="1436"/>
      <c r="T105" s="1436"/>
    </row>
    <row r="106" spans="1:29" ht="15" customHeight="1">
      <c r="A106" s="353"/>
      <c r="B106" s="354"/>
      <c r="C106" s="354"/>
      <c r="D106" s="354"/>
      <c r="E106" s="354"/>
      <c r="F106" s="354"/>
      <c r="G106" s="354"/>
      <c r="H106" s="354"/>
      <c r="I106" s="354"/>
      <c r="J106" s="354"/>
      <c r="K106" s="354"/>
      <c r="L106" s="354"/>
      <c r="M106" s="354"/>
      <c r="N106" s="354"/>
      <c r="O106" s="354"/>
      <c r="P106" s="354"/>
      <c r="Q106" s="354"/>
      <c r="R106" s="354"/>
      <c r="S106" s="354"/>
      <c r="T106" s="354"/>
    </row>
    <row r="107" spans="1:29" ht="15" customHeight="1">
      <c r="A107" s="353"/>
      <c r="B107" s="354"/>
      <c r="C107" s="354"/>
      <c r="D107" s="354"/>
      <c r="E107" s="354"/>
      <c r="F107" s="354"/>
      <c r="G107" s="354"/>
      <c r="H107" s="354"/>
      <c r="I107" s="354"/>
      <c r="J107" s="354"/>
      <c r="K107" s="354"/>
      <c r="L107" s="354"/>
      <c r="M107" s="354"/>
      <c r="N107" s="354"/>
      <c r="O107" s="354"/>
      <c r="P107" s="354"/>
      <c r="Q107" s="354"/>
      <c r="R107" s="354"/>
      <c r="S107" s="354"/>
      <c r="T107" s="160" t="str">
        <f>"(2)"</f>
        <v>(2)</v>
      </c>
    </row>
    <row r="108" spans="1:29" ht="15" customHeight="1">
      <c r="A108" s="111"/>
      <c r="B108" s="153"/>
      <c r="C108" s="153"/>
      <c r="D108" s="153"/>
      <c r="E108" s="153"/>
      <c r="F108" s="153"/>
      <c r="G108" s="153"/>
      <c r="H108" s="153"/>
      <c r="I108" s="153"/>
      <c r="J108" s="153"/>
      <c r="K108" s="153"/>
      <c r="L108" s="153"/>
      <c r="N108" s="153"/>
      <c r="O108" s="153"/>
      <c r="P108" s="153"/>
      <c r="Q108" s="153"/>
      <c r="R108" s="153"/>
      <c r="S108" s="153"/>
      <c r="T108" s="153"/>
    </row>
    <row r="109" spans="1:29" ht="18.75" customHeight="1">
      <c r="A109" s="111"/>
      <c r="B109" s="158" t="s">
        <v>750</v>
      </c>
      <c r="C109" s="153"/>
      <c r="D109" s="153"/>
      <c r="E109" s="153"/>
      <c r="F109" s="153"/>
      <c r="G109" s="153"/>
      <c r="H109" s="153"/>
      <c r="I109" s="153"/>
      <c r="J109" s="153"/>
      <c r="K109" s="153"/>
      <c r="L109" s="153"/>
      <c r="M109" s="153"/>
      <c r="N109" s="153"/>
      <c r="O109" s="153"/>
      <c r="P109" s="153"/>
      <c r="Q109" s="153"/>
      <c r="R109" s="153"/>
      <c r="S109" s="153"/>
      <c r="T109" s="153"/>
    </row>
    <row r="110" spans="1:29" ht="30.75" customHeight="1">
      <c r="A110" s="111" t="s">
        <v>362</v>
      </c>
      <c r="B110" s="1140" t="s">
        <v>752</v>
      </c>
      <c r="C110" s="1140"/>
      <c r="D110" s="1140"/>
      <c r="E110" s="1140"/>
      <c r="F110" s="1140"/>
      <c r="G110" s="1140"/>
      <c r="H110" s="1140"/>
      <c r="I110" s="1140"/>
      <c r="J110" s="1140"/>
      <c r="K110" s="1140"/>
      <c r="L110" s="1140"/>
      <c r="M110" s="1140"/>
      <c r="N110" s="1140"/>
      <c r="O110" s="1140"/>
      <c r="P110" s="1140"/>
      <c r="Q110" s="1140"/>
      <c r="R110" s="1140"/>
      <c r="S110" s="1140"/>
      <c r="T110" s="1140"/>
    </row>
    <row r="111" spans="1:29" ht="15" customHeight="1">
      <c r="A111" s="111"/>
      <c r="B111" s="306"/>
      <c r="C111" s="306"/>
      <c r="D111" s="306"/>
      <c r="E111" s="306"/>
      <c r="F111" s="306"/>
      <c r="G111" s="306"/>
      <c r="H111" s="306"/>
      <c r="I111" s="306"/>
      <c r="J111" s="306"/>
      <c r="K111" s="306"/>
      <c r="L111" s="306"/>
      <c r="M111" s="306"/>
      <c r="N111" s="306"/>
      <c r="O111" s="306"/>
      <c r="P111" s="306"/>
      <c r="Q111" s="306"/>
      <c r="R111" s="158"/>
      <c r="S111" s="158"/>
      <c r="T111" s="158"/>
    </row>
    <row r="112" spans="1:29" ht="15" customHeight="1">
      <c r="A112" s="112" t="s">
        <v>368</v>
      </c>
      <c r="B112" s="306"/>
      <c r="C112" s="306"/>
      <c r="D112" s="306"/>
      <c r="E112" s="306"/>
      <c r="F112" s="306"/>
      <c r="G112" s="306"/>
      <c r="H112" s="306"/>
      <c r="I112" s="306"/>
      <c r="J112" s="306"/>
      <c r="K112" s="306"/>
      <c r="L112" s="306"/>
      <c r="M112" s="306"/>
      <c r="N112" s="306"/>
      <c r="O112" s="306"/>
      <c r="P112" s="306"/>
      <c r="Q112" s="306"/>
      <c r="R112" s="158"/>
      <c r="S112" s="158"/>
      <c r="T112" s="158"/>
    </row>
    <row r="113" spans="1:20" ht="38.25" customHeight="1">
      <c r="A113" s="111" t="s">
        <v>362</v>
      </c>
      <c r="B113" s="1140" t="s">
        <v>749</v>
      </c>
      <c r="C113" s="1140"/>
      <c r="D113" s="1140"/>
      <c r="E113" s="1140"/>
      <c r="F113" s="1140"/>
      <c r="G113" s="1140"/>
      <c r="H113" s="1140"/>
      <c r="I113" s="1140"/>
      <c r="J113" s="1140"/>
      <c r="K113" s="1140"/>
      <c r="L113" s="1140"/>
      <c r="M113" s="1140"/>
      <c r="N113" s="1140"/>
      <c r="O113" s="1140"/>
      <c r="P113" s="1140"/>
      <c r="Q113" s="1140"/>
      <c r="R113" s="1140"/>
      <c r="S113" s="1140"/>
      <c r="T113" s="1140"/>
    </row>
    <row r="114" spans="1:20" ht="15" customHeight="1">
      <c r="A114" s="111"/>
      <c r="B114" s="306"/>
      <c r="C114" s="306"/>
      <c r="D114" s="306"/>
      <c r="E114" s="306"/>
      <c r="F114" s="306"/>
      <c r="G114" s="306"/>
      <c r="H114" s="306"/>
      <c r="I114" s="306"/>
      <c r="J114" s="306"/>
      <c r="K114" s="306"/>
      <c r="L114" s="306"/>
      <c r="M114" s="306"/>
      <c r="N114" s="306"/>
      <c r="O114" s="306"/>
      <c r="P114" s="306"/>
      <c r="Q114" s="306"/>
      <c r="R114" s="158"/>
      <c r="S114" s="158"/>
      <c r="T114" s="158"/>
    </row>
    <row r="115" spans="1:20" ht="15" customHeight="1">
      <c r="A115" s="111"/>
      <c r="B115" s="306"/>
      <c r="C115" s="306"/>
      <c r="D115" s="306"/>
      <c r="E115" s="306"/>
      <c r="F115" s="306"/>
      <c r="G115" s="306"/>
      <c r="H115" s="306"/>
      <c r="I115" s="306"/>
      <c r="J115" s="306"/>
      <c r="K115" s="306"/>
      <c r="L115" s="306"/>
      <c r="M115" s="306"/>
      <c r="N115" s="306"/>
      <c r="O115" s="306"/>
      <c r="P115" s="306"/>
      <c r="Q115" s="306"/>
      <c r="R115" s="158"/>
      <c r="S115" s="158"/>
      <c r="T115" s="160" t="str">
        <f>"(3)"</f>
        <v>(3)</v>
      </c>
    </row>
    <row r="116" spans="1:20" ht="15" customHeight="1">
      <c r="A116" s="112"/>
      <c r="B116" s="158"/>
      <c r="C116" s="158"/>
      <c r="D116" s="158"/>
      <c r="E116" s="158"/>
      <c r="F116" s="158"/>
      <c r="G116" s="158"/>
      <c r="H116" s="158"/>
      <c r="J116" s="158"/>
      <c r="K116" s="158"/>
      <c r="L116" s="158"/>
      <c r="M116" s="158"/>
      <c r="N116" s="158"/>
      <c r="O116" s="158"/>
      <c r="P116" s="158"/>
      <c r="Q116" s="158"/>
      <c r="R116" s="158"/>
      <c r="S116" s="158"/>
      <c r="T116" s="158"/>
    </row>
    <row r="117" spans="1:20" ht="35.25" customHeight="1">
      <c r="A117" s="111" t="s">
        <v>362</v>
      </c>
      <c r="B117" s="1204" t="s">
        <v>904</v>
      </c>
      <c r="C117" s="1204"/>
      <c r="D117" s="1204"/>
      <c r="E117" s="1204"/>
      <c r="F117" s="1204"/>
      <c r="G117" s="1204"/>
      <c r="H117" s="1204"/>
      <c r="I117" s="1204"/>
      <c r="J117" s="1204"/>
      <c r="K117" s="1204"/>
      <c r="L117" s="1204"/>
      <c r="M117" s="1204"/>
      <c r="N117" s="1204"/>
      <c r="O117" s="1204"/>
      <c r="P117" s="1204"/>
      <c r="Q117" s="1204"/>
      <c r="R117" s="1204"/>
      <c r="S117" s="1204"/>
      <c r="T117" s="1204"/>
    </row>
    <row r="118" spans="1:20" ht="48" customHeight="1">
      <c r="A118" s="111" t="s">
        <v>362</v>
      </c>
      <c r="B118" s="1140" t="e">
        <f ca="1">"The chamber has been calibrated with the "&amp;Client!Q10&amp;" ("&amp;Client!T10&amp;"). Setting "&amp;Client!AF7&amp;" results in "&amp;Client!AE11&amp;" V "&amp;Client!AE10&amp;" for the "&amp;Client!B16&amp;" electrometer."</f>
        <v>#N/A</v>
      </c>
      <c r="C118" s="1140"/>
      <c r="D118" s="1140"/>
      <c r="E118" s="1140"/>
      <c r="F118" s="1140"/>
      <c r="G118" s="1140"/>
      <c r="H118" s="1140"/>
      <c r="I118" s="1140"/>
      <c r="J118" s="1140"/>
      <c r="K118" s="1140"/>
      <c r="L118" s="1140"/>
      <c r="M118" s="1140"/>
      <c r="N118" s="1140"/>
      <c r="O118" s="1140"/>
      <c r="P118" s="1140"/>
      <c r="Q118" s="1140"/>
      <c r="R118" s="1140"/>
      <c r="S118" s="1140"/>
      <c r="T118" s="1140"/>
    </row>
    <row r="119" spans="1:20" ht="23.25" customHeight="1">
      <c r="A119" s="112"/>
      <c r="B119" s="158" t="s">
        <v>751</v>
      </c>
    </row>
    <row r="120" spans="1:20" ht="18" customHeight="1">
      <c r="A120" s="112"/>
      <c r="B120" s="1092" t="s">
        <v>737</v>
      </c>
      <c r="C120" s="1092"/>
      <c r="D120" s="1092"/>
      <c r="E120" s="1092"/>
      <c r="F120" s="1092"/>
      <c r="G120" s="1092"/>
      <c r="H120" s="1092"/>
      <c r="I120" s="1092" t="s">
        <v>746</v>
      </c>
      <c r="J120" s="1092"/>
      <c r="K120" s="1092"/>
      <c r="L120" s="1092" t="s">
        <v>728</v>
      </c>
      <c r="M120" s="1092"/>
      <c r="N120" s="1092"/>
      <c r="O120" s="1092" t="s">
        <v>729</v>
      </c>
      <c r="P120" s="1092"/>
      <c r="Q120" s="1092"/>
      <c r="R120" s="1092" t="s">
        <v>730</v>
      </c>
      <c r="S120" s="1092"/>
      <c r="T120" s="1092"/>
    </row>
    <row r="121" spans="1:20" ht="18" customHeight="1">
      <c r="A121" s="112"/>
      <c r="B121" s="1092" t="s">
        <v>738</v>
      </c>
      <c r="C121" s="1092"/>
      <c r="D121" s="1092"/>
      <c r="E121" s="1092"/>
      <c r="F121" s="1092"/>
      <c r="G121" s="1092"/>
      <c r="H121" s="1092"/>
      <c r="I121" s="1430">
        <f>I94</f>
        <v>0.56899999999999995</v>
      </c>
      <c r="J121" s="1431"/>
      <c r="K121" s="1432"/>
      <c r="L121" s="1430">
        <f>L94</f>
        <v>0.68400000000000005</v>
      </c>
      <c r="M121" s="1094"/>
      <c r="N121" s="1095"/>
      <c r="O121" s="1430">
        <f>O94</f>
        <v>0.73299999999999998</v>
      </c>
      <c r="P121" s="1094"/>
      <c r="Q121" s="1095"/>
      <c r="R121" s="1430">
        <f>R94</f>
        <v>0.77900000000000003</v>
      </c>
      <c r="S121" s="1094"/>
      <c r="T121" s="1095"/>
    </row>
    <row r="122" spans="1:20" ht="18" customHeight="1">
      <c r="A122" s="112"/>
      <c r="B122" s="1433" t="s">
        <v>756</v>
      </c>
      <c r="C122" s="1433"/>
      <c r="D122" s="1433"/>
      <c r="E122" s="1433"/>
      <c r="F122" s="1433"/>
      <c r="G122" s="1433"/>
      <c r="H122" s="1433"/>
      <c r="I122" s="1434" t="str">
        <f>Co!N34</f>
        <v>-</v>
      </c>
      <c r="J122" s="1434"/>
      <c r="K122" s="1434"/>
      <c r="L122" s="1434">
        <f>'MV-P'!D22</f>
        <v>0</v>
      </c>
      <c r="M122" s="1434"/>
      <c r="N122" s="1434"/>
      <c r="O122" s="1434">
        <f>'MV-P'!D23</f>
        <v>0</v>
      </c>
      <c r="P122" s="1434"/>
      <c r="Q122" s="1434"/>
      <c r="R122" s="1434">
        <f>'MV-P'!D24</f>
        <v>0</v>
      </c>
      <c r="S122" s="1434"/>
      <c r="T122" s="1434"/>
    </row>
    <row r="123" spans="1:20" ht="18" customHeight="1">
      <c r="A123" s="112"/>
      <c r="B123" s="1092" t="s">
        <v>744</v>
      </c>
      <c r="C123" s="1092"/>
      <c r="D123" s="1092"/>
      <c r="E123" s="1092"/>
      <c r="F123" s="1092"/>
      <c r="G123" s="1092"/>
      <c r="H123" s="1092"/>
      <c r="I123" s="1092" t="str">
        <f>TEXT(Co!N37,"0")&amp; " mGy/s"</f>
        <v>0 mGy/s</v>
      </c>
      <c r="J123" s="1092"/>
      <c r="K123" s="1092"/>
      <c r="L123" s="1092" t="s">
        <v>731</v>
      </c>
      <c r="M123" s="1092"/>
      <c r="N123" s="1092"/>
      <c r="O123" s="1092" t="s">
        <v>732</v>
      </c>
      <c r="P123" s="1092"/>
      <c r="Q123" s="1092"/>
      <c r="R123" s="1092" t="s">
        <v>733</v>
      </c>
      <c r="S123" s="1092"/>
      <c r="T123" s="1092"/>
    </row>
    <row r="124" spans="1:20" ht="18" customHeight="1">
      <c r="A124" s="112"/>
      <c r="B124" s="1092" t="s">
        <v>740</v>
      </c>
      <c r="C124" s="1092"/>
      <c r="D124" s="1092"/>
      <c r="E124" s="1092"/>
      <c r="F124" s="1092"/>
      <c r="G124" s="1092"/>
      <c r="H124" s="1092"/>
      <c r="I124" s="1092" t="s">
        <v>466</v>
      </c>
      <c r="J124" s="1092"/>
      <c r="K124" s="1092"/>
      <c r="L124" s="1092" t="s">
        <v>734</v>
      </c>
      <c r="M124" s="1092"/>
      <c r="N124" s="1092"/>
      <c r="O124" s="1092" t="s">
        <v>735</v>
      </c>
      <c r="P124" s="1092"/>
      <c r="Q124" s="1092"/>
      <c r="R124" s="1092" t="s">
        <v>736</v>
      </c>
      <c r="S124" s="1092"/>
      <c r="T124" s="1092"/>
    </row>
    <row r="125" spans="1:20" ht="18.75" customHeight="1">
      <c r="A125" s="112"/>
      <c r="B125" s="372"/>
      <c r="C125" s="372"/>
      <c r="D125" s="372"/>
      <c r="E125" s="372"/>
      <c r="F125" s="372"/>
      <c r="G125" s="372"/>
      <c r="H125" s="372"/>
      <c r="I125" s="372"/>
      <c r="J125" s="372"/>
      <c r="K125" s="372"/>
      <c r="L125" s="372"/>
      <c r="M125" s="372"/>
      <c r="N125" s="372"/>
      <c r="O125" s="372"/>
      <c r="P125" s="372"/>
      <c r="Q125" s="372"/>
      <c r="R125" s="372"/>
      <c r="S125" s="372"/>
      <c r="T125" s="372"/>
    </row>
    <row r="126" spans="1:20">
      <c r="A126" s="420" t="str">
        <f>"Calibration No.: "&amp;$T$12</f>
        <v>Calibration No.: CAL11957/02</v>
      </c>
      <c r="B126" s="421"/>
      <c r="C126" s="421"/>
      <c r="D126" s="421"/>
      <c r="E126" s="421"/>
      <c r="F126" s="421"/>
      <c r="G126" s="421"/>
      <c r="H126" s="421"/>
      <c r="I126" s="422" t="str">
        <f>$G$32</f>
        <v>0</v>
      </c>
      <c r="J126" s="421"/>
      <c r="K126" s="421"/>
      <c r="L126" s="421"/>
      <c r="M126" s="421"/>
      <c r="N126" s="420" t="s">
        <v>360</v>
      </c>
      <c r="O126" s="423"/>
      <c r="P126" s="423"/>
      <c r="Q126" s="423"/>
      <c r="R126" s="423"/>
      <c r="S126" s="423"/>
      <c r="T126" s="423" t="s">
        <v>795</v>
      </c>
    </row>
    <row r="127" spans="1:20">
      <c r="A127" s="119"/>
      <c r="B127" s="155"/>
      <c r="C127" s="155"/>
      <c r="D127" s="155"/>
      <c r="E127" s="155"/>
      <c r="F127" s="155"/>
      <c r="G127" s="155"/>
      <c r="H127" s="155"/>
      <c r="I127" s="156"/>
      <c r="J127" s="155"/>
      <c r="K127" s="155"/>
      <c r="L127" s="155"/>
      <c r="M127" s="155"/>
      <c r="N127" s="119"/>
      <c r="O127" s="157"/>
      <c r="P127" s="157"/>
      <c r="Q127" s="157"/>
      <c r="R127" s="157"/>
      <c r="S127" s="157"/>
      <c r="T127" s="157"/>
    </row>
    <row r="128" spans="1:20" ht="34.5" customHeight="1">
      <c r="A128" s="356" t="s">
        <v>753</v>
      </c>
      <c r="B128" s="1140" t="s">
        <v>772</v>
      </c>
      <c r="C128" s="1140"/>
      <c r="D128" s="1140"/>
      <c r="E128" s="1140"/>
      <c r="F128" s="1140"/>
      <c r="G128" s="1140"/>
      <c r="H128" s="1140"/>
      <c r="I128" s="1140"/>
      <c r="J128" s="1140"/>
      <c r="K128" s="1140"/>
      <c r="L128" s="1140"/>
      <c r="M128" s="1140"/>
      <c r="N128" s="1140"/>
      <c r="O128" s="1140"/>
      <c r="P128" s="1140"/>
      <c r="Q128" s="1140"/>
      <c r="R128" s="1140"/>
      <c r="S128" s="1140"/>
      <c r="T128" s="1140"/>
    </row>
    <row r="129" spans="1:20" ht="18" customHeight="1">
      <c r="A129" s="111"/>
      <c r="B129" s="305"/>
      <c r="C129" s="305"/>
      <c r="D129" s="305"/>
      <c r="E129" s="305"/>
      <c r="F129" s="305"/>
      <c r="G129" s="305"/>
      <c r="H129" s="305"/>
      <c r="I129" s="305"/>
      <c r="J129" s="305"/>
      <c r="K129" s="305"/>
      <c r="L129" s="305"/>
      <c r="M129" s="305"/>
      <c r="N129" s="305"/>
      <c r="O129" s="305"/>
      <c r="P129" s="305"/>
      <c r="Q129" s="305"/>
      <c r="R129" s="305"/>
      <c r="S129" s="305"/>
      <c r="T129" s="305"/>
    </row>
    <row r="130" spans="1:20" ht="15.75">
      <c r="A130" s="112"/>
      <c r="B130" s="112"/>
      <c r="C130" s="112"/>
      <c r="D130" s="112"/>
      <c r="E130" s="112"/>
      <c r="F130" s="112"/>
      <c r="G130" s="112"/>
      <c r="H130" s="112"/>
      <c r="I130" s="112"/>
      <c r="J130" s="112"/>
      <c r="K130" s="112"/>
      <c r="L130" s="112"/>
      <c r="M130" s="112"/>
      <c r="N130" s="112"/>
      <c r="O130" s="112"/>
      <c r="P130" s="112"/>
      <c r="Q130" s="112"/>
    </row>
    <row r="131" spans="1:20" ht="15.75">
      <c r="A131" s="112" t="s">
        <v>369</v>
      </c>
      <c r="B131" s="112"/>
      <c r="C131" s="112"/>
      <c r="D131" s="112"/>
      <c r="E131" s="112"/>
      <c r="F131" s="112"/>
      <c r="G131" s="112"/>
      <c r="H131" s="112"/>
      <c r="I131" s="112"/>
      <c r="J131" s="112"/>
      <c r="K131" s="112"/>
      <c r="L131" s="112"/>
      <c r="M131" s="112"/>
      <c r="N131" s="112"/>
      <c r="O131" s="112"/>
      <c r="P131" s="112"/>
      <c r="Q131" s="112"/>
    </row>
    <row r="132" spans="1:20" ht="63.95" customHeight="1">
      <c r="A132" s="113" t="s">
        <v>370</v>
      </c>
      <c r="B132" s="1136" t="s">
        <v>1298</v>
      </c>
      <c r="C132" s="1136"/>
      <c r="D132" s="1136"/>
      <c r="E132" s="1136"/>
      <c r="F132" s="1136"/>
      <c r="G132" s="1136"/>
      <c r="H132" s="1136"/>
      <c r="I132" s="1136"/>
      <c r="J132" s="1136"/>
      <c r="K132" s="1136"/>
      <c r="L132" s="1136"/>
      <c r="M132" s="1136"/>
      <c r="N132" s="1136"/>
      <c r="O132" s="1136"/>
      <c r="P132" s="1136"/>
      <c r="Q132" s="1136"/>
      <c r="R132" s="1136"/>
      <c r="S132" s="1136"/>
      <c r="T132" s="1136"/>
    </row>
    <row r="133" spans="1:20" ht="15" customHeight="1">
      <c r="A133" s="112"/>
      <c r="B133" s="112"/>
      <c r="C133" s="112"/>
      <c r="D133" s="112"/>
      <c r="E133" s="112"/>
      <c r="F133" s="112"/>
      <c r="G133" s="112"/>
      <c r="H133" s="112"/>
      <c r="I133" s="112"/>
      <c r="J133" s="112"/>
      <c r="K133" s="112"/>
      <c r="L133" s="112"/>
      <c r="M133" s="112"/>
      <c r="N133" s="112"/>
      <c r="O133" s="112"/>
      <c r="P133" s="112"/>
      <c r="Q133" s="112"/>
    </row>
    <row r="134" spans="1:20" ht="15" customHeight="1">
      <c r="A134" s="112"/>
      <c r="B134" s="112"/>
      <c r="C134" s="112"/>
      <c r="D134" s="112"/>
      <c r="E134" s="112"/>
      <c r="F134" s="112"/>
      <c r="G134" s="112"/>
      <c r="H134" s="112"/>
      <c r="I134" s="112"/>
      <c r="J134" s="112"/>
      <c r="K134" s="112"/>
      <c r="L134" s="112"/>
      <c r="M134" s="112"/>
      <c r="N134" s="112"/>
      <c r="O134" s="112"/>
      <c r="P134" s="112"/>
      <c r="Q134" s="112"/>
    </row>
    <row r="135" spans="1:20" ht="15" customHeight="1">
      <c r="A135" s="112"/>
      <c r="B135" s="112"/>
      <c r="C135" s="112"/>
      <c r="D135" s="112"/>
      <c r="E135" s="112"/>
      <c r="F135" s="112"/>
      <c r="G135" s="112"/>
      <c r="H135" s="112"/>
      <c r="I135" s="112"/>
      <c r="J135" s="112"/>
      <c r="K135" s="112"/>
      <c r="L135" s="112"/>
      <c r="M135" s="112"/>
      <c r="N135" s="112"/>
      <c r="O135" s="112"/>
      <c r="P135" s="112"/>
      <c r="Q135" s="112"/>
    </row>
    <row r="136" spans="1:20" ht="15" customHeight="1">
      <c r="A136" s="149" t="s">
        <v>478</v>
      </c>
      <c r="B136" s="112"/>
      <c r="C136" s="112"/>
      <c r="D136" s="112"/>
      <c r="E136" s="112"/>
      <c r="F136" s="112"/>
      <c r="G136" s="112"/>
      <c r="H136" s="112"/>
      <c r="I136" s="112"/>
      <c r="J136" s="112"/>
      <c r="K136" s="112"/>
      <c r="L136" s="112"/>
      <c r="M136" s="112"/>
      <c r="N136" s="112"/>
      <c r="O136" s="112"/>
      <c r="P136" s="112"/>
      <c r="Q136" s="112"/>
    </row>
    <row r="137" spans="1:20" ht="34.5" customHeight="1">
      <c r="A137" s="356" t="s">
        <v>753</v>
      </c>
      <c r="B137" s="1140" t="s">
        <v>1312</v>
      </c>
      <c r="C137" s="1140"/>
      <c r="D137" s="1140"/>
      <c r="E137" s="1140"/>
      <c r="F137" s="1140"/>
      <c r="G137" s="1140"/>
      <c r="H137" s="1140"/>
      <c r="I137" s="1140"/>
      <c r="J137" s="1140"/>
      <c r="K137" s="1140"/>
      <c r="L137" s="1140"/>
      <c r="M137" s="1140"/>
      <c r="N137" s="1140"/>
      <c r="O137" s="1140"/>
      <c r="P137" s="1140"/>
      <c r="Q137" s="1140"/>
      <c r="R137" s="1140"/>
      <c r="S137" s="1140"/>
      <c r="T137" s="1140"/>
    </row>
    <row r="138" spans="1:20" ht="15" customHeight="1">
      <c r="A138" s="112"/>
      <c r="B138" s="112"/>
      <c r="C138" s="112"/>
      <c r="D138" s="112"/>
      <c r="E138" s="112"/>
      <c r="F138" s="112"/>
      <c r="G138" s="112"/>
      <c r="H138" s="112"/>
      <c r="I138" s="112"/>
      <c r="J138" s="112"/>
      <c r="K138" s="112"/>
      <c r="L138" s="112"/>
      <c r="M138" s="112"/>
      <c r="N138" s="112"/>
      <c r="O138" s="112"/>
      <c r="P138" s="112"/>
      <c r="Q138" s="112"/>
    </row>
    <row r="139" spans="1:20" ht="15" customHeight="1">
      <c r="A139" s="112"/>
      <c r="B139" s="112"/>
      <c r="C139" s="112"/>
      <c r="D139" s="112"/>
      <c r="E139" s="112"/>
      <c r="F139" s="112"/>
      <c r="G139" s="112"/>
      <c r="H139" s="112"/>
      <c r="I139" s="112"/>
      <c r="J139" s="112"/>
      <c r="K139" s="112"/>
      <c r="L139" s="112"/>
      <c r="M139" s="112"/>
      <c r="N139" s="112"/>
      <c r="O139" s="112"/>
      <c r="P139" s="112"/>
      <c r="Q139" s="112"/>
    </row>
    <row r="140" spans="1:20" ht="15" customHeight="1">
      <c r="A140" s="112"/>
      <c r="B140" s="112"/>
      <c r="C140" s="112"/>
      <c r="D140" s="112"/>
      <c r="E140" s="112"/>
      <c r="F140" s="112"/>
      <c r="G140" s="112"/>
      <c r="H140" s="112"/>
      <c r="I140" s="112"/>
      <c r="J140" s="112"/>
      <c r="K140" s="112"/>
      <c r="L140" s="112"/>
      <c r="M140" s="112"/>
      <c r="N140" s="112"/>
      <c r="O140" s="112"/>
      <c r="P140" s="112"/>
      <c r="Q140" s="112"/>
    </row>
    <row r="141" spans="1:20" ht="15" customHeight="1">
      <c r="A141" s="112"/>
      <c r="B141" s="112"/>
      <c r="C141" s="112"/>
      <c r="D141" s="112"/>
      <c r="E141" s="112"/>
      <c r="F141" s="112"/>
      <c r="G141" s="112"/>
      <c r="H141" s="112"/>
      <c r="I141" s="112"/>
      <c r="J141" s="112"/>
      <c r="K141" s="112"/>
      <c r="L141" s="112"/>
      <c r="M141" s="112"/>
      <c r="N141" s="112"/>
      <c r="O141" s="112"/>
      <c r="P141" s="112"/>
      <c r="Q141" s="112"/>
    </row>
    <row r="142" spans="1:20" ht="15" customHeight="1">
      <c r="A142" s="112"/>
      <c r="B142" s="112"/>
      <c r="C142" s="112"/>
      <c r="D142" s="112"/>
      <c r="E142" s="112"/>
      <c r="F142" s="112"/>
      <c r="G142" s="112"/>
      <c r="H142" s="112"/>
      <c r="I142" s="112"/>
      <c r="J142" s="112"/>
      <c r="K142" s="112"/>
      <c r="L142" s="112"/>
      <c r="M142" s="112"/>
      <c r="N142" s="112"/>
      <c r="O142" s="112"/>
      <c r="P142" s="112"/>
      <c r="Q142" s="112"/>
    </row>
    <row r="143" spans="1:20" ht="15" customHeight="1">
      <c r="A143" s="112"/>
      <c r="B143" s="112"/>
      <c r="C143" s="112"/>
      <c r="D143" s="112"/>
      <c r="E143" s="112"/>
      <c r="F143" s="112"/>
      <c r="G143" s="112"/>
      <c r="H143" s="112"/>
      <c r="I143" s="112"/>
      <c r="J143" s="112"/>
      <c r="K143" s="112"/>
      <c r="L143" s="112"/>
      <c r="M143" s="112"/>
      <c r="N143" s="112"/>
      <c r="O143" s="112"/>
      <c r="P143" s="112"/>
      <c r="Q143" s="112"/>
    </row>
    <row r="144" spans="1:20" ht="15" customHeight="1">
      <c r="A144" s="112"/>
      <c r="B144" s="112"/>
      <c r="C144" s="112"/>
      <c r="D144" s="112"/>
      <c r="E144" s="112"/>
      <c r="F144" s="112"/>
      <c r="G144" s="112"/>
      <c r="H144" s="112"/>
      <c r="I144" s="112"/>
      <c r="J144" s="112"/>
      <c r="K144" s="112"/>
      <c r="L144" s="112"/>
      <c r="M144" s="112"/>
      <c r="N144" s="112"/>
      <c r="O144" s="112"/>
      <c r="P144" s="112"/>
      <c r="Q144" s="112"/>
    </row>
    <row r="145" spans="1:20" ht="15" customHeight="1">
      <c r="A145" s="112"/>
      <c r="B145" s="112"/>
      <c r="C145" s="112"/>
      <c r="D145" s="112"/>
      <c r="E145" s="112"/>
      <c r="F145" s="112"/>
      <c r="G145" s="112"/>
      <c r="H145" s="112"/>
      <c r="I145" s="112"/>
      <c r="J145" s="112"/>
      <c r="K145" s="112"/>
      <c r="L145" s="112"/>
      <c r="M145" s="112"/>
      <c r="N145" s="112"/>
      <c r="O145" s="112"/>
      <c r="P145" s="112"/>
      <c r="Q145" s="112"/>
    </row>
    <row r="146" spans="1:20" ht="271.5" customHeight="1">
      <c r="A146" s="112"/>
      <c r="B146" s="112"/>
      <c r="C146" s="112"/>
      <c r="D146" s="112"/>
      <c r="E146" s="112"/>
      <c r="F146" s="112"/>
      <c r="G146" s="112"/>
      <c r="H146" s="112"/>
      <c r="I146" s="112"/>
      <c r="J146" s="112"/>
      <c r="K146" s="112"/>
      <c r="L146" s="112"/>
      <c r="M146" s="112"/>
      <c r="N146" s="112"/>
      <c r="O146" s="112"/>
      <c r="P146" s="112"/>
      <c r="Q146" s="112"/>
    </row>
    <row r="147" spans="1:20" ht="15" customHeight="1">
      <c r="A147" s="112"/>
      <c r="B147" s="112"/>
      <c r="C147" s="112"/>
      <c r="D147" s="112"/>
      <c r="E147" s="112"/>
      <c r="F147" s="112"/>
      <c r="G147" s="112"/>
      <c r="H147" s="112"/>
      <c r="I147" s="112"/>
      <c r="J147" s="112"/>
      <c r="K147" s="112"/>
      <c r="L147" s="112"/>
      <c r="M147" s="112"/>
      <c r="N147" s="112"/>
      <c r="O147" s="112"/>
      <c r="P147" s="112"/>
      <c r="Q147" s="112"/>
    </row>
    <row r="148" spans="1:20" ht="15" customHeight="1">
      <c r="A148" s="112"/>
      <c r="B148" s="112"/>
      <c r="C148" s="112"/>
      <c r="D148" s="112"/>
      <c r="E148" s="112"/>
      <c r="F148" s="112"/>
      <c r="G148" s="112"/>
      <c r="H148" s="112"/>
      <c r="I148" s="112"/>
      <c r="J148" s="112"/>
      <c r="K148" s="112"/>
      <c r="L148" s="112"/>
      <c r="M148" s="112"/>
      <c r="N148" s="112"/>
      <c r="O148" s="112"/>
      <c r="P148" s="112"/>
      <c r="Q148" s="112"/>
    </row>
    <row r="149" spans="1:20" ht="15" customHeight="1">
      <c r="A149" s="112"/>
      <c r="B149" s="112"/>
      <c r="C149" s="112"/>
      <c r="D149" s="112"/>
      <c r="E149" s="112"/>
      <c r="F149" s="112"/>
      <c r="G149" s="112"/>
      <c r="H149" s="112"/>
      <c r="I149" s="112"/>
      <c r="J149" s="112"/>
      <c r="K149" s="112"/>
      <c r="L149" s="112"/>
      <c r="M149" s="112"/>
      <c r="N149" s="112"/>
      <c r="O149" s="112"/>
      <c r="P149" s="112"/>
      <c r="Q149" s="112"/>
    </row>
    <row r="150" spans="1:20" ht="15" customHeight="1">
      <c r="A150" s="112"/>
      <c r="B150" s="112"/>
      <c r="C150" s="112"/>
      <c r="D150" s="112"/>
      <c r="E150" s="112"/>
      <c r="F150" s="112"/>
      <c r="G150" s="112"/>
      <c r="H150" s="112"/>
      <c r="I150" s="112"/>
      <c r="J150" s="112"/>
      <c r="K150" s="112"/>
      <c r="L150" s="112"/>
      <c r="M150" s="112"/>
      <c r="N150" s="112"/>
      <c r="O150" s="112"/>
      <c r="P150" s="112"/>
      <c r="Q150" s="112"/>
    </row>
    <row r="151" spans="1:20" ht="15" customHeight="1">
      <c r="A151" s="112"/>
      <c r="B151" s="112"/>
      <c r="C151" s="112"/>
      <c r="D151" s="112"/>
      <c r="E151" s="112"/>
      <c r="F151" s="112"/>
      <c r="G151" s="112"/>
      <c r="H151" s="112"/>
      <c r="I151" s="112"/>
      <c r="J151" s="112"/>
      <c r="K151" s="112"/>
      <c r="L151" s="112"/>
      <c r="M151" s="112"/>
      <c r="N151" s="112"/>
      <c r="O151" s="112"/>
      <c r="P151" s="112"/>
      <c r="Q151" s="112"/>
    </row>
    <row r="152" spans="1:20" ht="15" customHeight="1">
      <c r="A152" s="112"/>
      <c r="B152" s="112"/>
      <c r="C152" s="112"/>
      <c r="D152" s="112"/>
      <c r="E152" s="112"/>
      <c r="F152" s="112"/>
      <c r="G152" s="112"/>
      <c r="H152" s="112"/>
      <c r="I152" s="112"/>
      <c r="J152" s="112"/>
      <c r="K152" s="112"/>
      <c r="L152" s="112"/>
      <c r="M152" s="112"/>
      <c r="N152" s="112"/>
      <c r="O152" s="112"/>
      <c r="P152" s="112"/>
      <c r="Q152" s="112"/>
    </row>
    <row r="153" spans="1:20" ht="15" customHeight="1">
      <c r="A153" s="112"/>
      <c r="B153" s="112"/>
      <c r="C153" s="112"/>
      <c r="D153" s="112"/>
      <c r="E153" s="112"/>
      <c r="F153" s="112"/>
      <c r="G153" s="112"/>
      <c r="H153" s="112"/>
      <c r="I153" s="112"/>
      <c r="J153" s="112"/>
      <c r="K153" s="112"/>
      <c r="L153" s="112"/>
      <c r="M153" s="112"/>
      <c r="N153" s="112"/>
      <c r="O153" s="112"/>
      <c r="P153" s="112"/>
      <c r="Q153" s="112"/>
    </row>
    <row r="154" spans="1:20" ht="15" customHeight="1"/>
    <row r="155" spans="1:20" ht="15" customHeight="1"/>
    <row r="156" spans="1:20" ht="15" customHeight="1"/>
    <row r="157" spans="1:20" ht="15" customHeight="1">
      <c r="A157" s="420" t="str">
        <f>"Calibration No.: "&amp;$T$12</f>
        <v>Calibration No.: CAL11957/02</v>
      </c>
      <c r="B157" s="421"/>
      <c r="C157" s="421"/>
      <c r="D157" s="421"/>
      <c r="E157" s="421"/>
      <c r="F157" s="421"/>
      <c r="G157" s="421"/>
      <c r="H157" s="421"/>
      <c r="I157" s="422" t="str">
        <f>$G$32</f>
        <v>0</v>
      </c>
      <c r="J157" s="421"/>
      <c r="K157" s="421"/>
      <c r="L157" s="421"/>
      <c r="M157" s="421"/>
      <c r="N157" s="420" t="s">
        <v>360</v>
      </c>
      <c r="O157" s="423"/>
      <c r="P157" s="423"/>
      <c r="Q157" s="423"/>
      <c r="R157" s="423"/>
      <c r="S157" s="423"/>
      <c r="T157" s="423" t="s">
        <v>782</v>
      </c>
    </row>
    <row r="163" spans="1:20" ht="48.75" customHeight="1" thickBot="1">
      <c r="A163" s="1426" t="s">
        <v>868</v>
      </c>
      <c r="B163" s="1426"/>
      <c r="C163" s="1426"/>
      <c r="D163" s="1426"/>
      <c r="E163" s="1426"/>
      <c r="F163" s="1426"/>
      <c r="G163" s="1426"/>
      <c r="H163" s="1426"/>
      <c r="I163" s="1426"/>
      <c r="J163" s="1426"/>
      <c r="K163" s="1426"/>
      <c r="L163" s="1426"/>
      <c r="M163" s="1426"/>
      <c r="N163" s="1426"/>
      <c r="O163" s="1426"/>
      <c r="P163" s="1426"/>
      <c r="Q163" s="1426"/>
      <c r="R163" s="1426"/>
      <c r="S163" s="1426"/>
      <c r="T163" s="1426"/>
    </row>
    <row r="164" spans="1:20" ht="18.75" customHeight="1">
      <c r="A164" s="164" t="s">
        <v>2</v>
      </c>
      <c r="B164" s="165"/>
      <c r="C164" s="165"/>
      <c r="D164" s="165"/>
      <c r="E164" s="165"/>
      <c r="F164" s="2"/>
      <c r="G164" s="165" t="str">
        <f>G19</f>
        <v>De-identified for distribution</v>
      </c>
      <c r="H164" s="165"/>
      <c r="I164" s="165"/>
      <c r="J164" s="165"/>
      <c r="K164" s="165"/>
      <c r="L164" s="165"/>
      <c r="M164" s="165"/>
      <c r="N164" s="165"/>
      <c r="O164" s="165"/>
      <c r="P164" s="165"/>
      <c r="Q164" s="165"/>
      <c r="R164" s="134"/>
      <c r="S164" s="2"/>
    </row>
    <row r="165" spans="1:20" ht="18" customHeight="1">
      <c r="A165" s="164" t="s">
        <v>1311</v>
      </c>
      <c r="B165" s="165"/>
      <c r="C165" s="165"/>
      <c r="D165" s="165"/>
      <c r="E165" s="165"/>
      <c r="F165" s="2"/>
      <c r="G165" s="165" t="str">
        <f>G24</f>
        <v>IBA FC65-G, serial number 457</v>
      </c>
      <c r="H165" s="165"/>
      <c r="I165" s="165"/>
      <c r="J165" s="165"/>
      <c r="K165" s="165"/>
      <c r="L165" s="165"/>
      <c r="M165" s="165"/>
      <c r="N165" s="165"/>
      <c r="O165" s="165"/>
      <c r="P165" s="165"/>
      <c r="Q165" s="165"/>
      <c r="R165" s="134"/>
      <c r="S165" s="2"/>
    </row>
    <row r="166" spans="1:20" ht="18" customHeight="1">
      <c r="A166" s="165" t="s">
        <v>1327</v>
      </c>
      <c r="B166" s="165"/>
      <c r="C166" s="165"/>
      <c r="D166" s="165"/>
      <c r="E166" s="165"/>
      <c r="F166" s="2"/>
      <c r="G166" s="165" t="str">
        <f>Client!B31&amp;" V on the guard electrode"</f>
        <v>-242 V on the guard electrode</v>
      </c>
      <c r="H166" s="165"/>
      <c r="I166" s="165"/>
      <c r="J166" s="165"/>
      <c r="K166" s="165"/>
      <c r="L166" s="165"/>
      <c r="M166" s="165"/>
      <c r="N166" s="165"/>
      <c r="O166" s="165"/>
      <c r="P166" s="165"/>
      <c r="Q166" s="165"/>
      <c r="R166" s="134"/>
      <c r="S166" s="2"/>
    </row>
    <row r="167" spans="1:20" ht="18" customHeight="1">
      <c r="A167" s="165" t="s">
        <v>373</v>
      </c>
      <c r="B167" s="165"/>
      <c r="C167" s="165"/>
      <c r="D167" s="165"/>
      <c r="E167" s="165"/>
      <c r="F167" s="2"/>
      <c r="G167" s="166" t="str">
        <f>Client!Q13</f>
        <v>Positive (Central Electrode Negative)</v>
      </c>
      <c r="H167" s="165"/>
      <c r="I167" s="165"/>
      <c r="J167" s="165"/>
      <c r="K167" s="165"/>
      <c r="L167" s="165"/>
      <c r="M167" s="165"/>
      <c r="N167" s="165"/>
      <c r="O167" s="165"/>
      <c r="P167" s="165"/>
      <c r="Q167" s="165"/>
      <c r="R167" s="134"/>
      <c r="S167" s="2"/>
    </row>
    <row r="168" spans="1:20" ht="18" customHeight="1">
      <c r="A168" s="165" t="s">
        <v>332</v>
      </c>
      <c r="B168" s="165"/>
      <c r="C168" s="165"/>
      <c r="D168" s="165"/>
      <c r="E168" s="165"/>
      <c r="F168" s="2"/>
      <c r="G168" s="165" t="str">
        <f ca="1">Client!Q8</f>
        <v>The geometrical centre of the cavity</v>
      </c>
      <c r="H168" s="165"/>
      <c r="I168" s="165"/>
      <c r="J168" s="165"/>
      <c r="K168" s="165"/>
      <c r="L168" s="165"/>
      <c r="M168" s="165"/>
      <c r="N168" s="165"/>
      <c r="O168" s="165"/>
      <c r="P168" s="165"/>
      <c r="Q168" s="165"/>
      <c r="R168" s="134"/>
      <c r="S168" s="2"/>
    </row>
    <row r="169" spans="1:20" ht="18" customHeight="1">
      <c r="A169" s="165" t="s">
        <v>374</v>
      </c>
      <c r="B169" s="165"/>
      <c r="C169" s="165"/>
      <c r="D169" s="165"/>
      <c r="E169" s="165"/>
      <c r="F169" s="2"/>
      <c r="G169" s="165" t="s">
        <v>375</v>
      </c>
      <c r="H169" s="165"/>
      <c r="I169" s="165"/>
      <c r="J169" s="165"/>
      <c r="K169" s="165"/>
      <c r="L169" s="165"/>
      <c r="M169" s="165"/>
      <c r="N169" s="165"/>
      <c r="O169" s="165"/>
      <c r="P169" s="165"/>
      <c r="Q169" s="165"/>
      <c r="R169" s="134"/>
      <c r="S169" s="2"/>
    </row>
    <row r="170" spans="1:20" ht="18" customHeight="1">
      <c r="A170" s="165"/>
      <c r="B170" s="165"/>
      <c r="C170" s="165"/>
      <c r="D170" s="165"/>
      <c r="E170" s="165"/>
      <c r="F170" s="2"/>
      <c r="G170" s="165" t="s">
        <v>377</v>
      </c>
      <c r="H170" s="165"/>
      <c r="I170" s="165"/>
      <c r="J170" s="165"/>
      <c r="K170" s="165"/>
      <c r="L170" s="165"/>
      <c r="M170" s="165"/>
      <c r="N170" s="165"/>
      <c r="O170" s="165"/>
      <c r="P170" s="165"/>
      <c r="Q170" s="165"/>
      <c r="R170" s="134"/>
      <c r="S170" s="2"/>
    </row>
    <row r="171" spans="1:20" ht="18" customHeight="1">
      <c r="A171" s="165"/>
      <c r="B171" s="165"/>
      <c r="C171" s="165"/>
      <c r="D171" s="165"/>
      <c r="E171" s="165"/>
      <c r="F171" s="2"/>
      <c r="G171" s="165" t="s">
        <v>757</v>
      </c>
      <c r="H171" s="165"/>
      <c r="I171" s="165"/>
      <c r="J171" s="165"/>
      <c r="K171" s="165"/>
      <c r="L171" s="165"/>
      <c r="M171" s="165"/>
      <c r="N171" s="165"/>
      <c r="O171" s="165"/>
      <c r="P171" s="165"/>
      <c r="Q171" s="165"/>
      <c r="R171" s="134"/>
      <c r="S171" s="2"/>
    </row>
    <row r="172" spans="1:20" ht="18" customHeight="1">
      <c r="A172" s="165"/>
      <c r="B172" s="165"/>
      <c r="C172" s="165"/>
      <c r="D172" s="165"/>
      <c r="E172" s="165"/>
      <c r="F172" s="2"/>
      <c r="G172" s="165" t="s">
        <v>758</v>
      </c>
      <c r="H172" s="165"/>
      <c r="I172" s="165"/>
      <c r="J172" s="165"/>
      <c r="K172" s="165"/>
      <c r="L172" s="165"/>
      <c r="M172" s="165"/>
      <c r="N172" s="165"/>
      <c r="O172" s="165"/>
      <c r="P172" s="165"/>
      <c r="Q172" s="165"/>
      <c r="R172" s="134"/>
      <c r="S172" s="2"/>
    </row>
    <row r="173" spans="1:20" ht="18" customHeight="1">
      <c r="A173" s="165"/>
      <c r="B173" s="165"/>
      <c r="C173" s="165"/>
      <c r="D173" s="165"/>
      <c r="E173" s="165"/>
      <c r="F173" s="2"/>
      <c r="G173" s="165" t="s">
        <v>1048</v>
      </c>
      <c r="H173" s="165"/>
      <c r="I173" s="165"/>
      <c r="J173" s="165"/>
      <c r="K173" s="165"/>
      <c r="L173" s="165"/>
      <c r="M173" s="165"/>
      <c r="N173" s="165"/>
      <c r="O173" s="165"/>
      <c r="P173" s="165"/>
      <c r="Q173" s="165"/>
      <c r="R173" s="134"/>
      <c r="S173" s="2"/>
    </row>
    <row r="174" spans="1:20" ht="18" customHeight="1">
      <c r="A174" s="165"/>
      <c r="B174" s="165"/>
      <c r="C174" s="165"/>
      <c r="D174" s="165"/>
      <c r="E174" s="165"/>
      <c r="F174" s="2"/>
      <c r="G174" s="165" t="s">
        <v>759</v>
      </c>
      <c r="H174" s="165"/>
      <c r="I174" s="165"/>
      <c r="J174" s="165"/>
      <c r="K174" s="165"/>
      <c r="L174" s="165"/>
      <c r="M174" s="165"/>
      <c r="N174" s="165"/>
      <c r="O174" s="165"/>
      <c r="P174" s="165"/>
      <c r="Q174" s="165"/>
      <c r="R174" s="134"/>
      <c r="S174" s="2"/>
    </row>
    <row r="175" spans="1:20" ht="31.5" customHeight="1">
      <c r="A175" s="186" t="s">
        <v>380</v>
      </c>
      <c r="B175" s="165"/>
      <c r="C175" s="165"/>
      <c r="D175" s="165"/>
      <c r="E175" s="165"/>
      <c r="F175" s="2"/>
      <c r="G175" s="1133" t="str">
        <f ca="1">Client!Q14</f>
        <v>The buildup cap was removed and the chamber placed directly in the water phantom (no sleeve)</v>
      </c>
      <c r="H175" s="1133"/>
      <c r="I175" s="1133"/>
      <c r="J175" s="1133"/>
      <c r="K175" s="1133"/>
      <c r="L175" s="1133"/>
      <c r="M175" s="1133"/>
      <c r="N175" s="1133"/>
      <c r="O175" s="1133"/>
      <c r="P175" s="1133"/>
      <c r="Q175" s="1133"/>
      <c r="R175" s="1133"/>
      <c r="S175" s="1133"/>
      <c r="T175" s="1133"/>
    </row>
    <row r="176" spans="1:20" ht="18" customHeight="1">
      <c r="A176" s="165" t="s">
        <v>382</v>
      </c>
      <c r="B176" s="167"/>
      <c r="C176" s="165"/>
      <c r="D176" s="165"/>
      <c r="E176" s="165"/>
      <c r="F176" s="2"/>
      <c r="G176" s="165" t="s">
        <v>760</v>
      </c>
      <c r="H176" s="165"/>
      <c r="I176" s="165"/>
      <c r="J176" s="165"/>
      <c r="K176" s="165"/>
      <c r="L176" s="165"/>
      <c r="M176" s="165"/>
      <c r="N176" s="165"/>
      <c r="O176" s="165"/>
      <c r="P176" s="165"/>
      <c r="Q176" s="165"/>
      <c r="R176" s="134"/>
      <c r="S176" s="2"/>
    </row>
    <row r="177" spans="1:19" ht="18" customHeight="1">
      <c r="A177" s="165" t="s">
        <v>384</v>
      </c>
      <c r="B177" s="167"/>
      <c r="C177" s="165"/>
      <c r="D177" s="165"/>
      <c r="E177" s="165"/>
      <c r="F177" s="2"/>
      <c r="G177" s="165" t="s">
        <v>385</v>
      </c>
      <c r="H177" s="165"/>
      <c r="I177" s="165"/>
      <c r="J177" s="165"/>
      <c r="K177" s="165"/>
      <c r="L177" s="165"/>
      <c r="M177" s="165"/>
      <c r="N177" s="165"/>
      <c r="O177" s="165"/>
      <c r="P177" s="165"/>
      <c r="Q177" s="165"/>
      <c r="R177" s="134"/>
      <c r="S177" s="2"/>
    </row>
    <row r="178" spans="1:19" ht="18" customHeight="1">
      <c r="A178" s="165" t="s">
        <v>762</v>
      </c>
      <c r="B178" s="167"/>
      <c r="C178" s="165"/>
      <c r="D178" s="165"/>
      <c r="E178" s="165"/>
      <c r="F178" s="2"/>
      <c r="G178" s="165" t="str">
        <f>CoReport!G236</f>
        <v>0</v>
      </c>
      <c r="H178" s="165"/>
      <c r="I178" s="165"/>
      <c r="J178" s="165"/>
      <c r="K178" s="165"/>
      <c r="L178" s="165"/>
      <c r="M178" s="165"/>
      <c r="N178" s="165"/>
      <c r="O178" s="165"/>
      <c r="P178" s="165"/>
      <c r="Q178" s="165"/>
      <c r="R178" s="134"/>
      <c r="S178" s="2"/>
    </row>
    <row r="179" spans="1:19" ht="18" customHeight="1">
      <c r="A179" s="165" t="s">
        <v>761</v>
      </c>
      <c r="B179" s="167"/>
      <c r="C179" s="165"/>
      <c r="D179" s="165"/>
      <c r="E179" s="165"/>
      <c r="F179" s="2"/>
      <c r="G179" s="165" t="str">
        <f>'MV-P'!H6</f>
        <v>0</v>
      </c>
      <c r="H179" s="165"/>
      <c r="I179" s="165"/>
      <c r="J179" s="165"/>
      <c r="K179" s="165"/>
      <c r="L179" s="165"/>
      <c r="M179" s="165"/>
      <c r="N179" s="165"/>
      <c r="O179" s="165"/>
      <c r="P179" s="165"/>
      <c r="Q179" s="165"/>
      <c r="R179" s="134"/>
      <c r="S179" s="2"/>
    </row>
    <row r="180" spans="1:19" ht="18" customHeight="1">
      <c r="A180" s="163" t="s">
        <v>387</v>
      </c>
      <c r="B180" s="162"/>
      <c r="C180" s="91"/>
      <c r="D180" s="91"/>
      <c r="E180" s="91"/>
      <c r="F180" s="91"/>
      <c r="G180" s="91"/>
      <c r="H180" s="91"/>
      <c r="I180" s="91"/>
      <c r="J180" s="91"/>
      <c r="K180" s="91"/>
      <c r="L180" s="91"/>
      <c r="M180" s="91"/>
      <c r="N180" s="91"/>
      <c r="O180" s="91"/>
      <c r="P180" s="91"/>
      <c r="Q180" s="91"/>
      <c r="R180" s="97"/>
    </row>
    <row r="181" spans="1:19" ht="15">
      <c r="A181" s="91"/>
      <c r="B181" s="91"/>
      <c r="C181" s="91"/>
      <c r="D181" s="91"/>
      <c r="E181" s="91"/>
      <c r="F181" s="91"/>
      <c r="G181" s="91"/>
      <c r="H181" s="91"/>
      <c r="I181" s="91"/>
      <c r="J181" s="91"/>
      <c r="K181" s="91"/>
      <c r="L181" s="91"/>
      <c r="M181" s="91"/>
      <c r="N181" s="91"/>
      <c r="O181" s="91"/>
      <c r="P181" s="91"/>
      <c r="Q181" s="91"/>
      <c r="R181" s="97"/>
    </row>
    <row r="182" spans="1:19" ht="18">
      <c r="C182" s="163" t="s">
        <v>765</v>
      </c>
    </row>
    <row r="183" spans="1:19" ht="51.75" customHeight="1">
      <c r="C183" s="1186" t="s">
        <v>763</v>
      </c>
      <c r="D183" s="1187"/>
      <c r="E183" s="1187"/>
      <c r="F183" s="1188"/>
      <c r="G183" s="1186" t="s">
        <v>1269</v>
      </c>
      <c r="H183" s="1187"/>
      <c r="I183" s="1187"/>
      <c r="J183" s="1188"/>
      <c r="K183" s="1186" t="s">
        <v>1270</v>
      </c>
      <c r="L183" s="1187"/>
      <c r="M183" s="1187"/>
      <c r="N183" s="1188"/>
      <c r="O183" s="1186" t="s">
        <v>1267</v>
      </c>
      <c r="P183" s="1187"/>
      <c r="Q183" s="1187"/>
      <c r="R183" s="1188"/>
    </row>
    <row r="184" spans="1:19" ht="18" customHeight="1">
      <c r="C184" s="1348"/>
      <c r="D184" s="1407"/>
      <c r="E184" s="1407"/>
      <c r="F184" s="1349"/>
      <c r="G184" s="1408" t="s">
        <v>1268</v>
      </c>
      <c r="H184" s="1407"/>
      <c r="I184" s="1407"/>
      <c r="J184" s="1349"/>
      <c r="K184" s="1348" t="s">
        <v>7</v>
      </c>
      <c r="L184" s="1407"/>
      <c r="M184" s="1407"/>
      <c r="N184" s="1349"/>
      <c r="O184" s="1348" t="s">
        <v>140</v>
      </c>
      <c r="P184" s="1407"/>
      <c r="Q184" s="1407"/>
      <c r="R184" s="1349"/>
    </row>
    <row r="185" spans="1:19" ht="24" customHeight="1">
      <c r="C185" s="1183" t="s">
        <v>764</v>
      </c>
      <c r="D185" s="1184"/>
      <c r="E185" s="1184"/>
      <c r="F185" s="1185"/>
      <c r="G185" s="1183">
        <f>'MV-P'!P13</f>
        <v>0.56899999999999995</v>
      </c>
      <c r="H185" s="1184"/>
      <c r="I185" s="1184"/>
      <c r="J185" s="1185"/>
      <c r="K185" s="1418" t="e">
        <f>'MV-P'!Q13</f>
        <v>#VALUE!</v>
      </c>
      <c r="L185" s="1419"/>
      <c r="M185" s="1419"/>
      <c r="N185" s="1420"/>
      <c r="O185" s="1183">
        <v>0.8</v>
      </c>
      <c r="P185" s="1184"/>
      <c r="Q185" s="1184"/>
      <c r="R185" s="1185"/>
    </row>
    <row r="186" spans="1:19" ht="18" customHeight="1">
      <c r="C186" s="369" t="s">
        <v>769</v>
      </c>
      <c r="D186" s="364"/>
      <c r="E186" s="364"/>
      <c r="F186" s="364"/>
      <c r="G186" s="364"/>
      <c r="H186" s="364"/>
      <c r="I186" s="364"/>
      <c r="J186" s="364"/>
      <c r="K186" s="365"/>
      <c r="L186" s="364"/>
      <c r="M186" s="364"/>
      <c r="N186" s="364"/>
      <c r="O186" s="364"/>
      <c r="P186" s="364"/>
      <c r="Q186" s="364"/>
      <c r="R186" s="364"/>
    </row>
    <row r="187" spans="1:19" ht="18" customHeight="1">
      <c r="C187" s="366"/>
      <c r="D187" s="364"/>
      <c r="E187" s="364"/>
      <c r="F187" s="364"/>
      <c r="G187" s="364"/>
      <c r="H187" s="364"/>
      <c r="I187" s="364"/>
      <c r="J187" s="364"/>
      <c r="K187" s="365"/>
      <c r="L187" s="364"/>
      <c r="M187" s="364"/>
      <c r="N187" s="364"/>
      <c r="O187" s="364"/>
      <c r="P187" s="364"/>
      <c r="Q187" s="364"/>
      <c r="R187" s="364"/>
    </row>
    <row r="188" spans="1:19" ht="18" customHeight="1">
      <c r="C188" s="163" t="s">
        <v>766</v>
      </c>
    </row>
    <row r="189" spans="1:19" ht="29.25" customHeight="1">
      <c r="C189" s="1186" t="s">
        <v>763</v>
      </c>
      <c r="D189" s="1187"/>
      <c r="E189" s="1187"/>
      <c r="F189" s="1188"/>
      <c r="G189" s="1186" t="s">
        <v>1271</v>
      </c>
      <c r="H189" s="1187"/>
      <c r="I189" s="1187"/>
      <c r="J189" s="1188"/>
      <c r="K189" s="1186" t="s">
        <v>767</v>
      </c>
      <c r="L189" s="1187"/>
      <c r="M189" s="1187"/>
      <c r="N189" s="1188"/>
      <c r="O189" s="1186" t="s">
        <v>1267</v>
      </c>
      <c r="P189" s="1187"/>
      <c r="Q189" s="1187"/>
      <c r="R189" s="1188"/>
    </row>
    <row r="190" spans="1:19" ht="18" customHeight="1">
      <c r="C190" s="1348"/>
      <c r="D190" s="1407"/>
      <c r="E190" s="1407"/>
      <c r="F190" s="1349"/>
      <c r="G190" s="1408" t="s">
        <v>1268</v>
      </c>
      <c r="H190" s="1407"/>
      <c r="I190" s="1407"/>
      <c r="J190" s="1349"/>
      <c r="K190" s="1348"/>
      <c r="L190" s="1407"/>
      <c r="M190" s="1407"/>
      <c r="N190" s="1349"/>
      <c r="O190" s="1348" t="s">
        <v>140</v>
      </c>
      <c r="P190" s="1407"/>
      <c r="Q190" s="1407"/>
      <c r="R190" s="1349"/>
    </row>
    <row r="191" spans="1:19" ht="18" customHeight="1">
      <c r="C191" s="1183" t="s">
        <v>728</v>
      </c>
      <c r="D191" s="1184"/>
      <c r="E191" s="1184"/>
      <c r="F191" s="1185"/>
      <c r="G191" s="1409">
        <f>'MV-P'!P14</f>
        <v>0.68400000000000005</v>
      </c>
      <c r="H191" s="1410"/>
      <c r="I191" s="1410"/>
      <c r="J191" s="1411"/>
      <c r="K191" s="1409" t="e">
        <f>'MV-P'!R14</f>
        <v>#DIV/0!</v>
      </c>
      <c r="L191" s="1410"/>
      <c r="M191" s="1410"/>
      <c r="N191" s="1411"/>
      <c r="O191" s="1183">
        <v>0.7</v>
      </c>
      <c r="P191" s="1184"/>
      <c r="Q191" s="1184"/>
      <c r="R191" s="1185"/>
    </row>
    <row r="192" spans="1:19" ht="18" customHeight="1">
      <c r="C192" s="1412" t="s">
        <v>729</v>
      </c>
      <c r="D192" s="1413"/>
      <c r="E192" s="1413"/>
      <c r="F192" s="1414"/>
      <c r="G192" s="1415">
        <f>'MV-P'!P15</f>
        <v>0.73299999999999998</v>
      </c>
      <c r="H192" s="1416"/>
      <c r="I192" s="1416"/>
      <c r="J192" s="1417"/>
      <c r="K192" s="1415" t="e">
        <f>'MV-P'!R15</f>
        <v>#DIV/0!</v>
      </c>
      <c r="L192" s="1416"/>
      <c r="M192" s="1416"/>
      <c r="N192" s="1417"/>
      <c r="O192" s="1412">
        <v>0.8</v>
      </c>
      <c r="P192" s="1413"/>
      <c r="Q192" s="1413"/>
      <c r="R192" s="1414"/>
    </row>
    <row r="193" spans="1:20" ht="18" customHeight="1">
      <c r="C193" s="1183" t="s">
        <v>730</v>
      </c>
      <c r="D193" s="1184"/>
      <c r="E193" s="1184"/>
      <c r="F193" s="1185"/>
      <c r="G193" s="1409">
        <f>'MV-P'!P16</f>
        <v>0.77900000000000003</v>
      </c>
      <c r="H193" s="1410"/>
      <c r="I193" s="1410"/>
      <c r="J193" s="1411"/>
      <c r="K193" s="1409" t="e">
        <f>'MV-P'!R16</f>
        <v>#DIV/0!</v>
      </c>
      <c r="L193" s="1410"/>
      <c r="M193" s="1410"/>
      <c r="N193" s="1411"/>
      <c r="O193" s="1183">
        <v>0.8</v>
      </c>
      <c r="P193" s="1184"/>
      <c r="Q193" s="1184"/>
      <c r="R193" s="1185"/>
    </row>
    <row r="194" spans="1:20" ht="18" customHeight="1">
      <c r="A194" s="91"/>
      <c r="B194" s="91"/>
      <c r="C194" s="368" t="s">
        <v>768</v>
      </c>
      <c r="D194" s="91"/>
      <c r="E194" s="91"/>
      <c r="F194" s="91"/>
      <c r="G194" s="91"/>
      <c r="H194" s="91"/>
      <c r="I194" s="91"/>
      <c r="J194" s="91"/>
      <c r="K194" s="91"/>
      <c r="L194" s="91"/>
      <c r="M194" s="91"/>
      <c r="N194" s="91"/>
      <c r="O194" s="91"/>
      <c r="P194" s="91"/>
      <c r="Q194" s="91"/>
      <c r="R194" s="97"/>
    </row>
    <row r="195" spans="1:20" ht="15">
      <c r="A195" s="91"/>
      <c r="B195" s="91"/>
      <c r="C195" s="367"/>
      <c r="D195" s="91"/>
      <c r="E195" s="91"/>
      <c r="F195" s="91"/>
      <c r="G195" s="91"/>
      <c r="H195" s="91"/>
      <c r="I195" s="91"/>
      <c r="J195" s="91"/>
      <c r="K195" s="91"/>
      <c r="L195" s="91"/>
      <c r="M195" s="91"/>
      <c r="N195" s="91"/>
      <c r="O195" s="91"/>
      <c r="P195" s="91"/>
      <c r="Q195" s="91"/>
      <c r="R195" s="97"/>
    </row>
    <row r="196" spans="1:20" ht="15">
      <c r="A196" s="91"/>
      <c r="B196" s="91"/>
      <c r="C196" s="367"/>
      <c r="D196" s="91"/>
      <c r="E196" s="91"/>
      <c r="F196" s="91"/>
      <c r="G196" s="91"/>
      <c r="H196" s="91"/>
      <c r="I196" s="91"/>
      <c r="J196" s="91"/>
      <c r="K196" s="91"/>
      <c r="L196" s="91"/>
      <c r="M196" s="91"/>
      <c r="N196" s="91"/>
      <c r="O196" s="91"/>
      <c r="P196" s="91"/>
      <c r="Q196" s="91"/>
      <c r="R196" s="97"/>
    </row>
    <row r="197" spans="1:20" ht="15">
      <c r="A197" s="91"/>
      <c r="B197" s="91"/>
      <c r="C197" s="91"/>
      <c r="D197" s="91"/>
      <c r="E197" s="91"/>
      <c r="F197" s="91"/>
      <c r="G197" s="91"/>
      <c r="H197" s="91"/>
      <c r="I197" s="91"/>
      <c r="J197" s="91"/>
      <c r="K197" s="91"/>
      <c r="L197" s="91"/>
      <c r="M197" s="91"/>
      <c r="N197" s="91"/>
      <c r="O197" s="91"/>
      <c r="P197" s="91"/>
      <c r="Q197" s="91"/>
      <c r="R197" s="97"/>
    </row>
    <row r="198" spans="1:20" ht="15" customHeight="1">
      <c r="A198" s="91"/>
      <c r="B198" s="91"/>
      <c r="C198" s="91"/>
      <c r="D198" s="91"/>
      <c r="E198" s="91"/>
      <c r="F198" s="91"/>
      <c r="G198" s="91"/>
      <c r="H198" s="91"/>
      <c r="I198" s="91"/>
      <c r="J198" s="91"/>
      <c r="K198" s="93" t="str">
        <f>"Calibrated by "&amp;Client!B42&amp;" &amp; "&amp;Client!B93</f>
        <v xml:space="preserve">Calibrated by  &amp; </v>
      </c>
      <c r="L198" s="93"/>
      <c r="M198" s="93"/>
      <c r="N198" s="93"/>
      <c r="O198" s="383"/>
      <c r="P198" s="93"/>
      <c r="Q198" s="93"/>
      <c r="R198" s="117"/>
      <c r="S198" s="48"/>
    </row>
    <row r="199" spans="1:20" ht="13.5" customHeight="1">
      <c r="A199" s="91"/>
      <c r="B199" s="91"/>
      <c r="C199" s="91"/>
      <c r="D199" s="91"/>
      <c r="E199" s="91"/>
      <c r="F199" s="91"/>
      <c r="G199" s="91"/>
      <c r="H199" s="91"/>
      <c r="I199" s="91"/>
      <c r="J199" s="91"/>
      <c r="K199" s="91"/>
      <c r="L199" s="91"/>
      <c r="M199" s="91"/>
      <c r="N199" s="91"/>
      <c r="O199" s="91"/>
      <c r="P199" s="91"/>
      <c r="Q199" s="91"/>
      <c r="R199" s="97"/>
    </row>
    <row r="200" spans="1:20">
      <c r="A200" s="420" t="str">
        <f>"Calibration No.: "&amp;$T$12</f>
        <v>Calibration No.: CAL11957/02</v>
      </c>
      <c r="B200" s="421"/>
      <c r="C200" s="421"/>
      <c r="D200" s="421"/>
      <c r="E200" s="421"/>
      <c r="F200" s="421"/>
      <c r="G200" s="421"/>
      <c r="H200" s="421"/>
      <c r="I200" s="422" t="str">
        <f>$G$32</f>
        <v>0</v>
      </c>
      <c r="J200" s="421"/>
      <c r="K200" s="421"/>
      <c r="L200" s="421"/>
      <c r="M200" s="421"/>
      <c r="N200" s="420" t="s">
        <v>360</v>
      </c>
      <c r="O200" s="423"/>
      <c r="P200" s="423"/>
      <c r="Q200" s="423"/>
      <c r="R200" s="423"/>
      <c r="S200" s="423"/>
      <c r="T200" s="423" t="s">
        <v>781</v>
      </c>
    </row>
    <row r="201" spans="1:20">
      <c r="A201" s="119"/>
      <c r="B201" s="155"/>
      <c r="C201" s="155"/>
      <c r="D201" s="155"/>
      <c r="E201" s="155"/>
      <c r="F201" s="155"/>
      <c r="G201" s="155"/>
      <c r="H201" s="155"/>
      <c r="I201" s="156"/>
      <c r="J201" s="155"/>
      <c r="K201" s="155"/>
      <c r="L201" s="155"/>
      <c r="M201" s="155"/>
      <c r="N201" s="119"/>
      <c r="O201" s="157"/>
      <c r="P201" s="157"/>
      <c r="Q201" s="157"/>
      <c r="R201" s="157"/>
      <c r="S201" s="157"/>
      <c r="T201" s="157"/>
    </row>
    <row r="202" spans="1:20">
      <c r="A202" s="119"/>
      <c r="B202" s="155"/>
      <c r="C202" s="155"/>
      <c r="D202" s="155"/>
      <c r="E202" s="155"/>
      <c r="F202" s="155"/>
      <c r="G202" s="155"/>
      <c r="H202" s="155"/>
      <c r="I202" s="156"/>
      <c r="J202" s="155"/>
      <c r="K202" s="155"/>
      <c r="L202" s="155"/>
      <c r="M202" s="155"/>
      <c r="N202" s="119"/>
      <c r="O202" s="157"/>
      <c r="P202" s="157"/>
      <c r="Q202" s="157"/>
      <c r="R202" s="157"/>
      <c r="S202" s="157"/>
      <c r="T202" s="157"/>
    </row>
    <row r="203" spans="1:20">
      <c r="A203" s="119"/>
      <c r="B203" s="155"/>
      <c r="C203" s="155"/>
      <c r="D203" s="155"/>
      <c r="E203" s="155"/>
      <c r="F203" s="155"/>
      <c r="G203" s="155"/>
      <c r="H203" s="155"/>
      <c r="I203" s="156"/>
      <c r="J203" s="155"/>
      <c r="K203" s="155"/>
      <c r="L203" s="155"/>
      <c r="M203" s="155"/>
      <c r="N203" s="119"/>
      <c r="O203" s="157"/>
      <c r="P203" s="157"/>
      <c r="Q203" s="157"/>
      <c r="R203" s="157"/>
      <c r="S203" s="157"/>
      <c r="T203" s="157"/>
    </row>
    <row r="204" spans="1:20">
      <c r="A204" s="119"/>
      <c r="B204" s="155"/>
      <c r="C204" s="155"/>
      <c r="D204" s="155"/>
      <c r="E204" s="155"/>
      <c r="F204" s="155"/>
      <c r="G204" s="155"/>
      <c r="H204" s="155"/>
      <c r="I204" s="156"/>
      <c r="J204" s="155"/>
      <c r="K204" s="155"/>
      <c r="L204" s="155"/>
      <c r="M204" s="155"/>
      <c r="N204" s="119"/>
      <c r="O204" s="157"/>
      <c r="P204" s="157"/>
      <c r="Q204" s="157"/>
      <c r="R204" s="157"/>
      <c r="S204" s="157"/>
      <c r="T204" s="157"/>
    </row>
    <row r="205" spans="1:20">
      <c r="A205" s="119"/>
      <c r="B205" s="155"/>
      <c r="C205" s="155"/>
      <c r="D205" s="155"/>
      <c r="E205" s="155"/>
      <c r="F205" s="155"/>
      <c r="G205" s="155"/>
      <c r="H205" s="155"/>
      <c r="I205" s="156"/>
      <c r="J205" s="155"/>
      <c r="K205" s="155"/>
      <c r="L205" s="155"/>
      <c r="M205" s="155"/>
      <c r="N205" s="119"/>
      <c r="O205" s="157"/>
      <c r="P205" s="157"/>
      <c r="Q205" s="157"/>
      <c r="R205" s="157"/>
      <c r="S205" s="157"/>
      <c r="T205" s="157"/>
    </row>
    <row r="206" spans="1:20">
      <c r="A206" s="119"/>
      <c r="B206" s="155"/>
      <c r="C206" s="155"/>
      <c r="D206" s="155"/>
      <c r="E206" s="155"/>
      <c r="F206" s="155"/>
      <c r="G206" s="155"/>
      <c r="H206" s="155"/>
      <c r="I206" s="156"/>
      <c r="J206" s="155"/>
      <c r="K206" s="155"/>
      <c r="L206" s="155"/>
      <c r="M206" s="155"/>
      <c r="N206" s="119"/>
      <c r="O206" s="157"/>
      <c r="P206" s="157"/>
      <c r="Q206" s="157"/>
      <c r="R206" s="157"/>
      <c r="S206" s="157"/>
      <c r="T206" s="157"/>
    </row>
    <row r="207" spans="1:20">
      <c r="A207" s="119"/>
      <c r="B207" s="155"/>
      <c r="C207" s="155"/>
      <c r="D207" s="155"/>
      <c r="E207" s="155"/>
      <c r="F207" s="155"/>
      <c r="G207" s="155"/>
      <c r="H207" s="155"/>
      <c r="I207" s="156"/>
      <c r="J207" s="155"/>
      <c r="K207" s="155"/>
      <c r="L207" s="155"/>
      <c r="M207" s="155"/>
      <c r="N207" s="119"/>
      <c r="O207" s="157"/>
      <c r="P207" s="157"/>
      <c r="Q207" s="157"/>
      <c r="R207" s="157"/>
      <c r="S207" s="157"/>
      <c r="T207" s="157"/>
    </row>
    <row r="208" spans="1:20">
      <c r="A208" s="119"/>
      <c r="B208" s="155"/>
      <c r="C208" s="155"/>
      <c r="D208" s="155"/>
      <c r="E208" s="155"/>
      <c r="F208" s="155"/>
      <c r="G208" s="155"/>
      <c r="H208" s="155"/>
      <c r="I208" s="156"/>
      <c r="J208" s="155"/>
      <c r="K208" s="155"/>
      <c r="L208" s="155"/>
      <c r="M208" s="155"/>
      <c r="N208" s="119"/>
      <c r="O208" s="157"/>
      <c r="P208" s="157"/>
      <c r="Q208" s="157"/>
      <c r="R208" s="157"/>
      <c r="S208" s="157"/>
      <c r="T208" s="157"/>
    </row>
    <row r="209" spans="1:20">
      <c r="A209" s="119"/>
      <c r="B209" s="155"/>
      <c r="C209" s="155"/>
      <c r="D209" s="155"/>
      <c r="E209" s="155"/>
      <c r="F209" s="155"/>
      <c r="G209" s="155"/>
      <c r="H209" s="155"/>
      <c r="I209" s="156"/>
      <c r="J209" s="155"/>
      <c r="K209" s="155"/>
      <c r="L209" s="155"/>
      <c r="M209" s="155"/>
      <c r="N209" s="119"/>
      <c r="O209" s="157"/>
      <c r="P209" s="157"/>
      <c r="Q209" s="157"/>
      <c r="R209" s="157"/>
      <c r="S209" s="157"/>
      <c r="T209" s="157"/>
    </row>
    <row r="210" spans="1:20">
      <c r="A210" s="119"/>
      <c r="B210" s="155"/>
      <c r="C210" s="155"/>
      <c r="D210" s="155"/>
      <c r="E210" s="155"/>
      <c r="F210" s="155"/>
      <c r="G210" s="155"/>
      <c r="H210" s="155"/>
      <c r="I210" s="156"/>
      <c r="J210" s="155"/>
      <c r="K210" s="155"/>
      <c r="L210" s="155"/>
      <c r="M210" s="155"/>
      <c r="N210" s="119"/>
      <c r="O210" s="157"/>
      <c r="P210" s="157"/>
      <c r="Q210" s="157"/>
      <c r="R210" s="157"/>
      <c r="S210" s="157"/>
      <c r="T210" s="157"/>
    </row>
    <row r="211" spans="1:20">
      <c r="A211" s="119"/>
      <c r="B211" s="155"/>
      <c r="C211" s="155"/>
      <c r="D211" s="155"/>
      <c r="E211" s="155"/>
      <c r="F211" s="155"/>
      <c r="G211" s="155"/>
      <c r="H211" s="155"/>
      <c r="I211" s="156"/>
      <c r="J211" s="155"/>
      <c r="K211" s="155"/>
      <c r="L211" s="155"/>
      <c r="M211" s="155"/>
      <c r="N211" s="119"/>
      <c r="O211" s="157"/>
      <c r="P211" s="157"/>
      <c r="Q211" s="157"/>
      <c r="R211" s="157"/>
      <c r="S211" s="157"/>
      <c r="T211" s="157"/>
    </row>
    <row r="212" spans="1:20">
      <c r="A212" s="119"/>
      <c r="B212" s="155"/>
      <c r="C212" s="155"/>
      <c r="D212" s="155"/>
      <c r="E212" s="155"/>
      <c r="F212" s="155"/>
      <c r="G212" s="155"/>
      <c r="H212" s="155"/>
      <c r="I212" s="156"/>
      <c r="J212" s="155"/>
      <c r="K212" s="155"/>
      <c r="L212" s="155"/>
      <c r="M212" s="155"/>
      <c r="N212" s="119"/>
      <c r="O212" s="157"/>
      <c r="P212" s="157"/>
      <c r="Q212" s="157"/>
      <c r="R212" s="157"/>
      <c r="S212" s="157"/>
      <c r="T212" s="157"/>
    </row>
    <row r="213" spans="1:20">
      <c r="A213" s="119"/>
      <c r="B213" s="155"/>
      <c r="C213" s="155"/>
      <c r="D213" s="155"/>
      <c r="E213" s="155"/>
      <c r="F213" s="155"/>
      <c r="G213" s="155"/>
      <c r="H213" s="155"/>
      <c r="I213" s="156"/>
      <c r="J213" s="155"/>
      <c r="K213" s="155"/>
      <c r="L213" s="155"/>
      <c r="M213" s="155"/>
      <c r="N213" s="119"/>
      <c r="O213" s="157"/>
      <c r="P213" s="157"/>
      <c r="Q213" s="157"/>
      <c r="R213" s="157"/>
      <c r="S213" s="157"/>
      <c r="T213" s="157"/>
    </row>
    <row r="214" spans="1:20">
      <c r="A214" s="119"/>
      <c r="B214" s="155"/>
      <c r="C214" s="155"/>
      <c r="D214" s="155"/>
      <c r="E214" s="155"/>
      <c r="F214" s="155"/>
      <c r="G214" s="155"/>
      <c r="H214" s="155"/>
      <c r="I214" s="156"/>
      <c r="J214" s="155"/>
      <c r="K214" s="155"/>
      <c r="L214" s="155"/>
      <c r="M214" s="155"/>
      <c r="N214" s="119"/>
      <c r="O214" s="157"/>
      <c r="P214" s="157"/>
      <c r="Q214" s="157"/>
      <c r="R214" s="157"/>
      <c r="S214" s="157"/>
      <c r="T214" s="157"/>
    </row>
    <row r="215" spans="1:20">
      <c r="A215" s="119"/>
      <c r="B215" s="155"/>
      <c r="C215" s="155"/>
      <c r="D215" s="155"/>
      <c r="E215" s="155"/>
      <c r="F215" s="155"/>
      <c r="G215" s="155"/>
      <c r="H215" s="155"/>
      <c r="I215" s="156"/>
      <c r="J215" s="155"/>
      <c r="K215" s="155"/>
      <c r="L215" s="155"/>
      <c r="M215" s="155"/>
      <c r="N215" s="119"/>
      <c r="O215" s="157"/>
      <c r="P215" s="157"/>
      <c r="Q215" s="157"/>
      <c r="R215" s="157"/>
      <c r="S215" s="157"/>
      <c r="T215" s="157"/>
    </row>
    <row r="216" spans="1:20">
      <c r="A216" s="119"/>
      <c r="B216" s="155"/>
      <c r="C216" s="155"/>
      <c r="D216" s="155"/>
      <c r="E216" s="155"/>
      <c r="F216" s="155"/>
      <c r="G216" s="155"/>
      <c r="H216" s="155"/>
      <c r="I216" s="156"/>
      <c r="J216" s="155"/>
      <c r="K216" s="155"/>
      <c r="L216" s="155"/>
      <c r="M216" s="155"/>
      <c r="N216" s="119"/>
      <c r="O216" s="157"/>
      <c r="P216" s="157"/>
      <c r="Q216" s="157"/>
      <c r="R216" s="157"/>
      <c r="S216" s="157"/>
      <c r="T216" s="157"/>
    </row>
    <row r="217" spans="1:20">
      <c r="A217" s="119"/>
      <c r="B217" s="155"/>
      <c r="C217" s="155"/>
      <c r="D217" s="155"/>
      <c r="E217" s="155"/>
      <c r="F217" s="155"/>
      <c r="G217" s="155"/>
      <c r="H217" s="155"/>
      <c r="I217" s="156"/>
      <c r="J217" s="155"/>
      <c r="K217" s="155"/>
      <c r="L217" s="155"/>
      <c r="M217" s="155"/>
      <c r="N217" s="119"/>
      <c r="O217" s="157"/>
      <c r="P217" s="157"/>
      <c r="Q217" s="157"/>
      <c r="R217" s="157"/>
      <c r="S217" s="157"/>
      <c r="T217" s="157"/>
    </row>
    <row r="218" spans="1:20">
      <c r="A218" s="119"/>
      <c r="B218" s="155"/>
      <c r="C218" s="155"/>
      <c r="D218" s="155"/>
      <c r="E218" s="155"/>
      <c r="F218" s="155"/>
      <c r="G218" s="155"/>
      <c r="H218" s="155"/>
      <c r="I218" s="156"/>
      <c r="J218" s="155"/>
      <c r="K218" s="155"/>
      <c r="L218" s="155"/>
      <c r="M218" s="155"/>
      <c r="N218" s="119"/>
      <c r="O218" s="157"/>
      <c r="P218" s="157"/>
      <c r="Q218" s="157"/>
      <c r="R218" s="157"/>
      <c r="S218" s="157"/>
      <c r="T218" s="157"/>
    </row>
    <row r="219" spans="1:20">
      <c r="A219" s="119"/>
      <c r="B219" s="155"/>
      <c r="C219" s="155"/>
      <c r="D219" s="155"/>
      <c r="E219" s="155"/>
      <c r="F219" s="155"/>
      <c r="G219" s="155"/>
      <c r="H219" s="155"/>
      <c r="I219" s="156"/>
      <c r="J219" s="155"/>
      <c r="K219" s="155"/>
      <c r="L219" s="155"/>
      <c r="M219" s="155"/>
      <c r="N219" s="119"/>
      <c r="O219" s="157"/>
      <c r="P219" s="157"/>
      <c r="Q219" s="157"/>
      <c r="R219" s="157"/>
      <c r="S219" s="157"/>
      <c r="T219" s="157"/>
    </row>
    <row r="220" spans="1:20">
      <c r="A220" s="119"/>
      <c r="B220" s="155"/>
      <c r="C220" s="155"/>
      <c r="D220" s="155"/>
      <c r="E220" s="155"/>
      <c r="F220" s="155"/>
      <c r="G220" s="155"/>
      <c r="H220" s="155"/>
      <c r="I220" s="156"/>
      <c r="J220" s="155"/>
      <c r="K220" s="155"/>
      <c r="L220" s="155"/>
      <c r="M220" s="155"/>
      <c r="N220" s="119"/>
      <c r="O220" s="157"/>
      <c r="P220" s="157"/>
      <c r="Q220" s="157"/>
      <c r="R220" s="157"/>
      <c r="S220" s="157"/>
      <c r="T220" s="157"/>
    </row>
    <row r="221" spans="1:20">
      <c r="A221" s="119"/>
      <c r="B221" s="155"/>
      <c r="C221" s="155"/>
      <c r="D221" s="155"/>
      <c r="E221" s="155"/>
      <c r="F221" s="155"/>
      <c r="G221" s="155"/>
      <c r="H221" s="155"/>
      <c r="I221" s="156"/>
      <c r="J221" s="155"/>
      <c r="K221" s="155"/>
      <c r="L221" s="155"/>
      <c r="M221" s="155"/>
      <c r="N221" s="119"/>
      <c r="O221" s="157"/>
      <c r="P221" s="157"/>
      <c r="Q221" s="157"/>
      <c r="R221" s="157"/>
      <c r="S221" s="157"/>
      <c r="T221" s="157"/>
    </row>
    <row r="222" spans="1:20">
      <c r="A222" s="119"/>
      <c r="B222" s="155"/>
      <c r="C222" s="155"/>
      <c r="D222" s="155"/>
      <c r="E222" s="155"/>
      <c r="F222" s="155"/>
      <c r="G222" s="155"/>
      <c r="H222" s="155"/>
      <c r="I222" s="156"/>
      <c r="J222" s="155"/>
      <c r="K222" s="155"/>
      <c r="L222" s="155"/>
      <c r="M222" s="155"/>
      <c r="N222" s="119"/>
      <c r="O222" s="157"/>
      <c r="P222" s="157"/>
      <c r="Q222" s="157"/>
      <c r="R222" s="157"/>
      <c r="S222" s="157"/>
      <c r="T222" s="157"/>
    </row>
    <row r="223" spans="1:20">
      <c r="A223" s="119"/>
      <c r="B223" s="155"/>
      <c r="C223" s="155"/>
      <c r="D223" s="155"/>
      <c r="E223" s="155"/>
      <c r="F223" s="155"/>
      <c r="G223" s="155"/>
      <c r="H223" s="155"/>
      <c r="I223" s="156"/>
      <c r="J223" s="155"/>
      <c r="K223" s="155"/>
      <c r="L223" s="155"/>
      <c r="M223" s="155"/>
      <c r="N223" s="119"/>
      <c r="O223" s="157"/>
      <c r="P223" s="157"/>
      <c r="Q223" s="157"/>
      <c r="R223" s="157"/>
      <c r="S223" s="157"/>
      <c r="T223" s="157"/>
    </row>
    <row r="224" spans="1:20">
      <c r="A224" s="119"/>
      <c r="B224" s="155"/>
      <c r="C224" s="155"/>
      <c r="D224" s="155"/>
      <c r="E224" s="155"/>
      <c r="F224" s="155"/>
      <c r="G224" s="155"/>
      <c r="H224" s="155"/>
      <c r="I224" s="156"/>
      <c r="J224" s="155"/>
      <c r="K224" s="155"/>
      <c r="L224" s="155"/>
      <c r="M224" s="155"/>
      <c r="N224" s="119"/>
      <c r="O224" s="157"/>
      <c r="P224" s="157"/>
      <c r="Q224" s="157"/>
      <c r="R224" s="157"/>
      <c r="S224" s="157"/>
      <c r="T224" s="157"/>
    </row>
    <row r="225" spans="1:20">
      <c r="A225" s="119"/>
      <c r="B225" s="155"/>
      <c r="C225" s="155"/>
      <c r="D225" s="155"/>
      <c r="E225" s="155"/>
      <c r="F225" s="155"/>
      <c r="G225" s="155"/>
      <c r="H225" s="155"/>
      <c r="I225" s="156"/>
      <c r="J225" s="155"/>
      <c r="K225" s="155"/>
      <c r="L225" s="155"/>
      <c r="M225" s="155"/>
      <c r="N225" s="119"/>
      <c r="O225" s="157"/>
      <c r="P225" s="157"/>
      <c r="Q225" s="157"/>
      <c r="R225" s="157"/>
      <c r="S225" s="157"/>
      <c r="T225" s="157"/>
    </row>
    <row r="226" spans="1:20">
      <c r="A226" s="119"/>
      <c r="B226" s="155"/>
      <c r="C226" s="155"/>
      <c r="D226" s="155"/>
      <c r="E226" s="155"/>
      <c r="F226" s="155"/>
      <c r="G226" s="155"/>
      <c r="H226" s="155"/>
      <c r="I226" s="156"/>
      <c r="J226" s="155"/>
      <c r="K226" s="155"/>
      <c r="L226" s="155"/>
      <c r="M226" s="155"/>
      <c r="N226" s="119"/>
      <c r="O226" s="157"/>
      <c r="P226" s="157"/>
      <c r="Q226" s="157"/>
      <c r="R226" s="157"/>
      <c r="S226" s="157"/>
      <c r="T226" s="157"/>
    </row>
    <row r="227" spans="1:20">
      <c r="A227" s="119"/>
      <c r="B227" s="155"/>
      <c r="C227" s="155"/>
      <c r="D227" s="155"/>
      <c r="E227" s="155"/>
      <c r="F227" s="155"/>
      <c r="G227" s="155"/>
      <c r="H227" s="155"/>
      <c r="I227" s="156"/>
      <c r="J227" s="155"/>
      <c r="K227" s="155"/>
      <c r="L227" s="155"/>
      <c r="M227" s="155"/>
      <c r="N227" s="119"/>
      <c r="O227" s="157"/>
      <c r="P227" s="157"/>
      <c r="Q227" s="157"/>
      <c r="R227" s="157"/>
      <c r="S227" s="157"/>
      <c r="T227" s="157"/>
    </row>
    <row r="228" spans="1:20">
      <c r="A228" s="119"/>
      <c r="B228" s="155"/>
      <c r="C228" s="155"/>
      <c r="D228" s="155"/>
      <c r="E228" s="155"/>
      <c r="F228" s="155"/>
      <c r="G228" s="155"/>
      <c r="H228" s="155"/>
      <c r="I228" s="156"/>
      <c r="J228" s="155"/>
      <c r="K228" s="155"/>
      <c r="L228" s="155"/>
      <c r="M228" s="155"/>
      <c r="N228" s="119"/>
      <c r="O228" s="157"/>
      <c r="P228" s="157"/>
      <c r="Q228" s="157"/>
      <c r="R228" s="157"/>
      <c r="S228" s="157"/>
      <c r="T228" s="157"/>
    </row>
    <row r="229" spans="1:20">
      <c r="A229" s="119"/>
      <c r="B229" s="155"/>
      <c r="C229" s="155"/>
      <c r="D229" s="155"/>
      <c r="E229" s="155"/>
      <c r="F229" s="155"/>
      <c r="G229" s="155"/>
      <c r="H229" s="155"/>
      <c r="I229" s="156"/>
      <c r="J229" s="155"/>
      <c r="K229" s="155"/>
      <c r="L229" s="155"/>
      <c r="M229" s="155"/>
      <c r="N229" s="119"/>
      <c r="O229" s="157"/>
      <c r="P229" s="157"/>
      <c r="Q229" s="157"/>
      <c r="R229" s="157"/>
      <c r="S229" s="157"/>
      <c r="T229" s="157"/>
    </row>
    <row r="230" spans="1:20">
      <c r="A230" s="119"/>
      <c r="B230" s="155"/>
      <c r="C230" s="155"/>
      <c r="D230" s="155"/>
      <c r="E230" s="155"/>
      <c r="F230" s="155"/>
      <c r="G230" s="155"/>
      <c r="H230" s="155"/>
      <c r="I230" s="156"/>
      <c r="J230" s="155"/>
      <c r="K230" s="155"/>
      <c r="L230" s="155"/>
      <c r="M230" s="155"/>
      <c r="N230" s="119"/>
      <c r="O230" s="157"/>
      <c r="P230" s="157"/>
      <c r="Q230" s="157"/>
      <c r="R230" s="157"/>
      <c r="S230" s="157"/>
      <c r="T230" s="157"/>
    </row>
    <row r="231" spans="1:20">
      <c r="A231" s="119"/>
      <c r="B231" s="155"/>
      <c r="C231" s="155"/>
      <c r="D231" s="155"/>
      <c r="E231" s="155"/>
      <c r="F231" s="155"/>
      <c r="G231" s="155"/>
      <c r="H231" s="155"/>
      <c r="I231" s="156"/>
      <c r="J231" s="155"/>
      <c r="K231" s="155"/>
      <c r="L231" s="155"/>
      <c r="M231" s="155"/>
      <c r="N231" s="119"/>
      <c r="O231" s="157"/>
      <c r="P231" s="157"/>
      <c r="Q231" s="157"/>
      <c r="R231" s="157"/>
      <c r="S231" s="157"/>
      <c r="T231" s="157"/>
    </row>
    <row r="232" spans="1:20">
      <c r="A232" s="119"/>
      <c r="B232" s="155"/>
      <c r="C232" s="155"/>
      <c r="D232" s="155"/>
      <c r="E232" s="155"/>
      <c r="F232" s="155"/>
      <c r="G232" s="155"/>
      <c r="H232" s="155"/>
      <c r="I232" s="156"/>
      <c r="J232" s="155"/>
      <c r="K232" s="155"/>
      <c r="L232" s="155"/>
      <c r="M232" s="155"/>
      <c r="N232" s="119"/>
      <c r="O232" s="157"/>
      <c r="P232" s="157"/>
      <c r="Q232" s="157"/>
      <c r="R232" s="157"/>
      <c r="S232" s="157"/>
      <c r="T232" s="157"/>
    </row>
    <row r="233" spans="1:20">
      <c r="A233" s="119"/>
      <c r="B233" s="155"/>
      <c r="C233" s="155"/>
      <c r="D233" s="155"/>
      <c r="E233" s="155"/>
      <c r="F233" s="155"/>
      <c r="G233" s="155"/>
      <c r="H233" s="155"/>
      <c r="I233" s="156"/>
      <c r="J233" s="155"/>
      <c r="K233" s="155"/>
      <c r="L233" s="155"/>
      <c r="M233" s="155"/>
      <c r="N233" s="119"/>
      <c r="O233" s="157"/>
      <c r="P233" s="157"/>
      <c r="Q233" s="157"/>
      <c r="R233" s="157"/>
      <c r="S233" s="157"/>
      <c r="T233" s="157"/>
    </row>
    <row r="234" spans="1:20" ht="18.75">
      <c r="A234" s="119"/>
      <c r="B234" s="155"/>
      <c r="C234" s="155"/>
      <c r="D234" s="155"/>
      <c r="E234" s="155"/>
      <c r="F234" s="155"/>
      <c r="G234" s="155"/>
      <c r="H234" s="155"/>
      <c r="I234" s="156"/>
      <c r="J234" s="373" t="s">
        <v>773</v>
      </c>
      <c r="K234" s="197" t="str">
        <f>G165</f>
        <v>IBA FC65-G, serial number 457</v>
      </c>
      <c r="L234" s="155"/>
      <c r="M234" s="155"/>
      <c r="N234" s="119"/>
      <c r="O234" s="157"/>
      <c r="P234" s="157"/>
      <c r="Q234" s="157"/>
      <c r="R234" s="157"/>
      <c r="S234" s="157"/>
      <c r="T234" s="157"/>
    </row>
    <row r="235" spans="1:20" ht="15.75">
      <c r="A235" s="119"/>
      <c r="B235" s="155"/>
      <c r="C235" s="155"/>
      <c r="D235" s="155"/>
      <c r="E235" s="155"/>
      <c r="F235" s="155"/>
      <c r="G235" s="155"/>
      <c r="H235" s="155"/>
      <c r="I235" s="156"/>
      <c r="J235" s="373"/>
      <c r="K235" s="197"/>
      <c r="L235" s="155"/>
      <c r="M235" s="155"/>
      <c r="N235" s="119"/>
      <c r="O235" s="157"/>
      <c r="P235" s="157"/>
      <c r="Q235" s="157"/>
      <c r="R235" s="157"/>
      <c r="S235" s="157"/>
      <c r="T235" s="157"/>
    </row>
    <row r="236" spans="1:20" ht="15.75">
      <c r="A236" s="119"/>
      <c r="B236" s="155"/>
      <c r="C236" s="155"/>
      <c r="D236" s="155"/>
      <c r="E236" s="155"/>
      <c r="F236" s="155"/>
      <c r="G236" s="155"/>
      <c r="H236" s="155"/>
      <c r="I236" s="156"/>
      <c r="J236" s="373"/>
      <c r="K236" s="197"/>
      <c r="L236" s="155"/>
      <c r="M236" s="155"/>
      <c r="N236" s="119"/>
      <c r="O236" s="157"/>
      <c r="P236" s="157"/>
      <c r="Q236" s="157"/>
      <c r="R236" s="157"/>
      <c r="S236" s="157"/>
      <c r="T236" s="157"/>
    </row>
    <row r="237" spans="1:20" ht="38.25" customHeight="1">
      <c r="A237" s="119"/>
      <c r="B237" s="1140" t="s">
        <v>914</v>
      </c>
      <c r="C237" s="1140"/>
      <c r="D237" s="1140"/>
      <c r="E237" s="1140"/>
      <c r="F237" s="1140"/>
      <c r="G237" s="1140"/>
      <c r="H237" s="1140"/>
      <c r="I237" s="1140"/>
      <c r="J237" s="1140"/>
      <c r="K237" s="1140"/>
      <c r="L237" s="1140"/>
      <c r="M237" s="1140"/>
      <c r="N237" s="1140"/>
      <c r="O237" s="1140"/>
      <c r="P237" s="1140"/>
      <c r="Q237" s="1140"/>
      <c r="R237" s="1140"/>
      <c r="S237" s="1140"/>
      <c r="T237" s="1140"/>
    </row>
    <row r="238" spans="1:20" ht="15.75">
      <c r="A238" s="119"/>
      <c r="B238" s="374"/>
      <c r="C238" s="155"/>
      <c r="D238" s="155"/>
      <c r="E238" s="155"/>
      <c r="F238" s="155"/>
      <c r="G238" s="155"/>
      <c r="H238" s="155"/>
      <c r="I238" s="156"/>
      <c r="J238" s="373"/>
      <c r="K238" s="197"/>
      <c r="L238" s="155"/>
      <c r="M238" s="155"/>
      <c r="N238" s="119"/>
      <c r="O238" s="157"/>
      <c r="P238" s="157"/>
      <c r="Q238" s="157"/>
      <c r="R238" s="157"/>
      <c r="S238" s="157"/>
      <c r="T238" s="157"/>
    </row>
    <row r="239" spans="1:20" ht="20.25">
      <c r="A239" s="119"/>
      <c r="C239" s="155"/>
      <c r="D239" s="155"/>
      <c r="E239" s="155"/>
      <c r="F239" s="155"/>
      <c r="G239" s="158" t="s">
        <v>774</v>
      </c>
      <c r="H239" s="156"/>
      <c r="I239" s="373"/>
      <c r="J239" s="197"/>
      <c r="K239" s="155"/>
      <c r="L239" s="155"/>
      <c r="M239" s="119"/>
      <c r="N239" s="157"/>
      <c r="P239" s="157"/>
      <c r="Q239" s="157"/>
      <c r="R239" s="157"/>
      <c r="S239" s="157"/>
      <c r="T239" s="373" t="str">
        <f>"(4)"</f>
        <v>(4)</v>
      </c>
    </row>
    <row r="240" spans="1:20" ht="15.75">
      <c r="A240" s="119"/>
      <c r="B240" s="155"/>
      <c r="C240" s="155"/>
      <c r="D240" s="155"/>
      <c r="E240" s="155"/>
      <c r="F240" s="155"/>
      <c r="G240" s="155"/>
      <c r="H240" s="155"/>
      <c r="I240" s="156"/>
      <c r="J240" s="373"/>
      <c r="K240" s="197"/>
      <c r="L240" s="155"/>
      <c r="M240" s="155"/>
      <c r="N240" s="119"/>
      <c r="O240" s="157"/>
      <c r="P240" s="157"/>
      <c r="Q240" s="157"/>
      <c r="R240" s="157"/>
      <c r="S240" s="157"/>
      <c r="T240" s="157"/>
    </row>
    <row r="241" spans="1:20" ht="15.75">
      <c r="A241" s="119"/>
      <c r="B241" s="375" t="e">
        <f>"where a = " &amp;ROUND('MV-P'!L30,4)&amp;", b = "&amp;ROUND('MV-P'!L31,4)&amp;", c = "&amp;ROUND('MV-P'!L32,4)</f>
        <v>#VALUE!</v>
      </c>
      <c r="C241" s="155"/>
      <c r="D241" s="155"/>
      <c r="E241" s="155"/>
      <c r="F241" s="155"/>
      <c r="G241" s="155"/>
      <c r="H241" s="155"/>
      <c r="I241" s="156"/>
      <c r="J241" s="373"/>
      <c r="K241" s="197"/>
      <c r="L241" s="155"/>
      <c r="M241" s="155"/>
      <c r="N241" s="119"/>
      <c r="O241" s="157"/>
      <c r="P241" s="157"/>
      <c r="Q241" s="157"/>
      <c r="R241" s="157"/>
      <c r="S241" s="157"/>
      <c r="T241" s="157"/>
    </row>
    <row r="242" spans="1:20" ht="15.75">
      <c r="A242" s="119"/>
      <c r="B242" s="155"/>
      <c r="C242" s="155"/>
      <c r="D242" s="155"/>
      <c r="E242" s="155"/>
      <c r="F242" s="155"/>
      <c r="G242" s="155"/>
      <c r="H242" s="155"/>
      <c r="I242" s="156"/>
      <c r="J242" s="373"/>
      <c r="K242" s="197"/>
      <c r="L242" s="155"/>
      <c r="M242" s="155"/>
      <c r="N242" s="119"/>
      <c r="O242" s="157"/>
      <c r="P242" s="157"/>
      <c r="Q242" s="157"/>
      <c r="R242" s="157"/>
      <c r="S242" s="157"/>
      <c r="T242" s="157"/>
    </row>
    <row r="243" spans="1:20" s="375" customFormat="1" ht="15.75">
      <c r="A243" s="378" t="s">
        <v>775</v>
      </c>
    </row>
    <row r="244" spans="1:20" ht="90.75" customHeight="1">
      <c r="A244" s="356" t="s">
        <v>753</v>
      </c>
      <c r="B244" s="1140" t="s">
        <v>776</v>
      </c>
      <c r="C244" s="1140"/>
      <c r="D244" s="1140"/>
      <c r="E244" s="1140"/>
      <c r="F244" s="1140"/>
      <c r="G244" s="1140"/>
      <c r="H244" s="1140"/>
      <c r="I244" s="1140"/>
      <c r="J244" s="1140"/>
      <c r="K244" s="1140"/>
      <c r="L244" s="1140"/>
      <c r="M244" s="1140"/>
      <c r="N244" s="1140"/>
      <c r="O244" s="1140"/>
      <c r="P244" s="1140"/>
      <c r="Q244" s="1140"/>
      <c r="R244" s="1140"/>
      <c r="S244" s="1140"/>
      <c r="T244" s="1140"/>
    </row>
    <row r="245" spans="1:20" ht="15.75">
      <c r="A245" s="119"/>
      <c r="B245" s="155"/>
      <c r="C245" s="155"/>
      <c r="D245" s="155"/>
      <c r="E245" s="155"/>
      <c r="F245" s="155"/>
      <c r="G245" s="155"/>
      <c r="H245" s="155"/>
      <c r="I245" s="156"/>
      <c r="J245" s="373"/>
      <c r="K245" s="197"/>
      <c r="L245" s="155"/>
      <c r="M245" s="155"/>
      <c r="N245" s="119"/>
      <c r="O245" s="157"/>
      <c r="P245" s="157"/>
      <c r="Q245" s="157"/>
      <c r="R245" s="157"/>
      <c r="S245" s="157"/>
      <c r="T245" s="157"/>
    </row>
    <row r="246" spans="1:20" ht="15.75">
      <c r="A246" s="119"/>
      <c r="B246" s="155"/>
      <c r="C246" s="155"/>
      <c r="D246" s="155"/>
      <c r="E246" s="155"/>
      <c r="F246" s="155"/>
      <c r="G246" s="155"/>
      <c r="H246" s="155"/>
      <c r="I246" s="156"/>
      <c r="J246" s="373"/>
      <c r="K246" s="197"/>
      <c r="L246" s="155"/>
      <c r="M246" s="155"/>
      <c r="N246" s="119"/>
      <c r="O246" s="157"/>
      <c r="P246" s="157"/>
      <c r="Q246" s="157"/>
      <c r="R246" s="157"/>
      <c r="S246" s="157"/>
      <c r="T246" s="157"/>
    </row>
    <row r="247" spans="1:20" ht="15.75">
      <c r="A247" s="119"/>
      <c r="B247" s="155"/>
      <c r="C247" s="155"/>
      <c r="D247" s="155"/>
      <c r="E247" s="155"/>
      <c r="F247" s="155"/>
      <c r="G247" s="155"/>
      <c r="H247" s="155"/>
      <c r="I247" s="156"/>
      <c r="J247" s="373"/>
      <c r="K247" s="197"/>
      <c r="L247" s="155"/>
      <c r="M247" s="155"/>
      <c r="N247" s="119"/>
      <c r="O247" s="157"/>
      <c r="P247" s="157"/>
      <c r="Q247" s="157"/>
      <c r="R247" s="157"/>
      <c r="S247" s="157"/>
      <c r="T247" s="157"/>
    </row>
    <row r="248" spans="1:20" ht="15.75">
      <c r="A248" s="119"/>
      <c r="B248" s="155"/>
      <c r="C248" s="155"/>
      <c r="D248" s="155"/>
      <c r="E248" s="155"/>
      <c r="F248" s="155"/>
      <c r="G248" s="155"/>
      <c r="H248" s="155"/>
      <c r="I248" s="156"/>
      <c r="J248" s="373"/>
      <c r="K248" s="197"/>
      <c r="L248" s="155"/>
      <c r="M248" s="155"/>
      <c r="N248" s="119"/>
      <c r="O248" s="157"/>
      <c r="P248" s="157"/>
      <c r="Q248" s="157"/>
      <c r="R248" s="157"/>
      <c r="S248" s="157"/>
      <c r="T248" s="157"/>
    </row>
    <row r="249" spans="1:20" ht="15.75">
      <c r="A249" s="119"/>
      <c r="B249" s="155"/>
      <c r="C249" s="155"/>
      <c r="D249" s="155"/>
      <c r="E249" s="155"/>
      <c r="F249" s="155"/>
      <c r="G249" s="155"/>
      <c r="H249" s="155"/>
      <c r="I249" s="156"/>
      <c r="J249" s="373"/>
      <c r="K249" s="197"/>
      <c r="L249" s="155"/>
      <c r="M249" s="155"/>
      <c r="N249" s="119"/>
      <c r="O249" s="157"/>
      <c r="P249" s="157"/>
      <c r="Q249" s="157"/>
      <c r="R249" s="157"/>
      <c r="S249" s="157"/>
      <c r="T249" s="157"/>
    </row>
    <row r="250" spans="1:20" ht="15.75">
      <c r="A250" s="119"/>
      <c r="B250" s="155"/>
      <c r="C250" s="155"/>
      <c r="D250" s="155"/>
      <c r="E250" s="155"/>
      <c r="F250" s="155"/>
      <c r="G250" s="155"/>
      <c r="H250" s="155"/>
      <c r="I250" s="156"/>
      <c r="J250" s="373"/>
      <c r="K250" s="197"/>
      <c r="L250" s="155"/>
      <c r="M250" s="155"/>
      <c r="N250" s="119"/>
      <c r="O250" s="157"/>
      <c r="P250" s="157"/>
      <c r="Q250" s="157"/>
      <c r="R250" s="157"/>
      <c r="S250" s="157"/>
      <c r="T250" s="157"/>
    </row>
    <row r="251" spans="1:20">
      <c r="A251" s="420" t="str">
        <f>"Calibration No.: "&amp;$T$12</f>
        <v>Calibration No.: CAL11957/02</v>
      </c>
      <c r="B251" s="421"/>
      <c r="C251" s="421"/>
      <c r="D251" s="421"/>
      <c r="E251" s="421"/>
      <c r="F251" s="421"/>
      <c r="G251" s="421"/>
      <c r="H251" s="421"/>
      <c r="I251" s="422" t="str">
        <f>$G$32</f>
        <v>0</v>
      </c>
      <c r="J251" s="421"/>
      <c r="K251" s="421"/>
      <c r="L251" s="421"/>
      <c r="M251" s="421"/>
      <c r="N251" s="420" t="s">
        <v>360</v>
      </c>
      <c r="O251" s="423"/>
      <c r="P251" s="423"/>
      <c r="Q251" s="423"/>
      <c r="R251" s="423"/>
      <c r="S251" s="423"/>
      <c r="T251" s="423" t="s">
        <v>779</v>
      </c>
    </row>
    <row r="252" spans="1:20">
      <c r="A252" s="119"/>
      <c r="B252" s="155"/>
      <c r="C252" s="155"/>
      <c r="D252" s="155"/>
      <c r="E252" s="155"/>
      <c r="F252" s="155"/>
      <c r="G252" s="155"/>
      <c r="H252" s="155"/>
      <c r="I252" s="156"/>
      <c r="J252" s="155"/>
      <c r="K252" s="155"/>
      <c r="L252" s="155"/>
      <c r="M252" s="155"/>
      <c r="N252" s="119"/>
      <c r="O252" s="157"/>
      <c r="P252" s="157"/>
      <c r="Q252" s="157"/>
      <c r="R252" s="157"/>
      <c r="S252" s="157"/>
      <c r="T252" s="157"/>
    </row>
    <row r="253" spans="1:20" ht="15.75">
      <c r="A253" s="119"/>
      <c r="B253" s="155"/>
      <c r="C253" s="155"/>
      <c r="D253" s="155"/>
      <c r="E253" s="155"/>
      <c r="F253" s="155"/>
      <c r="G253" s="155"/>
      <c r="H253" s="155"/>
      <c r="I253" s="156"/>
      <c r="J253" s="373"/>
      <c r="K253" s="197"/>
      <c r="L253" s="155"/>
      <c r="M253" s="155"/>
      <c r="N253" s="119"/>
      <c r="O253" s="157"/>
      <c r="P253" s="157"/>
      <c r="Q253" s="157"/>
      <c r="R253" s="157"/>
      <c r="S253" s="157"/>
      <c r="T253" s="157"/>
    </row>
    <row r="254" spans="1:20" ht="15.75">
      <c r="A254" s="1175" t="s">
        <v>558</v>
      </c>
      <c r="B254" s="1175"/>
      <c r="C254" s="1175"/>
      <c r="D254" s="1175"/>
      <c r="E254" s="1175"/>
      <c r="F254" s="1175"/>
      <c r="G254" s="1175"/>
      <c r="H254" s="1175"/>
      <c r="I254" s="1175"/>
      <c r="J254" s="1175"/>
      <c r="K254" s="1175"/>
      <c r="L254" s="1175"/>
      <c r="M254" s="1175"/>
      <c r="N254" s="1175"/>
      <c r="O254" s="1175"/>
      <c r="P254" s="1175"/>
      <c r="Q254" s="1175"/>
      <c r="R254" s="1175"/>
      <c r="S254" s="1175"/>
      <c r="T254" s="1175"/>
    </row>
    <row r="255" spans="1:20" ht="15.75">
      <c r="A255" s="198"/>
      <c r="B255" s="198"/>
      <c r="C255" s="198"/>
      <c r="D255" s="198"/>
      <c r="E255" s="198"/>
      <c r="F255" s="198"/>
      <c r="G255" s="198"/>
      <c r="H255" s="198"/>
      <c r="I255" s="198"/>
      <c r="J255" s="198"/>
      <c r="K255" s="198"/>
      <c r="L255" s="198"/>
      <c r="M255" s="198"/>
      <c r="N255" s="198"/>
      <c r="O255" s="198"/>
      <c r="P255" s="198"/>
      <c r="Q255" s="198"/>
      <c r="R255" s="198"/>
      <c r="S255" s="199"/>
      <c r="T255" s="199"/>
    </row>
    <row r="256" spans="1:20" ht="15.75">
      <c r="A256" s="1175" t="s">
        <v>771</v>
      </c>
      <c r="B256" s="1175"/>
      <c r="C256" s="1175"/>
      <c r="D256" s="1175"/>
      <c r="E256" s="1175"/>
      <c r="F256" s="1175"/>
      <c r="G256" s="1175"/>
      <c r="H256" s="1175"/>
      <c r="I256" s="1175"/>
      <c r="J256" s="1175"/>
      <c r="K256" s="1175"/>
      <c r="L256" s="1175"/>
      <c r="M256" s="1175"/>
      <c r="N256" s="1175"/>
      <c r="O256" s="1175"/>
      <c r="P256" s="1175"/>
      <c r="Q256" s="1175"/>
      <c r="R256" s="1175"/>
      <c r="S256" s="1175"/>
      <c r="T256" s="1175"/>
    </row>
    <row r="257" spans="1:20" ht="15.75">
      <c r="A257" s="197"/>
      <c r="B257" s="197"/>
      <c r="C257" s="197"/>
      <c r="D257" s="197"/>
      <c r="E257" s="197"/>
      <c r="F257" s="197"/>
      <c r="G257" s="197"/>
      <c r="H257" s="197"/>
      <c r="I257" s="197"/>
      <c r="J257" s="197"/>
      <c r="K257" s="197"/>
      <c r="L257" s="197"/>
      <c r="M257" s="197"/>
      <c r="N257" s="197"/>
      <c r="O257" s="197"/>
      <c r="P257" s="197"/>
      <c r="Q257" s="197"/>
      <c r="R257" s="197"/>
      <c r="S257" s="158"/>
      <c r="T257" s="158"/>
    </row>
    <row r="258" spans="1:20" ht="43.5" customHeight="1">
      <c r="A258" s="1140" t="s">
        <v>559</v>
      </c>
      <c r="B258" s="1140"/>
      <c r="C258" s="1140"/>
      <c r="D258" s="1140"/>
      <c r="E258" s="1140"/>
      <c r="F258" s="1140"/>
      <c r="G258" s="1140"/>
      <c r="H258" s="1140"/>
      <c r="I258" s="1140"/>
      <c r="J258" s="1140"/>
      <c r="K258" s="1140"/>
      <c r="L258" s="1140"/>
      <c r="M258" s="1140"/>
      <c r="N258" s="1140"/>
      <c r="O258" s="1140"/>
      <c r="P258" s="1140"/>
      <c r="Q258" s="1140"/>
      <c r="R258" s="1140"/>
      <c r="S258" s="1140"/>
      <c r="T258" s="1140"/>
    </row>
    <row r="259" spans="1:20" ht="15.75">
      <c r="A259" s="197"/>
      <c r="B259" s="197"/>
      <c r="C259" s="197"/>
      <c r="D259" s="197"/>
      <c r="E259" s="197"/>
      <c r="F259" s="197"/>
      <c r="G259" s="197"/>
      <c r="H259" s="197"/>
      <c r="I259" s="197"/>
      <c r="J259" s="197"/>
      <c r="K259" s="197"/>
      <c r="L259" s="197"/>
      <c r="M259" s="197"/>
      <c r="N259" s="197"/>
      <c r="O259" s="197"/>
      <c r="P259" s="197"/>
      <c r="Q259" s="197"/>
      <c r="R259" s="197"/>
      <c r="S259" s="158"/>
      <c r="T259" s="158"/>
    </row>
    <row r="260" spans="1:20" ht="15.75">
      <c r="A260" s="197"/>
      <c r="B260" s="197"/>
      <c r="C260" s="197"/>
      <c r="D260" s="197"/>
      <c r="E260" s="197"/>
      <c r="F260" s="197"/>
      <c r="G260" s="197"/>
      <c r="H260" s="197"/>
      <c r="I260" s="197"/>
      <c r="J260" s="197"/>
      <c r="K260" s="197"/>
      <c r="L260" s="197"/>
      <c r="M260" s="197"/>
      <c r="N260" s="197"/>
      <c r="O260" s="197"/>
      <c r="P260" s="197"/>
      <c r="Q260" s="197"/>
      <c r="R260" s="197"/>
      <c r="S260" s="158"/>
      <c r="T260" s="160" t="str">
        <f>"(5)"</f>
        <v>(5)</v>
      </c>
    </row>
    <row r="261" spans="1:20" ht="15.75">
      <c r="A261" s="197"/>
      <c r="B261" s="197"/>
      <c r="C261" s="197"/>
      <c r="D261" s="197"/>
      <c r="E261" s="197"/>
      <c r="F261" s="197"/>
      <c r="G261" s="197"/>
      <c r="H261" s="197"/>
      <c r="I261" s="197"/>
      <c r="J261" s="197"/>
      <c r="K261" s="197"/>
      <c r="L261" s="197"/>
      <c r="M261" s="197"/>
      <c r="N261" s="197"/>
      <c r="O261" s="197"/>
      <c r="P261" s="197"/>
      <c r="Q261" s="197"/>
      <c r="R261" s="197"/>
      <c r="S261" s="158"/>
      <c r="T261" s="160"/>
    </row>
    <row r="262" spans="1:20" ht="15.75">
      <c r="A262" s="197" t="s">
        <v>560</v>
      </c>
      <c r="B262" s="197"/>
      <c r="C262" s="197"/>
      <c r="D262" s="197"/>
      <c r="E262" s="197"/>
      <c r="F262" s="197"/>
      <c r="G262" s="197"/>
      <c r="H262" s="197"/>
      <c r="I262" s="197"/>
      <c r="J262" s="197"/>
      <c r="K262" s="197"/>
      <c r="M262" s="197"/>
      <c r="N262" s="197"/>
      <c r="O262" s="197"/>
      <c r="P262" s="197"/>
      <c r="Q262" s="197"/>
      <c r="R262" s="197"/>
      <c r="S262" s="158"/>
      <c r="T262" s="158"/>
    </row>
    <row r="263" spans="1:20" ht="37.5" customHeight="1">
      <c r="A263" s="197"/>
      <c r="B263" s="197"/>
      <c r="C263" s="200"/>
      <c r="D263" s="197"/>
      <c r="E263" s="197"/>
      <c r="F263" s="1140" t="s">
        <v>562</v>
      </c>
      <c r="G263" s="1140"/>
      <c r="H263" s="1140"/>
      <c r="I263" s="1140"/>
      <c r="J263" s="1140"/>
      <c r="K263" s="1140"/>
      <c r="L263" s="1140"/>
      <c r="M263" s="1140"/>
      <c r="N263" s="1140"/>
      <c r="O263" s="1140"/>
      <c r="P263" s="1140"/>
      <c r="Q263" s="1140"/>
      <c r="R263" s="1140"/>
      <c r="S263" s="1140"/>
      <c r="T263" s="1140"/>
    </row>
    <row r="264" spans="1:20" ht="20.25" customHeight="1">
      <c r="A264" s="197"/>
      <c r="B264" s="197"/>
      <c r="C264" s="370"/>
      <c r="D264" s="197"/>
      <c r="E264" s="197"/>
      <c r="F264" s="1173" t="s">
        <v>563</v>
      </c>
      <c r="G264" s="1173"/>
      <c r="H264" s="1173"/>
      <c r="I264" s="1173"/>
      <c r="J264" s="1173"/>
      <c r="K264" s="1173"/>
      <c r="L264" s="1173"/>
      <c r="M264" s="1173"/>
      <c r="N264" s="1173"/>
      <c r="O264" s="1173"/>
      <c r="P264" s="1173"/>
      <c r="Q264" s="1173"/>
      <c r="R264" s="1173"/>
      <c r="S264" s="1173"/>
      <c r="T264" s="1173"/>
    </row>
    <row r="265" spans="1:20" ht="38.25" customHeight="1">
      <c r="A265" s="197"/>
      <c r="B265" s="197"/>
      <c r="C265" s="200"/>
      <c r="D265" s="197"/>
      <c r="E265" s="197"/>
      <c r="F265" s="1172" t="s">
        <v>566</v>
      </c>
      <c r="G265" s="1172"/>
      <c r="H265" s="1172"/>
      <c r="I265" s="1172"/>
      <c r="J265" s="1172"/>
      <c r="K265" s="1172"/>
      <c r="L265" s="1172"/>
      <c r="M265" s="1172"/>
      <c r="N265" s="1172"/>
      <c r="O265" s="1172"/>
      <c r="P265" s="1172"/>
      <c r="Q265" s="1172"/>
      <c r="R265" s="1172"/>
      <c r="S265" s="1172"/>
      <c r="T265" s="1172"/>
    </row>
    <row r="266" spans="1:20" ht="35.25" customHeight="1">
      <c r="A266" s="197"/>
      <c r="B266" s="197"/>
      <c r="C266" s="202"/>
      <c r="D266" s="197"/>
      <c r="E266" s="197"/>
      <c r="F266" s="1172" t="s">
        <v>778</v>
      </c>
      <c r="G266" s="1172"/>
      <c r="H266" s="1172"/>
      <c r="I266" s="1172"/>
      <c r="J266" s="1172"/>
      <c r="K266" s="1172"/>
      <c r="L266" s="1172"/>
      <c r="M266" s="1172"/>
      <c r="N266" s="1172"/>
      <c r="O266" s="1172"/>
      <c r="P266" s="1172"/>
      <c r="Q266" s="1172"/>
      <c r="R266" s="1172"/>
      <c r="S266" s="1172"/>
      <c r="T266" s="1172"/>
    </row>
    <row r="267" spans="1:20" ht="36" customHeight="1">
      <c r="A267" s="197"/>
      <c r="B267" s="197"/>
      <c r="C267" s="202"/>
      <c r="D267" s="197"/>
      <c r="E267" s="197"/>
      <c r="F267" s="1140" t="s">
        <v>905</v>
      </c>
      <c r="G267" s="1140"/>
      <c r="H267" s="1140"/>
      <c r="I267" s="1140"/>
      <c r="J267" s="1140"/>
      <c r="K267" s="1140"/>
      <c r="L267" s="1140"/>
      <c r="M267" s="1140"/>
      <c r="N267" s="1140"/>
      <c r="O267" s="1140"/>
      <c r="P267" s="1140"/>
      <c r="Q267" s="1140"/>
      <c r="R267" s="1140"/>
      <c r="S267" s="1140"/>
      <c r="T267" s="1140"/>
    </row>
    <row r="268" spans="1:20" ht="19.5" customHeight="1">
      <c r="A268" s="197"/>
      <c r="B268" s="197"/>
      <c r="C268" s="371"/>
      <c r="D268" s="197"/>
      <c r="E268" s="197"/>
      <c r="F268" s="1172" t="s">
        <v>575</v>
      </c>
      <c r="G268" s="1172"/>
      <c r="H268" s="1172"/>
      <c r="I268" s="1172"/>
      <c r="J268" s="1172"/>
      <c r="K268" s="1172"/>
      <c r="L268" s="1172"/>
      <c r="M268" s="1172"/>
      <c r="N268" s="1172"/>
      <c r="O268" s="1172"/>
      <c r="P268" s="1172"/>
      <c r="Q268" s="1172"/>
      <c r="R268" s="1172"/>
      <c r="S268" s="1172"/>
      <c r="T268" s="1172"/>
    </row>
    <row r="269" spans="1:20" ht="49.5" customHeight="1">
      <c r="A269" s="197"/>
      <c r="B269" s="197"/>
      <c r="C269" s="371"/>
      <c r="D269" s="197"/>
      <c r="E269" s="197"/>
      <c r="F269" s="1172" t="s">
        <v>907</v>
      </c>
      <c r="G269" s="1172"/>
      <c r="H269" s="1172"/>
      <c r="I269" s="1172"/>
      <c r="J269" s="1172"/>
      <c r="K269" s="1172"/>
      <c r="L269" s="1172"/>
      <c r="M269" s="1172"/>
      <c r="N269" s="1172"/>
      <c r="O269" s="1172"/>
      <c r="P269" s="1172"/>
      <c r="Q269" s="1172"/>
      <c r="R269" s="1172"/>
      <c r="S269" s="1172"/>
      <c r="T269" s="1172"/>
    </row>
    <row r="270" spans="1:20" ht="33.75" customHeight="1">
      <c r="A270" s="197"/>
      <c r="B270" s="197"/>
      <c r="C270" s="371"/>
      <c r="D270" s="197"/>
      <c r="E270" s="197"/>
      <c r="F270" s="1172" t="s">
        <v>906</v>
      </c>
      <c r="G270" s="1172"/>
      <c r="H270" s="1172"/>
      <c r="I270" s="1172"/>
      <c r="J270" s="1172"/>
      <c r="K270" s="1172"/>
      <c r="L270" s="1172"/>
      <c r="M270" s="1172"/>
      <c r="N270" s="1172"/>
      <c r="O270" s="1172"/>
      <c r="P270" s="1172"/>
      <c r="Q270" s="1172"/>
      <c r="R270" s="1172"/>
      <c r="S270" s="1172"/>
      <c r="T270" s="1172"/>
    </row>
    <row r="271" spans="1:20" ht="84" customHeight="1">
      <c r="A271" s="197"/>
      <c r="B271" s="197"/>
      <c r="C271" s="202"/>
      <c r="D271" s="197"/>
      <c r="E271" s="197"/>
      <c r="F271" s="1172" t="s">
        <v>770</v>
      </c>
      <c r="G271" s="1172"/>
      <c r="H271" s="1172"/>
      <c r="I271" s="1172"/>
      <c r="J271" s="1172"/>
      <c r="K271" s="1172"/>
      <c r="L271" s="1172"/>
      <c r="M271" s="1172"/>
      <c r="N271" s="1172"/>
      <c r="O271" s="1172"/>
      <c r="P271" s="1172"/>
      <c r="Q271" s="1172"/>
      <c r="R271" s="1172"/>
      <c r="S271" s="1172"/>
      <c r="T271" s="1172"/>
    </row>
    <row r="272" spans="1:20" ht="57" customHeight="1">
      <c r="A272" s="197"/>
      <c r="B272" s="197"/>
      <c r="C272" s="371"/>
      <c r="D272" s="197"/>
      <c r="F272" s="1172" t="s">
        <v>785</v>
      </c>
      <c r="G272" s="1172"/>
      <c r="H272" s="1172"/>
      <c r="I272" s="1172"/>
      <c r="J272" s="1172"/>
      <c r="K272" s="1172"/>
      <c r="L272" s="1172"/>
      <c r="M272" s="1172"/>
      <c r="N272" s="1172"/>
      <c r="O272" s="1172"/>
      <c r="P272" s="1172"/>
      <c r="Q272" s="1172"/>
      <c r="R272" s="1172"/>
      <c r="S272" s="1172"/>
      <c r="T272" s="1172"/>
    </row>
    <row r="273" spans="1:20" ht="15.75">
      <c r="A273" s="197"/>
      <c r="B273" s="197"/>
      <c r="C273" s="197"/>
      <c r="D273" s="197"/>
      <c r="E273" s="197"/>
      <c r="F273" s="197"/>
      <c r="G273" s="203"/>
      <c r="H273" s="197"/>
      <c r="I273" s="197"/>
      <c r="J273" s="197"/>
      <c r="K273" s="197"/>
      <c r="L273" s="197"/>
      <c r="M273" s="197"/>
      <c r="N273" s="197"/>
      <c r="O273" s="197"/>
      <c r="P273" s="197"/>
      <c r="Q273" s="197"/>
      <c r="R273" s="197"/>
      <c r="S273" s="158"/>
      <c r="T273" s="158"/>
    </row>
    <row r="274" spans="1:20" ht="15.75">
      <c r="A274" s="197"/>
      <c r="B274" s="197"/>
      <c r="C274" s="197"/>
      <c r="D274" s="197"/>
      <c r="E274" s="197"/>
      <c r="F274" s="197"/>
      <c r="G274" s="197"/>
      <c r="H274" s="197"/>
      <c r="I274" s="197"/>
      <c r="J274" s="197"/>
      <c r="K274" s="197"/>
      <c r="L274" s="197"/>
      <c r="M274" s="197"/>
      <c r="N274" s="197"/>
      <c r="O274" s="197"/>
      <c r="P274" s="197"/>
      <c r="Q274" s="197"/>
      <c r="R274" s="197"/>
      <c r="S274" s="158"/>
      <c r="T274" s="158"/>
    </row>
    <row r="275" spans="1:20" ht="15.75">
      <c r="A275" s="197"/>
      <c r="B275" s="197"/>
      <c r="C275" s="197"/>
      <c r="D275" s="197"/>
      <c r="E275" s="197"/>
      <c r="F275" s="197"/>
      <c r="G275" s="197"/>
      <c r="H275" s="197"/>
      <c r="I275" s="197"/>
      <c r="J275" s="197"/>
      <c r="K275" s="197"/>
      <c r="L275" s="197"/>
      <c r="M275" s="197"/>
      <c r="N275" s="197"/>
      <c r="O275" s="197"/>
      <c r="P275" s="197"/>
      <c r="Q275" s="197"/>
      <c r="R275" s="197"/>
      <c r="S275" s="158"/>
      <c r="T275" s="158"/>
    </row>
    <row r="276" spans="1:20" ht="15.75">
      <c r="A276" s="197"/>
      <c r="B276" s="197"/>
      <c r="C276" s="197"/>
      <c r="D276" s="197"/>
      <c r="E276" s="197"/>
      <c r="F276" s="197"/>
      <c r="G276" s="197"/>
      <c r="H276" s="197"/>
      <c r="I276" s="197"/>
      <c r="J276" s="197"/>
      <c r="K276" s="197"/>
      <c r="L276" s="197"/>
      <c r="M276" s="197"/>
      <c r="N276" s="197"/>
      <c r="O276" s="197"/>
      <c r="P276" s="197"/>
      <c r="Q276" s="197"/>
      <c r="R276" s="197"/>
      <c r="S276" s="158"/>
      <c r="T276" s="158"/>
    </row>
    <row r="277" spans="1:20" ht="15.75">
      <c r="A277" s="197"/>
      <c r="B277" s="197"/>
      <c r="C277" s="197"/>
      <c r="D277" s="197"/>
      <c r="E277" s="197"/>
      <c r="F277" s="197"/>
      <c r="G277" s="197"/>
      <c r="H277" s="197"/>
      <c r="I277" s="197"/>
      <c r="J277" s="197"/>
      <c r="K277" s="197"/>
      <c r="L277" s="197"/>
      <c r="M277" s="197"/>
      <c r="N277" s="197"/>
      <c r="O277" s="197"/>
      <c r="P277" s="197"/>
      <c r="Q277" s="197"/>
      <c r="R277" s="197"/>
      <c r="S277" s="158"/>
      <c r="T277" s="158"/>
    </row>
    <row r="278" spans="1:20" ht="15.75">
      <c r="A278" s="197"/>
      <c r="B278" s="197"/>
      <c r="C278" s="197"/>
      <c r="D278" s="197"/>
      <c r="E278" s="197"/>
      <c r="F278" s="197"/>
      <c r="G278" s="197"/>
      <c r="H278" s="197"/>
      <c r="I278" s="197"/>
      <c r="J278" s="197"/>
      <c r="K278" s="197"/>
      <c r="L278" s="197"/>
      <c r="M278" s="197"/>
      <c r="N278" s="197"/>
      <c r="O278" s="197"/>
      <c r="P278" s="197"/>
      <c r="Q278" s="197"/>
      <c r="R278" s="197"/>
      <c r="S278" s="158"/>
      <c r="T278" s="158"/>
    </row>
    <row r="279" spans="1:20" ht="15.75">
      <c r="A279" s="197"/>
      <c r="B279" s="197"/>
      <c r="C279" s="197"/>
      <c r="D279" s="197"/>
      <c r="E279" s="197"/>
      <c r="F279" s="197"/>
      <c r="G279" s="197"/>
      <c r="H279" s="197"/>
      <c r="I279" s="197"/>
      <c r="J279" s="197"/>
      <c r="K279" s="197"/>
      <c r="L279" s="197"/>
      <c r="M279" s="197"/>
      <c r="N279" s="197"/>
      <c r="O279" s="197"/>
      <c r="P279" s="197"/>
      <c r="Q279" s="197"/>
      <c r="R279" s="197"/>
      <c r="S279" s="158"/>
      <c r="T279" s="158"/>
    </row>
    <row r="280" spans="1:20" ht="15.75">
      <c r="A280" s="197"/>
      <c r="B280" s="197"/>
      <c r="C280" s="197"/>
      <c r="D280" s="197"/>
      <c r="E280" s="197"/>
      <c r="F280" s="197"/>
      <c r="G280" s="197"/>
      <c r="H280" s="197"/>
      <c r="I280" s="197"/>
      <c r="J280" s="197"/>
      <c r="K280" s="197"/>
      <c r="L280" s="197"/>
      <c r="M280" s="197"/>
      <c r="N280" s="197"/>
      <c r="O280" s="197"/>
      <c r="P280" s="197"/>
      <c r="Q280" s="197"/>
      <c r="R280" s="197"/>
      <c r="S280" s="158"/>
      <c r="T280" s="158"/>
    </row>
    <row r="281" spans="1:20" ht="15.75">
      <c r="A281" s="197"/>
      <c r="B281" s="197"/>
      <c r="C281" s="197"/>
      <c r="D281" s="197"/>
      <c r="E281" s="197"/>
      <c r="F281" s="197"/>
      <c r="G281" s="197"/>
      <c r="H281" s="197"/>
      <c r="I281" s="197"/>
      <c r="J281" s="197"/>
      <c r="K281" s="197"/>
      <c r="L281" s="197"/>
      <c r="M281" s="197"/>
      <c r="N281" s="197"/>
      <c r="O281" s="197"/>
      <c r="P281" s="197"/>
      <c r="Q281" s="197"/>
      <c r="R281" s="197"/>
      <c r="S281" s="158"/>
      <c r="T281" s="158"/>
    </row>
    <row r="282" spans="1:20" ht="15.75">
      <c r="A282" s="197"/>
      <c r="B282" s="197"/>
      <c r="C282" s="197"/>
      <c r="D282" s="197"/>
      <c r="E282" s="197"/>
      <c r="F282" s="197"/>
      <c r="G282" s="197"/>
      <c r="H282" s="197"/>
      <c r="I282" s="197"/>
      <c r="J282" s="197"/>
      <c r="K282" s="197"/>
      <c r="L282" s="197"/>
      <c r="M282" s="197"/>
      <c r="N282" s="197"/>
      <c r="O282" s="197"/>
      <c r="P282" s="197"/>
      <c r="Q282" s="197"/>
      <c r="R282" s="197"/>
      <c r="S282" s="158"/>
      <c r="T282" s="158"/>
    </row>
    <row r="283" spans="1:20" ht="15.75">
      <c r="A283" s="197"/>
      <c r="B283" s="197"/>
      <c r="C283" s="197"/>
      <c r="D283" s="197"/>
      <c r="E283" s="197"/>
      <c r="F283" s="197"/>
      <c r="G283" s="197"/>
      <c r="H283" s="197"/>
      <c r="I283" s="197"/>
      <c r="J283" s="197"/>
      <c r="K283" s="197"/>
      <c r="L283" s="197"/>
      <c r="M283" s="197"/>
      <c r="N283" s="197"/>
      <c r="O283" s="197"/>
      <c r="P283" s="197"/>
      <c r="Q283" s="197"/>
      <c r="R283" s="197"/>
      <c r="S283" s="158"/>
      <c r="T283" s="158"/>
    </row>
    <row r="284" spans="1:20" ht="15.75">
      <c r="A284" s="197"/>
      <c r="B284" s="197"/>
      <c r="C284" s="197"/>
      <c r="D284" s="197"/>
      <c r="E284" s="197"/>
      <c r="F284" s="197"/>
      <c r="G284" s="197"/>
      <c r="H284" s="197"/>
      <c r="I284" s="197"/>
      <c r="J284" s="197"/>
      <c r="K284" s="197"/>
      <c r="L284" s="197"/>
      <c r="M284" s="197"/>
      <c r="N284" s="197"/>
      <c r="O284" s="197"/>
      <c r="P284" s="197"/>
      <c r="Q284" s="197"/>
      <c r="R284" s="197"/>
      <c r="S284" s="158"/>
      <c r="T284" s="158"/>
    </row>
    <row r="285" spans="1:20">
      <c r="A285" s="420" t="str">
        <f>"Calibration No.: "&amp;$T$12</f>
        <v>Calibration No.: CAL11957/02</v>
      </c>
      <c r="B285" s="421"/>
      <c r="C285" s="421"/>
      <c r="D285" s="421"/>
      <c r="E285" s="421"/>
      <c r="F285" s="421"/>
      <c r="G285" s="421"/>
      <c r="H285" s="421"/>
      <c r="I285" s="422" t="str">
        <f>$G$32</f>
        <v>0</v>
      </c>
      <c r="J285" s="421"/>
      <c r="K285" s="421"/>
      <c r="L285" s="421"/>
      <c r="M285" s="421"/>
      <c r="N285" s="420" t="s">
        <v>360</v>
      </c>
      <c r="O285" s="423"/>
      <c r="P285" s="423"/>
      <c r="Q285" s="423"/>
      <c r="R285" s="423"/>
      <c r="S285" s="423"/>
      <c r="T285" s="423" t="s">
        <v>780</v>
      </c>
    </row>
    <row r="286" spans="1:20" ht="15.75">
      <c r="A286" s="197"/>
      <c r="B286" s="197"/>
      <c r="C286" s="197"/>
      <c r="D286" s="197"/>
      <c r="E286" s="197"/>
      <c r="F286" s="197"/>
      <c r="G286" s="197"/>
      <c r="H286" s="197"/>
      <c r="I286" s="197"/>
      <c r="J286" s="197"/>
      <c r="K286" s="197"/>
      <c r="L286" s="197"/>
      <c r="M286" s="197"/>
      <c r="N286" s="197"/>
      <c r="O286" s="197"/>
      <c r="P286" s="197"/>
      <c r="Q286" s="197"/>
      <c r="R286" s="197"/>
      <c r="S286" s="158"/>
      <c r="T286" s="158"/>
    </row>
    <row r="287" spans="1:20" ht="15.75">
      <c r="A287" s="197"/>
      <c r="B287" s="197"/>
      <c r="C287" s="197"/>
      <c r="D287" s="197"/>
      <c r="E287" s="197"/>
      <c r="F287" s="197"/>
      <c r="G287" s="197"/>
      <c r="H287" s="197"/>
      <c r="I287" s="197"/>
      <c r="J287" s="197"/>
      <c r="K287" s="197"/>
      <c r="L287" s="197"/>
      <c r="M287" s="197"/>
      <c r="N287" s="197"/>
      <c r="O287" s="197"/>
      <c r="P287" s="197"/>
      <c r="Q287" s="197"/>
      <c r="R287" s="197"/>
      <c r="S287" s="158"/>
      <c r="T287" s="158"/>
    </row>
    <row r="288" spans="1:20" ht="15.75">
      <c r="A288" s="197"/>
      <c r="B288" s="197"/>
      <c r="C288" s="197"/>
      <c r="D288" s="197"/>
      <c r="E288" s="197"/>
      <c r="F288" s="197"/>
      <c r="G288" s="197"/>
      <c r="H288" s="197"/>
      <c r="I288" s="197"/>
      <c r="J288" s="197"/>
      <c r="K288" s="197"/>
      <c r="L288" s="197"/>
      <c r="M288" s="197"/>
      <c r="N288" s="197"/>
      <c r="O288" s="197"/>
      <c r="P288" s="197"/>
      <c r="Q288" s="197"/>
      <c r="R288" s="197"/>
      <c r="S288" s="158"/>
      <c r="T288" s="158"/>
    </row>
    <row r="289" spans="1:20" ht="15.75">
      <c r="A289" s="197"/>
      <c r="B289" s="197"/>
      <c r="C289" s="197"/>
      <c r="D289" s="197"/>
      <c r="E289" s="197"/>
      <c r="F289" s="197"/>
      <c r="G289" s="197"/>
      <c r="H289" s="197"/>
      <c r="I289" s="197"/>
      <c r="J289" s="197"/>
      <c r="K289" s="197"/>
      <c r="L289" s="197"/>
      <c r="M289" s="197"/>
      <c r="N289" s="197"/>
      <c r="O289" s="197"/>
      <c r="P289" s="197"/>
      <c r="Q289" s="197"/>
      <c r="R289" s="197"/>
      <c r="S289" s="158"/>
      <c r="T289" s="158"/>
    </row>
    <row r="290" spans="1:20" ht="15.75">
      <c r="A290" s="197"/>
      <c r="B290" s="197"/>
      <c r="C290" s="197"/>
      <c r="D290" s="197"/>
      <c r="E290" s="197"/>
      <c r="F290" s="197"/>
      <c r="G290" s="197"/>
      <c r="H290" s="197"/>
      <c r="I290" s="197"/>
      <c r="J290" s="197"/>
      <c r="K290" s="197"/>
      <c r="L290" s="197"/>
      <c r="M290" s="197"/>
      <c r="N290" s="197"/>
      <c r="O290" s="197"/>
      <c r="P290" s="197"/>
      <c r="Q290" s="197"/>
      <c r="R290" s="197"/>
      <c r="S290" s="158"/>
      <c r="T290" s="158"/>
    </row>
    <row r="291" spans="1:20" ht="15.75">
      <c r="A291" s="197"/>
      <c r="B291" s="197"/>
      <c r="C291" s="197"/>
      <c r="D291" s="197"/>
      <c r="E291" s="197"/>
      <c r="F291" s="197"/>
      <c r="G291" s="197"/>
      <c r="H291" s="197"/>
      <c r="I291" s="197"/>
      <c r="J291" s="197"/>
      <c r="K291" s="197"/>
      <c r="L291" s="197"/>
      <c r="M291" s="197"/>
      <c r="N291" s="197"/>
      <c r="O291" s="197"/>
      <c r="P291" s="197"/>
      <c r="Q291" s="197"/>
      <c r="R291" s="197"/>
      <c r="S291" s="158"/>
      <c r="T291" s="158"/>
    </row>
    <row r="292" spans="1:20" ht="15.75">
      <c r="A292" s="197"/>
      <c r="B292" s="197"/>
      <c r="C292" s="197"/>
      <c r="D292" s="197"/>
      <c r="E292" s="197"/>
      <c r="F292" s="197"/>
      <c r="G292" s="197"/>
      <c r="H292" s="197"/>
      <c r="I292" s="197"/>
      <c r="J292" s="197"/>
      <c r="K292" s="197"/>
      <c r="L292" s="197"/>
      <c r="M292" s="197"/>
      <c r="N292" s="197"/>
      <c r="O292" s="197"/>
      <c r="P292" s="197"/>
      <c r="Q292" s="197"/>
      <c r="R292" s="197"/>
      <c r="S292" s="158"/>
      <c r="T292" s="158"/>
    </row>
    <row r="293" spans="1:20" ht="15.75">
      <c r="A293" s="197"/>
      <c r="B293" s="197"/>
      <c r="C293" s="197"/>
      <c r="D293" s="197"/>
      <c r="E293" s="197"/>
      <c r="F293" s="197"/>
      <c r="G293" s="197"/>
      <c r="H293" s="197"/>
      <c r="I293" s="197"/>
      <c r="J293" s="197"/>
      <c r="K293" s="197"/>
      <c r="L293" s="197"/>
      <c r="M293" s="197"/>
      <c r="N293" s="197"/>
      <c r="O293" s="197"/>
      <c r="P293" s="197"/>
      <c r="Q293" s="197"/>
      <c r="R293" s="197"/>
      <c r="S293" s="158"/>
      <c r="T293" s="158"/>
    </row>
    <row r="294" spans="1:20" ht="15.75">
      <c r="A294" s="197"/>
      <c r="B294" s="197"/>
      <c r="C294" s="197"/>
      <c r="D294" s="197"/>
      <c r="E294" s="197"/>
      <c r="F294" s="197"/>
      <c r="G294" s="197"/>
      <c r="H294" s="197"/>
      <c r="I294" s="197"/>
      <c r="J294" s="197"/>
      <c r="K294" s="197"/>
      <c r="L294" s="197"/>
      <c r="M294" s="197"/>
      <c r="N294" s="197"/>
      <c r="O294" s="197"/>
      <c r="P294" s="197"/>
      <c r="Q294" s="197"/>
      <c r="R294" s="197"/>
      <c r="S294" s="158"/>
      <c r="T294" s="158"/>
    </row>
    <row r="295" spans="1:20" ht="15.75">
      <c r="A295" s="197"/>
      <c r="B295" s="197"/>
      <c r="C295" s="197"/>
      <c r="D295" s="197"/>
      <c r="E295" s="197"/>
      <c r="F295" s="197"/>
      <c r="G295" s="197"/>
      <c r="H295" s="197"/>
      <c r="I295" s="197"/>
      <c r="J295" s="197"/>
      <c r="K295" s="197"/>
      <c r="L295" s="197"/>
      <c r="M295" s="197"/>
      <c r="N295" s="197"/>
      <c r="O295" s="197"/>
      <c r="P295" s="197"/>
      <c r="Q295" s="197"/>
      <c r="R295" s="197"/>
      <c r="S295" s="158"/>
      <c r="T295" s="158"/>
    </row>
    <row r="296" spans="1:20" ht="15.75">
      <c r="A296" s="197"/>
      <c r="B296" s="197"/>
      <c r="C296" s="197"/>
      <c r="D296" s="197"/>
      <c r="E296" s="197"/>
      <c r="F296" s="197"/>
      <c r="G296" s="197"/>
      <c r="H296" s="197"/>
      <c r="I296" s="197"/>
      <c r="J296" s="197"/>
      <c r="K296" s="197"/>
      <c r="L296" s="197"/>
      <c r="M296" s="197"/>
      <c r="N296" s="197"/>
      <c r="O296" s="197"/>
      <c r="P296" s="197"/>
      <c r="Q296" s="197"/>
      <c r="R296" s="197"/>
      <c r="S296" s="158"/>
      <c r="T296" s="158"/>
    </row>
    <row r="297" spans="1:20" ht="15.75">
      <c r="A297" s="197"/>
      <c r="B297" s="197"/>
      <c r="C297" s="197"/>
      <c r="D297" s="197"/>
      <c r="E297" s="197"/>
      <c r="F297" s="197"/>
      <c r="G297" s="197"/>
      <c r="H297" s="197"/>
      <c r="I297" s="197"/>
      <c r="J297" s="197"/>
      <c r="K297" s="197"/>
      <c r="L297" s="197"/>
      <c r="M297" s="197"/>
      <c r="N297" s="197"/>
      <c r="O297" s="197"/>
      <c r="P297" s="197"/>
      <c r="Q297" s="197"/>
      <c r="R297" s="197"/>
      <c r="S297" s="158"/>
      <c r="T297" s="158"/>
    </row>
    <row r="298" spans="1:20" ht="15.75">
      <c r="A298" s="197"/>
      <c r="B298" s="197"/>
      <c r="C298" s="197"/>
      <c r="D298" s="197"/>
      <c r="E298" s="197"/>
      <c r="F298" s="197"/>
      <c r="G298" s="197"/>
      <c r="H298" s="197"/>
      <c r="I298" s="197"/>
      <c r="J298" s="197"/>
      <c r="K298" s="197"/>
      <c r="L298" s="197"/>
      <c r="M298" s="197"/>
      <c r="N298" s="197"/>
      <c r="O298" s="197"/>
      <c r="P298" s="197"/>
      <c r="Q298" s="197"/>
      <c r="R298" s="197"/>
      <c r="S298" s="158"/>
      <c r="T298" s="158"/>
    </row>
    <row r="299" spans="1:20" ht="15.75">
      <c r="A299" s="197"/>
      <c r="B299" s="197"/>
      <c r="C299" s="197"/>
      <c r="D299" s="197"/>
      <c r="E299" s="197"/>
      <c r="F299" s="197"/>
      <c r="G299" s="197"/>
      <c r="H299" s="197"/>
      <c r="I299" s="197"/>
      <c r="J299" s="197"/>
      <c r="K299" s="197"/>
      <c r="L299" s="197"/>
      <c r="M299" s="197"/>
      <c r="N299" s="197"/>
      <c r="O299" s="197"/>
      <c r="P299" s="197"/>
      <c r="Q299" s="197"/>
      <c r="R299" s="197"/>
      <c r="S299" s="158"/>
      <c r="T299" s="158"/>
    </row>
    <row r="300" spans="1:20" ht="15.75">
      <c r="A300" s="197"/>
      <c r="B300" s="197"/>
      <c r="C300" s="197"/>
      <c r="D300" s="197"/>
      <c r="E300" s="197"/>
      <c r="F300" s="197"/>
      <c r="G300" s="197"/>
      <c r="H300" s="197"/>
      <c r="I300" s="197"/>
      <c r="J300" s="197"/>
      <c r="K300" s="197"/>
      <c r="L300" s="197"/>
      <c r="M300" s="197"/>
      <c r="N300" s="197"/>
      <c r="O300" s="197"/>
      <c r="P300" s="197"/>
      <c r="Q300" s="197"/>
      <c r="R300" s="197"/>
      <c r="S300" s="158"/>
      <c r="T300" s="158"/>
    </row>
    <row r="301" spans="1:20" ht="15.75">
      <c r="A301" s="197"/>
      <c r="B301" s="197"/>
      <c r="C301" s="197"/>
      <c r="D301" s="197"/>
      <c r="E301" s="197"/>
      <c r="F301" s="197"/>
      <c r="G301" s="197"/>
      <c r="H301" s="197"/>
      <c r="I301" s="197"/>
      <c r="J301" s="197"/>
      <c r="K301" s="197"/>
      <c r="L301" s="197"/>
      <c r="M301" s="197"/>
      <c r="N301" s="197"/>
      <c r="O301" s="197"/>
      <c r="P301" s="197"/>
      <c r="Q301" s="197"/>
      <c r="R301" s="197"/>
      <c r="S301" s="158"/>
      <c r="T301" s="158"/>
    </row>
    <row r="302" spans="1:20" ht="15.75">
      <c r="A302" s="197"/>
      <c r="B302" s="197"/>
      <c r="C302" s="197"/>
      <c r="D302" s="197"/>
      <c r="E302" s="197"/>
      <c r="F302" s="197"/>
      <c r="G302" s="197"/>
      <c r="H302" s="197"/>
      <c r="I302" s="197"/>
      <c r="J302" s="197"/>
      <c r="K302" s="197"/>
      <c r="L302" s="197"/>
      <c r="M302" s="197"/>
      <c r="N302" s="197"/>
      <c r="O302" s="197"/>
      <c r="P302" s="197"/>
      <c r="Q302" s="197"/>
      <c r="R302" s="197"/>
      <c r="S302" s="158"/>
      <c r="T302" s="158"/>
    </row>
    <row r="303" spans="1:20" ht="15.75">
      <c r="A303" s="197"/>
      <c r="B303" s="197"/>
      <c r="C303" s="197"/>
      <c r="D303" s="197"/>
      <c r="E303" s="197"/>
      <c r="F303" s="197"/>
      <c r="G303" s="197"/>
      <c r="H303" s="197"/>
      <c r="I303" s="197"/>
      <c r="J303" s="197"/>
      <c r="K303" s="197"/>
      <c r="L303" s="197"/>
      <c r="M303" s="197"/>
      <c r="N303" s="197"/>
      <c r="O303" s="197"/>
      <c r="P303" s="197"/>
      <c r="Q303" s="197"/>
      <c r="R303" s="197"/>
      <c r="S303" s="158"/>
      <c r="T303" s="158"/>
    </row>
    <row r="304" spans="1:20" ht="15.75">
      <c r="A304" s="197"/>
      <c r="B304" s="197"/>
      <c r="C304" s="197"/>
      <c r="D304" s="197"/>
      <c r="E304" s="197"/>
      <c r="F304" s="197"/>
      <c r="G304" s="197"/>
      <c r="H304" s="197"/>
      <c r="I304" s="197"/>
      <c r="J304" s="197"/>
      <c r="K304" s="197"/>
      <c r="L304" s="197"/>
      <c r="M304" s="197"/>
      <c r="N304" s="197"/>
      <c r="O304" s="197"/>
      <c r="P304" s="197"/>
      <c r="Q304" s="197"/>
      <c r="R304" s="197"/>
      <c r="S304" s="158"/>
      <c r="T304" s="158"/>
    </row>
    <row r="305" spans="1:20" ht="15.75">
      <c r="A305" s="197"/>
      <c r="B305" s="197"/>
      <c r="C305" s="197"/>
      <c r="D305" s="197"/>
      <c r="E305" s="197"/>
      <c r="F305" s="197"/>
      <c r="G305" s="197"/>
      <c r="H305" s="197"/>
      <c r="I305" s="197"/>
      <c r="J305" s="197"/>
      <c r="K305" s="197"/>
      <c r="L305" s="197"/>
      <c r="M305" s="197"/>
      <c r="N305" s="197"/>
      <c r="O305" s="197"/>
      <c r="P305" s="197"/>
      <c r="Q305" s="197"/>
      <c r="R305" s="197"/>
      <c r="S305" s="158"/>
      <c r="T305" s="158"/>
    </row>
    <row r="306" spans="1:20" ht="15.75">
      <c r="A306" s="197"/>
      <c r="B306" s="197"/>
      <c r="C306" s="197"/>
      <c r="D306" s="197"/>
      <c r="E306" s="197"/>
      <c r="F306" s="197"/>
      <c r="G306" s="197"/>
      <c r="H306" s="197"/>
      <c r="I306" s="197"/>
      <c r="J306" s="197"/>
      <c r="K306" s="197"/>
      <c r="L306" s="197"/>
      <c r="M306" s="197"/>
      <c r="N306" s="197"/>
      <c r="O306" s="197"/>
      <c r="P306" s="197"/>
      <c r="Q306" s="197"/>
      <c r="R306" s="197"/>
      <c r="S306" s="158"/>
      <c r="T306" s="158"/>
    </row>
    <row r="307" spans="1:20">
      <c r="A307" s="97"/>
      <c r="B307" s="97"/>
      <c r="C307" s="97"/>
      <c r="D307" s="97"/>
      <c r="E307" s="97"/>
      <c r="F307" s="97"/>
      <c r="G307" s="97"/>
      <c r="H307" s="97"/>
      <c r="I307" s="97"/>
      <c r="J307" s="97"/>
      <c r="K307" s="97"/>
      <c r="L307" s="97"/>
      <c r="M307" s="97"/>
      <c r="N307" s="97"/>
      <c r="O307" s="97"/>
      <c r="P307" s="97"/>
      <c r="Q307" s="97"/>
      <c r="R307" s="97"/>
    </row>
    <row r="308" spans="1:20">
      <c r="A308" s="97"/>
      <c r="B308" s="97"/>
      <c r="C308" s="97"/>
      <c r="D308" s="97"/>
      <c r="E308" s="97"/>
      <c r="F308" s="97"/>
      <c r="G308" s="97"/>
      <c r="H308" s="97"/>
      <c r="I308" s="97"/>
      <c r="J308" s="97"/>
      <c r="K308" s="97"/>
      <c r="L308" s="97"/>
      <c r="M308" s="97"/>
      <c r="N308" s="97"/>
      <c r="O308" s="97"/>
      <c r="P308" s="97"/>
      <c r="Q308" s="97"/>
      <c r="R308" s="97"/>
    </row>
    <row r="309" spans="1:20">
      <c r="A309" s="97"/>
      <c r="B309" s="97"/>
      <c r="C309" s="97"/>
      <c r="D309" s="97"/>
      <c r="E309" s="97"/>
      <c r="F309" s="97"/>
      <c r="G309" s="97"/>
      <c r="H309" s="97"/>
      <c r="I309" s="97"/>
      <c r="J309" s="97"/>
      <c r="K309" s="97"/>
      <c r="L309" s="97"/>
      <c r="M309" s="97"/>
      <c r="N309" s="97"/>
      <c r="O309" s="97"/>
      <c r="P309" s="97"/>
      <c r="Q309" s="97"/>
      <c r="R309" s="97"/>
    </row>
    <row r="310" spans="1:20">
      <c r="A310" s="97"/>
      <c r="B310" s="97"/>
      <c r="C310" s="97"/>
      <c r="D310" s="97"/>
      <c r="E310" s="97"/>
      <c r="F310" s="97"/>
      <c r="G310" s="97"/>
      <c r="H310" s="97"/>
      <c r="I310" s="97"/>
      <c r="J310" s="97"/>
      <c r="K310" s="97"/>
      <c r="L310" s="97"/>
      <c r="M310" s="97"/>
      <c r="N310" s="97"/>
      <c r="O310" s="97"/>
      <c r="P310" s="97"/>
      <c r="Q310" s="97"/>
      <c r="R310" s="97"/>
    </row>
    <row r="311" spans="1:20">
      <c r="A311" s="97"/>
      <c r="B311" s="97"/>
      <c r="C311" s="97"/>
      <c r="D311" s="97"/>
      <c r="E311" s="97"/>
      <c r="F311" s="97"/>
      <c r="G311" s="97"/>
      <c r="H311" s="97"/>
      <c r="I311" s="97"/>
      <c r="J311" s="97"/>
      <c r="K311" s="97"/>
      <c r="L311" s="97"/>
      <c r="M311" s="97"/>
      <c r="N311" s="97"/>
      <c r="O311" s="97"/>
      <c r="P311" s="97"/>
      <c r="Q311" s="97"/>
      <c r="R311" s="97"/>
    </row>
    <row r="312" spans="1:20">
      <c r="A312" s="97"/>
      <c r="B312" s="97"/>
      <c r="C312" s="97"/>
      <c r="D312" s="97"/>
      <c r="E312" s="97"/>
      <c r="F312" s="97"/>
      <c r="G312" s="97"/>
      <c r="H312" s="97"/>
      <c r="I312" s="97"/>
      <c r="J312" s="97"/>
      <c r="K312" s="97"/>
      <c r="L312" s="97"/>
      <c r="M312" s="97"/>
      <c r="N312" s="97"/>
      <c r="O312" s="97"/>
      <c r="P312" s="97"/>
      <c r="Q312" s="97"/>
      <c r="R312" s="97"/>
    </row>
    <row r="313" spans="1:20">
      <c r="A313" s="97"/>
      <c r="B313" s="97"/>
      <c r="C313" s="97"/>
      <c r="D313" s="97"/>
      <c r="E313" s="97"/>
      <c r="F313" s="97"/>
      <c r="G313" s="97"/>
      <c r="H313" s="97"/>
      <c r="I313" s="97"/>
      <c r="J313" s="97"/>
      <c r="K313" s="97"/>
      <c r="L313" s="97"/>
      <c r="M313" s="97"/>
      <c r="N313" s="97"/>
      <c r="O313" s="97"/>
      <c r="P313" s="97"/>
      <c r="Q313" s="97"/>
      <c r="R313" s="97"/>
    </row>
    <row r="314" spans="1:20">
      <c r="A314" s="97"/>
      <c r="B314" s="97"/>
      <c r="C314" s="97"/>
      <c r="D314" s="97"/>
      <c r="E314" s="97"/>
      <c r="F314" s="97"/>
      <c r="G314" s="97"/>
      <c r="H314" s="97"/>
      <c r="I314" s="97"/>
      <c r="J314" s="97"/>
      <c r="K314" s="97"/>
      <c r="L314" s="97"/>
      <c r="M314" s="97"/>
      <c r="N314" s="97"/>
      <c r="O314" s="97"/>
      <c r="P314" s="97"/>
      <c r="Q314" s="97"/>
      <c r="R314" s="97"/>
    </row>
    <row r="315" spans="1:20">
      <c r="A315" s="97"/>
      <c r="B315" s="97"/>
      <c r="C315" s="97"/>
      <c r="D315" s="97"/>
      <c r="E315" s="97"/>
      <c r="F315" s="97"/>
      <c r="G315" s="97"/>
      <c r="H315" s="97"/>
      <c r="I315" s="97"/>
      <c r="J315" s="97"/>
      <c r="K315" s="97"/>
      <c r="L315" s="97"/>
      <c r="M315" s="97"/>
      <c r="N315" s="97"/>
      <c r="O315" s="97"/>
      <c r="P315" s="97"/>
      <c r="Q315" s="97"/>
      <c r="R315" s="97"/>
    </row>
    <row r="316" spans="1:20">
      <c r="A316" s="97"/>
      <c r="B316" s="97"/>
      <c r="C316" s="97"/>
      <c r="D316" s="97"/>
      <c r="E316" s="97"/>
      <c r="F316" s="97"/>
      <c r="G316" s="97"/>
      <c r="H316" s="97"/>
      <c r="I316" s="97"/>
      <c r="J316" s="97"/>
      <c r="K316" s="97"/>
      <c r="L316" s="97"/>
      <c r="M316" s="97"/>
      <c r="N316" s="97"/>
      <c r="O316" s="97"/>
      <c r="P316" s="97"/>
      <c r="Q316" s="97"/>
      <c r="R316" s="97"/>
    </row>
    <row r="317" spans="1:20">
      <c r="A317" s="97"/>
      <c r="B317" s="97"/>
      <c r="C317" s="97"/>
      <c r="D317" s="97"/>
      <c r="E317" s="97"/>
      <c r="F317" s="97"/>
      <c r="G317" s="97"/>
      <c r="H317" s="97"/>
      <c r="I317" s="97"/>
      <c r="J317" s="97"/>
      <c r="K317" s="97"/>
      <c r="L317" s="97"/>
      <c r="M317" s="97"/>
      <c r="N317" s="97"/>
      <c r="O317" s="97"/>
      <c r="P317" s="97"/>
      <c r="Q317" s="97"/>
      <c r="R317" s="97"/>
    </row>
    <row r="318" spans="1:20">
      <c r="A318" s="97"/>
      <c r="B318" s="97"/>
      <c r="C318" s="97"/>
      <c r="D318" s="97"/>
      <c r="E318" s="97"/>
      <c r="F318" s="97"/>
      <c r="G318" s="97"/>
      <c r="H318" s="97"/>
      <c r="I318" s="97"/>
      <c r="J318" s="97"/>
      <c r="K318" s="97"/>
      <c r="L318" s="97"/>
      <c r="M318" s="97"/>
      <c r="N318" s="97"/>
      <c r="O318" s="97"/>
      <c r="P318" s="97"/>
      <c r="Q318" s="97"/>
      <c r="R318" s="97"/>
    </row>
    <row r="319" spans="1:20">
      <c r="A319" s="97"/>
      <c r="B319" s="97"/>
      <c r="C319" s="97"/>
      <c r="D319" s="97"/>
      <c r="E319" s="97"/>
      <c r="F319" s="97"/>
      <c r="G319" s="97"/>
      <c r="H319" s="97"/>
      <c r="I319" s="97"/>
      <c r="J319" s="97"/>
      <c r="K319" s="97"/>
      <c r="L319" s="97"/>
      <c r="M319" s="97"/>
      <c r="N319" s="97"/>
      <c r="O319" s="97"/>
      <c r="P319" s="97"/>
      <c r="Q319" s="97"/>
      <c r="R319" s="97"/>
    </row>
    <row r="320" spans="1:20">
      <c r="A320" s="97"/>
      <c r="B320" s="97"/>
      <c r="C320" s="97"/>
      <c r="D320" s="97"/>
      <c r="E320" s="97"/>
      <c r="F320" s="97"/>
      <c r="G320" s="97"/>
      <c r="H320" s="97"/>
      <c r="I320" s="97"/>
      <c r="J320" s="97"/>
      <c r="K320" s="97"/>
      <c r="L320" s="97"/>
      <c r="M320" s="97"/>
      <c r="N320" s="97"/>
      <c r="O320" s="97"/>
      <c r="P320" s="97"/>
      <c r="Q320" s="97"/>
      <c r="R320" s="97"/>
    </row>
    <row r="321" spans="1:18">
      <c r="A321" s="97"/>
      <c r="B321" s="97"/>
      <c r="C321" s="97"/>
      <c r="D321" s="97"/>
      <c r="E321" s="97"/>
      <c r="F321" s="97"/>
      <c r="G321" s="97"/>
      <c r="H321" s="97"/>
      <c r="I321" s="97"/>
      <c r="J321" s="97"/>
      <c r="K321" s="97"/>
      <c r="L321" s="97"/>
      <c r="M321" s="97"/>
      <c r="N321" s="97"/>
      <c r="O321" s="97"/>
      <c r="P321" s="97"/>
      <c r="Q321" s="97"/>
      <c r="R321" s="97"/>
    </row>
    <row r="322" spans="1:18">
      <c r="A322" s="97"/>
      <c r="B322" s="97"/>
      <c r="C322" s="97"/>
      <c r="D322" s="97"/>
      <c r="E322" s="97"/>
      <c r="F322" s="97"/>
      <c r="G322" s="97"/>
      <c r="H322" s="97"/>
      <c r="I322" s="97"/>
      <c r="J322" s="97"/>
      <c r="K322" s="97"/>
      <c r="L322" s="97"/>
      <c r="M322" s="97"/>
      <c r="N322" s="97"/>
      <c r="O322" s="97"/>
      <c r="P322" s="97"/>
      <c r="Q322" s="97"/>
      <c r="R322" s="97"/>
    </row>
    <row r="323" spans="1:18">
      <c r="A323" s="97"/>
      <c r="B323" s="97"/>
      <c r="C323" s="97"/>
      <c r="D323" s="97"/>
      <c r="E323" s="97"/>
      <c r="F323" s="97"/>
      <c r="G323" s="97"/>
      <c r="H323" s="97"/>
      <c r="I323" s="97"/>
      <c r="J323" s="97"/>
      <c r="K323" s="97"/>
      <c r="L323" s="97"/>
      <c r="M323" s="97"/>
      <c r="N323" s="97"/>
      <c r="O323" s="97"/>
      <c r="P323" s="97"/>
      <c r="Q323" s="97"/>
      <c r="R323" s="97"/>
    </row>
    <row r="324" spans="1:18">
      <c r="A324" s="97"/>
      <c r="B324" s="97"/>
      <c r="C324" s="97"/>
      <c r="D324" s="97"/>
      <c r="E324" s="97"/>
      <c r="F324" s="97"/>
      <c r="G324" s="97"/>
      <c r="H324" s="97"/>
      <c r="I324" s="97"/>
      <c r="J324" s="97"/>
      <c r="K324" s="97"/>
      <c r="L324" s="97"/>
      <c r="M324" s="97"/>
      <c r="N324" s="97"/>
      <c r="O324" s="97"/>
      <c r="P324" s="97"/>
      <c r="Q324" s="97"/>
      <c r="R324" s="97"/>
    </row>
    <row r="325" spans="1:18">
      <c r="A325" s="97"/>
      <c r="B325" s="97"/>
      <c r="C325" s="97"/>
      <c r="D325" s="97"/>
      <c r="E325" s="97"/>
      <c r="F325" s="97"/>
      <c r="G325" s="97"/>
      <c r="H325" s="97"/>
      <c r="I325" s="97"/>
      <c r="J325" s="97"/>
      <c r="K325" s="97"/>
      <c r="L325" s="97"/>
      <c r="M325" s="97"/>
      <c r="N325" s="97"/>
      <c r="O325" s="97"/>
      <c r="P325" s="97"/>
      <c r="Q325" s="97"/>
      <c r="R325" s="97"/>
    </row>
    <row r="326" spans="1:18">
      <c r="A326" s="97"/>
      <c r="B326" s="97"/>
      <c r="C326" s="97"/>
      <c r="D326" s="97"/>
      <c r="E326" s="97"/>
      <c r="F326" s="97"/>
      <c r="G326" s="97"/>
      <c r="H326" s="97"/>
      <c r="I326" s="97"/>
      <c r="J326" s="97"/>
      <c r="K326" s="97"/>
      <c r="L326" s="97"/>
      <c r="M326" s="97"/>
      <c r="N326" s="97"/>
      <c r="O326" s="97"/>
      <c r="P326" s="97"/>
      <c r="Q326" s="97"/>
      <c r="R326" s="97"/>
    </row>
    <row r="327" spans="1:18">
      <c r="A327" s="97"/>
      <c r="B327" s="97"/>
      <c r="C327" s="97"/>
      <c r="D327" s="97"/>
      <c r="E327" s="97"/>
      <c r="F327" s="97"/>
      <c r="G327" s="97"/>
      <c r="H327" s="97"/>
      <c r="I327" s="97"/>
      <c r="J327" s="97"/>
      <c r="K327" s="97"/>
      <c r="L327" s="97"/>
      <c r="M327" s="97"/>
      <c r="N327" s="97"/>
      <c r="O327" s="97"/>
      <c r="P327" s="97"/>
      <c r="Q327" s="97"/>
      <c r="R327" s="97"/>
    </row>
    <row r="328" spans="1:18">
      <c r="A328" s="97"/>
      <c r="B328" s="97"/>
      <c r="C328" s="97"/>
      <c r="D328" s="97"/>
      <c r="E328" s="97"/>
      <c r="F328" s="97"/>
      <c r="G328" s="97"/>
      <c r="H328" s="97"/>
      <c r="I328" s="97"/>
      <c r="J328" s="97"/>
      <c r="K328" s="97"/>
      <c r="L328" s="97"/>
      <c r="M328" s="97"/>
      <c r="N328" s="97"/>
      <c r="O328" s="97"/>
      <c r="P328" s="97"/>
      <c r="Q328" s="97"/>
      <c r="R328" s="97"/>
    </row>
    <row r="329" spans="1:18">
      <c r="A329" s="97"/>
      <c r="B329" s="97"/>
      <c r="C329" s="97"/>
      <c r="D329" s="97"/>
      <c r="E329" s="97"/>
      <c r="F329" s="97"/>
      <c r="G329" s="97"/>
      <c r="H329" s="97"/>
      <c r="I329" s="97"/>
      <c r="J329" s="97"/>
      <c r="K329" s="97"/>
      <c r="L329" s="97"/>
      <c r="M329" s="97"/>
      <c r="N329" s="97"/>
      <c r="O329" s="97"/>
      <c r="P329" s="97"/>
      <c r="Q329" s="97"/>
      <c r="R329" s="97"/>
    </row>
    <row r="330" spans="1:18">
      <c r="A330" s="97"/>
      <c r="B330" s="97"/>
      <c r="C330" s="97"/>
      <c r="D330" s="97"/>
      <c r="E330" s="97"/>
      <c r="F330" s="97"/>
      <c r="G330" s="97"/>
      <c r="H330" s="97"/>
      <c r="I330" s="97"/>
      <c r="J330" s="97"/>
      <c r="K330" s="97"/>
      <c r="L330" s="97"/>
      <c r="M330" s="97"/>
      <c r="N330" s="97"/>
      <c r="O330" s="97"/>
      <c r="P330" s="97"/>
      <c r="Q330" s="97"/>
      <c r="R330" s="97"/>
    </row>
    <row r="331" spans="1:18">
      <c r="A331" s="97"/>
      <c r="B331" s="97"/>
      <c r="C331" s="97"/>
      <c r="D331" s="97"/>
      <c r="E331" s="97"/>
      <c r="F331" s="97"/>
      <c r="G331" s="97"/>
      <c r="H331" s="97"/>
      <c r="I331" s="97"/>
      <c r="J331" s="97"/>
      <c r="K331" s="97"/>
      <c r="L331" s="97"/>
      <c r="M331" s="97"/>
      <c r="N331" s="97"/>
      <c r="O331" s="97"/>
      <c r="P331" s="97"/>
      <c r="Q331" s="97"/>
      <c r="R331" s="97"/>
    </row>
    <row r="332" spans="1:18">
      <c r="A332" s="97"/>
      <c r="B332" s="97"/>
      <c r="C332" s="97"/>
      <c r="D332" s="97"/>
      <c r="E332" s="97"/>
      <c r="F332" s="97"/>
      <c r="G332" s="97"/>
      <c r="H332" s="97"/>
      <c r="I332" s="97"/>
      <c r="J332" s="97"/>
      <c r="K332" s="97"/>
      <c r="L332" s="97"/>
      <c r="M332" s="97"/>
      <c r="N332" s="97"/>
      <c r="O332" s="97"/>
      <c r="P332" s="97"/>
      <c r="Q332" s="97"/>
      <c r="R332" s="97"/>
    </row>
    <row r="333" spans="1:18">
      <c r="A333" s="97"/>
      <c r="B333" s="97"/>
      <c r="C333" s="97"/>
      <c r="D333" s="97"/>
      <c r="E333" s="97"/>
      <c r="F333" s="97"/>
      <c r="G333" s="97"/>
      <c r="H333" s="97"/>
      <c r="I333" s="97"/>
      <c r="J333" s="97"/>
      <c r="K333" s="97"/>
      <c r="L333" s="97"/>
      <c r="M333" s="97"/>
      <c r="N333" s="97"/>
      <c r="O333" s="97"/>
      <c r="P333" s="97"/>
      <c r="Q333" s="97"/>
      <c r="R333" s="97"/>
    </row>
    <row r="334" spans="1:18">
      <c r="A334" s="97"/>
      <c r="B334" s="97"/>
      <c r="C334" s="97"/>
      <c r="D334" s="97"/>
      <c r="E334" s="97"/>
      <c r="F334" s="97"/>
      <c r="G334" s="97"/>
      <c r="H334" s="97"/>
      <c r="I334" s="97"/>
      <c r="J334" s="97"/>
      <c r="K334" s="97"/>
      <c r="L334" s="97"/>
      <c r="M334" s="97"/>
      <c r="N334" s="97"/>
      <c r="O334" s="97"/>
      <c r="P334" s="97"/>
      <c r="Q334" s="97"/>
      <c r="R334" s="97"/>
    </row>
    <row r="335" spans="1:18">
      <c r="A335" s="97"/>
      <c r="B335" s="97"/>
      <c r="C335" s="97"/>
      <c r="D335" s="97"/>
      <c r="E335" s="97"/>
      <c r="F335" s="97"/>
      <c r="G335" s="97"/>
      <c r="H335" s="97"/>
      <c r="I335" s="97"/>
      <c r="J335" s="97"/>
      <c r="K335" s="97"/>
      <c r="L335" s="97"/>
      <c r="M335" s="97"/>
      <c r="N335" s="97"/>
      <c r="O335" s="97"/>
      <c r="P335" s="97"/>
      <c r="Q335" s="97"/>
      <c r="R335" s="97"/>
    </row>
    <row r="336" spans="1:18">
      <c r="A336" s="97"/>
      <c r="B336" s="97"/>
      <c r="C336" s="97"/>
      <c r="D336" s="97"/>
      <c r="E336" s="97"/>
      <c r="F336" s="97"/>
      <c r="G336" s="97"/>
      <c r="H336" s="97"/>
      <c r="I336" s="97"/>
      <c r="J336" s="97"/>
      <c r="K336" s="97"/>
      <c r="L336" s="97"/>
      <c r="M336" s="97"/>
      <c r="N336" s="97"/>
      <c r="O336" s="97"/>
      <c r="P336" s="97"/>
      <c r="Q336" s="97"/>
      <c r="R336" s="97"/>
    </row>
    <row r="337" spans="1:18">
      <c r="A337" s="97"/>
      <c r="B337" s="97"/>
      <c r="C337" s="97"/>
      <c r="D337" s="97"/>
      <c r="E337" s="97"/>
      <c r="F337" s="97"/>
      <c r="G337" s="97"/>
      <c r="H337" s="97"/>
      <c r="I337" s="97"/>
      <c r="J337" s="97"/>
      <c r="K337" s="97"/>
      <c r="L337" s="97"/>
      <c r="M337" s="97"/>
      <c r="N337" s="97"/>
      <c r="O337" s="97"/>
      <c r="P337" s="97"/>
      <c r="Q337" s="97"/>
      <c r="R337" s="97"/>
    </row>
    <row r="338" spans="1:18">
      <c r="A338" s="97"/>
      <c r="B338" s="97"/>
      <c r="C338" s="97"/>
      <c r="D338" s="97"/>
      <c r="E338" s="97"/>
      <c r="F338" s="97"/>
      <c r="G338" s="97"/>
      <c r="H338" s="97"/>
      <c r="I338" s="97"/>
      <c r="J338" s="97"/>
      <c r="K338" s="97"/>
      <c r="L338" s="97"/>
      <c r="M338" s="97"/>
      <c r="N338" s="97"/>
      <c r="O338" s="97"/>
      <c r="P338" s="97"/>
      <c r="Q338" s="97"/>
      <c r="R338" s="97"/>
    </row>
    <row r="339" spans="1:18">
      <c r="A339" s="97"/>
      <c r="B339" s="97"/>
      <c r="C339" s="97"/>
      <c r="D339" s="97"/>
      <c r="E339" s="97"/>
      <c r="F339" s="97"/>
      <c r="G339" s="97"/>
      <c r="H339" s="97"/>
      <c r="I339" s="97"/>
      <c r="J339" s="97"/>
      <c r="K339" s="97"/>
      <c r="L339" s="97"/>
      <c r="M339" s="97"/>
      <c r="N339" s="97"/>
      <c r="O339" s="97"/>
      <c r="P339" s="97"/>
      <c r="Q339" s="97"/>
      <c r="R339" s="97"/>
    </row>
    <row r="340" spans="1:18">
      <c r="A340" s="97"/>
      <c r="B340" s="97"/>
      <c r="C340" s="97"/>
      <c r="D340" s="97"/>
      <c r="E340" s="97"/>
      <c r="F340" s="97"/>
      <c r="G340" s="97"/>
      <c r="H340" s="97"/>
      <c r="I340" s="97"/>
      <c r="J340" s="97"/>
      <c r="K340" s="97"/>
      <c r="L340" s="97"/>
      <c r="M340" s="97"/>
      <c r="N340" s="97"/>
      <c r="O340" s="97"/>
      <c r="P340" s="97"/>
      <c r="Q340" s="97"/>
      <c r="R340" s="97"/>
    </row>
    <row r="341" spans="1:18">
      <c r="A341" s="97"/>
      <c r="B341" s="97"/>
      <c r="C341" s="97"/>
      <c r="D341" s="97"/>
      <c r="E341" s="97"/>
      <c r="F341" s="97"/>
      <c r="G341" s="97"/>
      <c r="H341" s="97"/>
      <c r="I341" s="97"/>
      <c r="J341" s="97"/>
      <c r="K341" s="97"/>
      <c r="L341" s="97"/>
      <c r="M341" s="97"/>
      <c r="N341" s="97"/>
      <c r="O341" s="97"/>
      <c r="P341" s="97"/>
      <c r="Q341" s="97"/>
      <c r="R341" s="97"/>
    </row>
    <row r="342" spans="1:18">
      <c r="A342" s="97"/>
      <c r="B342" s="97"/>
      <c r="C342" s="97"/>
      <c r="D342" s="97"/>
      <c r="E342" s="97"/>
      <c r="F342" s="97"/>
      <c r="G342" s="97"/>
      <c r="H342" s="97"/>
      <c r="I342" s="97"/>
      <c r="J342" s="97"/>
      <c r="K342" s="97"/>
      <c r="L342" s="97"/>
      <c r="M342" s="97"/>
      <c r="N342" s="97"/>
      <c r="O342" s="97"/>
      <c r="P342" s="97"/>
      <c r="Q342" s="97"/>
      <c r="R342" s="97"/>
    </row>
    <row r="343" spans="1:18">
      <c r="A343" s="97"/>
      <c r="B343" s="97"/>
      <c r="C343" s="97"/>
      <c r="D343" s="97"/>
      <c r="E343" s="97"/>
      <c r="F343" s="97"/>
      <c r="G343" s="97"/>
      <c r="H343" s="97"/>
      <c r="I343" s="97"/>
      <c r="J343" s="97"/>
      <c r="K343" s="97"/>
      <c r="L343" s="97"/>
      <c r="M343" s="97"/>
      <c r="N343" s="97"/>
      <c r="O343" s="97"/>
      <c r="P343" s="97"/>
      <c r="Q343" s="97"/>
      <c r="R343" s="97"/>
    </row>
    <row r="344" spans="1:18">
      <c r="A344" s="97"/>
      <c r="B344" s="97"/>
      <c r="C344" s="97"/>
      <c r="D344" s="97"/>
      <c r="E344" s="97"/>
      <c r="F344" s="97"/>
      <c r="G344" s="97"/>
      <c r="H344" s="97"/>
      <c r="I344" s="97"/>
      <c r="J344" s="97"/>
      <c r="K344" s="97"/>
      <c r="L344" s="97"/>
      <c r="M344" s="97"/>
      <c r="N344" s="97"/>
      <c r="O344" s="97"/>
      <c r="P344" s="97"/>
      <c r="Q344" s="97"/>
      <c r="R344" s="97"/>
    </row>
    <row r="345" spans="1:18">
      <c r="A345" s="97"/>
      <c r="B345" s="97"/>
      <c r="C345" s="97"/>
      <c r="D345" s="97"/>
      <c r="E345" s="97"/>
      <c r="F345" s="97"/>
      <c r="G345" s="97"/>
      <c r="H345" s="97"/>
      <c r="I345" s="97"/>
      <c r="J345" s="97"/>
      <c r="K345" s="97"/>
      <c r="L345" s="97"/>
      <c r="M345" s="97"/>
      <c r="N345" s="97"/>
      <c r="O345" s="97"/>
      <c r="P345" s="97"/>
      <c r="Q345" s="97"/>
      <c r="R345" s="97"/>
    </row>
    <row r="346" spans="1:18">
      <c r="A346" s="97"/>
      <c r="B346" s="97"/>
      <c r="C346" s="97"/>
      <c r="D346" s="97"/>
      <c r="E346" s="97"/>
      <c r="F346" s="97"/>
      <c r="G346" s="97"/>
      <c r="H346" s="97"/>
      <c r="I346" s="97"/>
      <c r="J346" s="97"/>
      <c r="K346" s="97"/>
      <c r="L346" s="97"/>
      <c r="M346" s="97"/>
      <c r="N346" s="97"/>
      <c r="O346" s="97"/>
      <c r="P346" s="97"/>
      <c r="Q346" s="97"/>
      <c r="R346" s="97"/>
    </row>
    <row r="347" spans="1:18">
      <c r="A347" s="97"/>
      <c r="B347" s="97"/>
      <c r="C347" s="97"/>
      <c r="D347" s="97"/>
      <c r="E347" s="97"/>
      <c r="F347" s="97"/>
      <c r="G347" s="97"/>
      <c r="H347" s="97"/>
      <c r="I347" s="97"/>
      <c r="J347" s="97"/>
      <c r="K347" s="97"/>
      <c r="L347" s="97"/>
      <c r="M347" s="97"/>
      <c r="N347" s="97"/>
      <c r="O347" s="97"/>
      <c r="P347" s="97"/>
      <c r="Q347" s="97"/>
      <c r="R347" s="97"/>
    </row>
    <row r="348" spans="1:18">
      <c r="A348" s="97"/>
      <c r="B348" s="97"/>
      <c r="C348" s="97"/>
      <c r="D348" s="97"/>
      <c r="E348" s="97"/>
      <c r="F348" s="97"/>
      <c r="G348" s="97"/>
      <c r="H348" s="97"/>
      <c r="I348" s="97"/>
      <c r="J348" s="97"/>
      <c r="K348" s="97"/>
      <c r="L348" s="97"/>
      <c r="M348" s="97"/>
      <c r="N348" s="97"/>
      <c r="O348" s="97"/>
      <c r="P348" s="97"/>
      <c r="Q348" s="97"/>
      <c r="R348" s="97"/>
    </row>
    <row r="349" spans="1:18">
      <c r="A349" s="97"/>
      <c r="B349" s="97"/>
      <c r="C349" s="97"/>
      <c r="D349" s="97"/>
      <c r="E349" s="97"/>
      <c r="F349" s="97"/>
      <c r="G349" s="97"/>
      <c r="H349" s="97"/>
      <c r="I349" s="97"/>
      <c r="J349" s="97"/>
      <c r="K349" s="97"/>
      <c r="L349" s="97"/>
      <c r="M349" s="97"/>
      <c r="N349" s="97"/>
      <c r="O349" s="97"/>
      <c r="P349" s="97"/>
      <c r="Q349" s="97"/>
      <c r="R349" s="97"/>
    </row>
    <row r="350" spans="1:18">
      <c r="A350" s="97"/>
      <c r="B350" s="97"/>
      <c r="C350" s="97"/>
      <c r="D350" s="97"/>
      <c r="E350" s="97"/>
      <c r="F350" s="97"/>
      <c r="G350" s="97"/>
      <c r="H350" s="97"/>
      <c r="I350" s="97"/>
      <c r="J350" s="97"/>
      <c r="K350" s="97"/>
      <c r="L350" s="97"/>
      <c r="M350" s="97"/>
      <c r="N350" s="97"/>
      <c r="O350" s="97"/>
      <c r="P350" s="97"/>
      <c r="Q350" s="97"/>
      <c r="R350" s="97"/>
    </row>
    <row r="351" spans="1:18">
      <c r="A351" s="97"/>
      <c r="B351" s="97"/>
      <c r="C351" s="97"/>
      <c r="D351" s="97"/>
      <c r="E351" s="97"/>
      <c r="F351" s="97"/>
      <c r="G351" s="97"/>
      <c r="H351" s="97"/>
      <c r="I351" s="97"/>
      <c r="J351" s="97"/>
      <c r="K351" s="97"/>
      <c r="L351" s="97"/>
      <c r="M351" s="97"/>
      <c r="N351" s="97"/>
      <c r="O351" s="97"/>
      <c r="P351" s="97"/>
      <c r="Q351" s="97"/>
      <c r="R351" s="97"/>
    </row>
    <row r="352" spans="1:18">
      <c r="A352" s="97"/>
      <c r="B352" s="97"/>
      <c r="C352" s="97"/>
      <c r="D352" s="97"/>
      <c r="E352" s="97"/>
      <c r="F352" s="97"/>
      <c r="G352" s="97"/>
      <c r="H352" s="97"/>
      <c r="I352" s="97"/>
      <c r="J352" s="97"/>
      <c r="K352" s="97"/>
      <c r="L352" s="97"/>
      <c r="M352" s="97"/>
      <c r="N352" s="97"/>
      <c r="O352" s="97"/>
      <c r="P352" s="97"/>
      <c r="Q352" s="97"/>
      <c r="R352" s="97"/>
    </row>
    <row r="353" spans="1:18">
      <c r="A353" s="97"/>
      <c r="B353" s="97"/>
      <c r="C353" s="97"/>
      <c r="D353" s="97"/>
      <c r="E353" s="97"/>
      <c r="F353" s="97"/>
      <c r="G353" s="97"/>
      <c r="H353" s="97"/>
      <c r="I353" s="97"/>
      <c r="J353" s="97"/>
      <c r="K353" s="97"/>
      <c r="L353" s="97"/>
      <c r="M353" s="97"/>
      <c r="N353" s="97"/>
      <c r="O353" s="97"/>
      <c r="P353" s="97"/>
      <c r="Q353" s="97"/>
      <c r="R353" s="97"/>
    </row>
    <row r="354" spans="1:18">
      <c r="A354" s="97"/>
      <c r="B354" s="97"/>
      <c r="C354" s="97"/>
      <c r="D354" s="97"/>
      <c r="E354" s="97"/>
      <c r="F354" s="97"/>
      <c r="G354" s="97"/>
      <c r="H354" s="97"/>
      <c r="I354" s="97"/>
      <c r="J354" s="97"/>
      <c r="K354" s="97"/>
      <c r="L354" s="97"/>
      <c r="M354" s="97"/>
      <c r="N354" s="97"/>
      <c r="O354" s="97"/>
      <c r="P354" s="97"/>
      <c r="Q354" s="97"/>
      <c r="R354" s="97"/>
    </row>
    <row r="355" spans="1:18">
      <c r="A355" s="97"/>
      <c r="B355" s="97"/>
      <c r="C355" s="97"/>
      <c r="D355" s="97"/>
      <c r="E355" s="97"/>
      <c r="F355" s="97"/>
      <c r="G355" s="97"/>
      <c r="H355" s="97"/>
      <c r="I355" s="97"/>
      <c r="J355" s="97"/>
      <c r="K355" s="97"/>
      <c r="L355" s="97"/>
      <c r="M355" s="97"/>
      <c r="N355" s="97"/>
      <c r="O355" s="97"/>
      <c r="P355" s="97"/>
      <c r="Q355" s="97"/>
      <c r="R355" s="97"/>
    </row>
    <row r="356" spans="1:18">
      <c r="A356" s="97"/>
      <c r="B356" s="97"/>
      <c r="C356" s="97"/>
      <c r="D356" s="97"/>
      <c r="E356" s="97"/>
      <c r="F356" s="97"/>
      <c r="G356" s="97"/>
      <c r="H356" s="97"/>
      <c r="I356" s="97"/>
      <c r="J356" s="97"/>
      <c r="K356" s="97"/>
      <c r="L356" s="97"/>
      <c r="M356" s="97"/>
      <c r="N356" s="97"/>
      <c r="O356" s="97"/>
      <c r="P356" s="97"/>
      <c r="Q356" s="97"/>
      <c r="R356" s="97"/>
    </row>
    <row r="357" spans="1:18">
      <c r="A357" s="97"/>
      <c r="B357" s="97"/>
      <c r="C357" s="97"/>
      <c r="D357" s="97"/>
      <c r="E357" s="97"/>
      <c r="F357" s="97"/>
      <c r="G357" s="97"/>
      <c r="H357" s="97"/>
      <c r="I357" s="97"/>
      <c r="J357" s="97"/>
      <c r="K357" s="97"/>
      <c r="L357" s="97"/>
      <c r="M357" s="97"/>
      <c r="N357" s="97"/>
      <c r="O357" s="97"/>
      <c r="P357" s="97"/>
      <c r="Q357" s="97"/>
      <c r="R357" s="97"/>
    </row>
    <row r="358" spans="1:18">
      <c r="A358" s="97"/>
      <c r="B358" s="97"/>
      <c r="C358" s="97"/>
      <c r="D358" s="97"/>
      <c r="E358" s="97"/>
      <c r="F358" s="97"/>
      <c r="G358" s="97"/>
      <c r="H358" s="97"/>
      <c r="I358" s="97"/>
      <c r="J358" s="97"/>
      <c r="K358" s="97"/>
      <c r="L358" s="97"/>
      <c r="M358" s="97"/>
      <c r="N358" s="97"/>
      <c r="O358" s="97"/>
      <c r="P358" s="97"/>
      <c r="Q358" s="97"/>
      <c r="R358" s="97"/>
    </row>
    <row r="359" spans="1:18">
      <c r="A359" s="97"/>
      <c r="B359" s="97"/>
      <c r="C359" s="97"/>
      <c r="D359" s="97"/>
      <c r="E359" s="97"/>
      <c r="F359" s="97"/>
      <c r="G359" s="97"/>
      <c r="H359" s="97"/>
      <c r="I359" s="97"/>
      <c r="J359" s="97"/>
      <c r="K359" s="97"/>
      <c r="L359" s="97"/>
      <c r="M359" s="97"/>
      <c r="N359" s="97"/>
      <c r="O359" s="97"/>
      <c r="P359" s="97"/>
      <c r="Q359" s="97"/>
      <c r="R359" s="97"/>
    </row>
    <row r="360" spans="1:18">
      <c r="A360" s="97"/>
      <c r="B360" s="97"/>
      <c r="C360" s="97"/>
      <c r="D360" s="97"/>
      <c r="E360" s="97"/>
      <c r="F360" s="97"/>
      <c r="G360" s="97"/>
      <c r="H360" s="97"/>
      <c r="I360" s="97"/>
      <c r="J360" s="97"/>
      <c r="K360" s="97"/>
      <c r="L360" s="97"/>
      <c r="M360" s="97"/>
      <c r="N360" s="97"/>
      <c r="O360" s="97"/>
      <c r="P360" s="97"/>
      <c r="Q360" s="97"/>
      <c r="R360" s="97"/>
    </row>
    <row r="361" spans="1:18">
      <c r="A361" s="97"/>
      <c r="B361" s="97"/>
      <c r="C361" s="97"/>
      <c r="D361" s="97"/>
      <c r="E361" s="97"/>
      <c r="F361" s="97"/>
      <c r="G361" s="97"/>
      <c r="H361" s="97"/>
      <c r="I361" s="97"/>
      <c r="J361" s="97"/>
      <c r="K361" s="97"/>
      <c r="L361" s="97"/>
      <c r="M361" s="97"/>
      <c r="N361" s="97"/>
      <c r="O361" s="97"/>
      <c r="P361" s="97"/>
      <c r="Q361" s="97"/>
      <c r="R361" s="97"/>
    </row>
    <row r="362" spans="1:18">
      <c r="A362" s="97"/>
      <c r="B362" s="97"/>
      <c r="C362" s="97"/>
      <c r="D362" s="97"/>
      <c r="E362" s="97"/>
      <c r="F362" s="97"/>
      <c r="G362" s="97"/>
      <c r="H362" s="97"/>
      <c r="I362" s="97"/>
      <c r="J362" s="97"/>
      <c r="K362" s="97"/>
      <c r="L362" s="97"/>
      <c r="M362" s="97"/>
      <c r="N362" s="97"/>
      <c r="O362" s="97"/>
      <c r="P362" s="97"/>
      <c r="Q362" s="97"/>
      <c r="R362" s="97"/>
    </row>
    <row r="363" spans="1:18">
      <c r="A363" s="97"/>
      <c r="B363" s="97"/>
      <c r="C363" s="97"/>
      <c r="D363" s="97"/>
      <c r="E363" s="97"/>
      <c r="F363" s="97"/>
      <c r="G363" s="97"/>
      <c r="H363" s="97"/>
      <c r="I363" s="97"/>
      <c r="J363" s="97"/>
      <c r="K363" s="97"/>
      <c r="L363" s="97"/>
      <c r="M363" s="97"/>
      <c r="N363" s="97"/>
      <c r="O363" s="97"/>
      <c r="P363" s="97"/>
      <c r="Q363" s="97"/>
      <c r="R363" s="97"/>
    </row>
    <row r="364" spans="1:18">
      <c r="A364" s="97"/>
      <c r="B364" s="97"/>
      <c r="C364" s="97"/>
      <c r="D364" s="97"/>
      <c r="E364" s="97"/>
      <c r="F364" s="97"/>
      <c r="G364" s="97"/>
      <c r="H364" s="97"/>
      <c r="I364" s="97"/>
      <c r="J364" s="97"/>
      <c r="K364" s="97"/>
      <c r="L364" s="97"/>
      <c r="M364" s="97"/>
      <c r="N364" s="97"/>
      <c r="O364" s="97"/>
      <c r="P364" s="97"/>
      <c r="Q364" s="97"/>
      <c r="R364" s="97"/>
    </row>
    <row r="365" spans="1:18">
      <c r="A365" s="97"/>
      <c r="B365" s="97"/>
      <c r="C365" s="97"/>
      <c r="D365" s="97"/>
      <c r="E365" s="97"/>
      <c r="F365" s="97"/>
      <c r="G365" s="97"/>
      <c r="H365" s="97"/>
      <c r="I365" s="97"/>
      <c r="J365" s="97"/>
      <c r="K365" s="97"/>
      <c r="L365" s="97"/>
      <c r="M365" s="97"/>
      <c r="N365" s="97"/>
      <c r="O365" s="97"/>
      <c r="P365" s="97"/>
      <c r="Q365" s="97"/>
      <c r="R365" s="97"/>
    </row>
    <row r="366" spans="1:18">
      <c r="A366" s="97"/>
      <c r="B366" s="97"/>
      <c r="C366" s="97"/>
      <c r="D366" s="97"/>
      <c r="E366" s="97"/>
      <c r="F366" s="97"/>
      <c r="G366" s="97"/>
      <c r="H366" s="97"/>
      <c r="I366" s="97"/>
      <c r="J366" s="97"/>
      <c r="K366" s="97"/>
      <c r="L366" s="97"/>
      <c r="M366" s="97"/>
      <c r="N366" s="97"/>
      <c r="O366" s="97"/>
      <c r="P366" s="97"/>
      <c r="Q366" s="97"/>
      <c r="R366" s="97"/>
    </row>
    <row r="367" spans="1:18">
      <c r="A367" s="97"/>
      <c r="B367" s="97"/>
      <c r="C367" s="97"/>
      <c r="D367" s="97"/>
      <c r="E367" s="97"/>
      <c r="F367" s="97"/>
      <c r="G367" s="97"/>
      <c r="H367" s="97"/>
      <c r="I367" s="97"/>
      <c r="J367" s="97"/>
      <c r="K367" s="97"/>
      <c r="L367" s="97"/>
      <c r="M367" s="97"/>
      <c r="N367" s="97"/>
      <c r="O367" s="97"/>
      <c r="P367" s="97"/>
      <c r="Q367" s="97"/>
      <c r="R367" s="97"/>
    </row>
    <row r="368" spans="1:18">
      <c r="A368" s="97"/>
      <c r="B368" s="97"/>
      <c r="C368" s="97"/>
      <c r="D368" s="97"/>
      <c r="E368" s="97"/>
      <c r="F368" s="97"/>
      <c r="G368" s="97"/>
      <c r="H368" s="97"/>
      <c r="I368" s="97"/>
      <c r="J368" s="97"/>
      <c r="K368" s="97"/>
      <c r="L368" s="97"/>
      <c r="M368" s="97"/>
      <c r="N368" s="97"/>
      <c r="O368" s="97"/>
      <c r="P368" s="97"/>
      <c r="Q368" s="97"/>
      <c r="R368" s="97"/>
    </row>
    <row r="369" spans="1:18">
      <c r="A369" s="97"/>
      <c r="B369" s="97"/>
      <c r="C369" s="97"/>
      <c r="D369" s="97"/>
      <c r="E369" s="97"/>
      <c r="F369" s="97"/>
      <c r="G369" s="97"/>
      <c r="H369" s="97"/>
      <c r="I369" s="97"/>
      <c r="J369" s="97"/>
      <c r="K369" s="97"/>
      <c r="L369" s="97"/>
      <c r="M369" s="97"/>
      <c r="N369" s="97"/>
      <c r="O369" s="97"/>
      <c r="P369" s="97"/>
      <c r="Q369" s="97"/>
      <c r="R369" s="97"/>
    </row>
    <row r="370" spans="1:18">
      <c r="A370" s="97"/>
      <c r="B370" s="97"/>
      <c r="C370" s="97"/>
      <c r="D370" s="97"/>
      <c r="E370" s="97"/>
      <c r="F370" s="97"/>
      <c r="G370" s="97"/>
      <c r="H370" s="97"/>
      <c r="I370" s="97"/>
      <c r="J370" s="97"/>
      <c r="K370" s="97"/>
      <c r="L370" s="97"/>
      <c r="M370" s="97"/>
      <c r="N370" s="97"/>
      <c r="O370" s="97"/>
      <c r="P370" s="97"/>
      <c r="Q370" s="97"/>
      <c r="R370" s="97"/>
    </row>
    <row r="371" spans="1:18">
      <c r="A371" s="97"/>
      <c r="B371" s="97"/>
      <c r="C371" s="97"/>
      <c r="D371" s="97"/>
      <c r="E371" s="97"/>
      <c r="F371" s="97"/>
      <c r="G371" s="97"/>
      <c r="H371" s="97"/>
      <c r="I371" s="97"/>
      <c r="J371" s="97"/>
      <c r="K371" s="97"/>
      <c r="L371" s="97"/>
      <c r="M371" s="97"/>
      <c r="N371" s="97"/>
      <c r="O371" s="97"/>
      <c r="P371" s="97"/>
      <c r="Q371" s="97"/>
      <c r="R371" s="97"/>
    </row>
    <row r="372" spans="1:18">
      <c r="A372" s="97"/>
      <c r="B372" s="97"/>
      <c r="C372" s="97"/>
      <c r="D372" s="97"/>
      <c r="E372" s="97"/>
      <c r="F372" s="97"/>
      <c r="G372" s="97"/>
      <c r="H372" s="97"/>
      <c r="I372" s="97"/>
      <c r="J372" s="97"/>
      <c r="K372" s="97"/>
      <c r="L372" s="97"/>
      <c r="M372" s="97"/>
      <c r="N372" s="97"/>
      <c r="O372" s="97"/>
      <c r="P372" s="97"/>
      <c r="Q372" s="97"/>
      <c r="R372" s="97"/>
    </row>
    <row r="373" spans="1:18">
      <c r="A373" s="97"/>
      <c r="B373" s="97"/>
      <c r="C373" s="97"/>
      <c r="D373" s="97"/>
      <c r="E373" s="97"/>
      <c r="F373" s="97"/>
      <c r="G373" s="97"/>
      <c r="H373" s="97"/>
      <c r="I373" s="97"/>
      <c r="J373" s="97"/>
      <c r="K373" s="97"/>
      <c r="L373" s="97"/>
      <c r="M373" s="97"/>
      <c r="N373" s="97"/>
      <c r="O373" s="97"/>
      <c r="P373" s="97"/>
      <c r="Q373" s="97"/>
      <c r="R373" s="97"/>
    </row>
    <row r="374" spans="1:18">
      <c r="A374" s="97"/>
      <c r="B374" s="97"/>
      <c r="C374" s="97"/>
      <c r="D374" s="97"/>
      <c r="E374" s="97"/>
      <c r="F374" s="97"/>
      <c r="G374" s="97"/>
      <c r="H374" s="97"/>
      <c r="I374" s="97"/>
      <c r="J374" s="97"/>
      <c r="K374" s="97"/>
      <c r="L374" s="97"/>
      <c r="M374" s="97"/>
      <c r="N374" s="97"/>
      <c r="O374" s="97"/>
      <c r="P374" s="97"/>
      <c r="Q374" s="97"/>
      <c r="R374" s="97"/>
    </row>
    <row r="375" spans="1:18">
      <c r="A375" s="97"/>
      <c r="B375" s="97"/>
      <c r="C375" s="97"/>
      <c r="D375" s="97"/>
      <c r="E375" s="97"/>
      <c r="F375" s="97"/>
      <c r="G375" s="97"/>
      <c r="H375" s="97"/>
      <c r="I375" s="97"/>
      <c r="J375" s="97"/>
      <c r="K375" s="97"/>
      <c r="L375" s="97"/>
      <c r="M375" s="97"/>
      <c r="N375" s="97"/>
      <c r="O375" s="97"/>
      <c r="P375" s="97"/>
      <c r="Q375" s="97"/>
      <c r="R375" s="97"/>
    </row>
    <row r="376" spans="1:18">
      <c r="A376" s="97"/>
      <c r="B376" s="97"/>
      <c r="C376" s="97"/>
      <c r="D376" s="97"/>
      <c r="E376" s="97"/>
      <c r="F376" s="97"/>
      <c r="G376" s="97"/>
      <c r="H376" s="97"/>
      <c r="I376" s="97"/>
      <c r="J376" s="97"/>
      <c r="K376" s="97"/>
      <c r="L376" s="97"/>
      <c r="M376" s="97"/>
      <c r="N376" s="97"/>
      <c r="O376" s="97"/>
      <c r="P376" s="97"/>
      <c r="Q376" s="97"/>
      <c r="R376" s="97"/>
    </row>
    <row r="377" spans="1:18">
      <c r="A377" s="97"/>
      <c r="B377" s="97"/>
      <c r="C377" s="97"/>
      <c r="D377" s="97"/>
      <c r="E377" s="97"/>
      <c r="F377" s="97"/>
      <c r="G377" s="97"/>
      <c r="H377" s="97"/>
      <c r="I377" s="97"/>
      <c r="J377" s="97"/>
      <c r="K377" s="97"/>
      <c r="L377" s="97"/>
      <c r="M377" s="97"/>
      <c r="N377" s="97"/>
      <c r="O377" s="97"/>
      <c r="P377" s="97"/>
      <c r="Q377" s="97"/>
      <c r="R377" s="97"/>
    </row>
    <row r="378" spans="1:18">
      <c r="A378" s="97"/>
      <c r="B378" s="97"/>
      <c r="C378" s="97"/>
      <c r="D378" s="97"/>
      <c r="E378" s="97"/>
      <c r="F378" s="97"/>
      <c r="G378" s="97"/>
      <c r="H378" s="97"/>
      <c r="I378" s="97"/>
      <c r="J378" s="97"/>
      <c r="K378" s="97"/>
      <c r="L378" s="97"/>
      <c r="M378" s="97"/>
      <c r="N378" s="97"/>
      <c r="O378" s="97"/>
      <c r="P378" s="97"/>
      <c r="Q378" s="97"/>
      <c r="R378" s="97"/>
    </row>
    <row r="379" spans="1:18">
      <c r="A379" s="97"/>
      <c r="B379" s="97"/>
      <c r="C379" s="97"/>
      <c r="D379" s="97"/>
      <c r="E379" s="97"/>
      <c r="F379" s="97"/>
      <c r="G379" s="97"/>
      <c r="H379" s="97"/>
      <c r="I379" s="97"/>
      <c r="J379" s="97"/>
      <c r="K379" s="97"/>
      <c r="L379" s="97"/>
      <c r="M379" s="97"/>
      <c r="N379" s="97"/>
      <c r="O379" s="97"/>
      <c r="P379" s="97"/>
      <c r="Q379" s="97"/>
      <c r="R379" s="97"/>
    </row>
    <row r="380" spans="1:18">
      <c r="A380" s="97"/>
      <c r="B380" s="97"/>
      <c r="C380" s="97"/>
      <c r="D380" s="97"/>
      <c r="E380" s="97"/>
      <c r="F380" s="97"/>
      <c r="G380" s="97"/>
      <c r="H380" s="97"/>
      <c r="I380" s="97"/>
      <c r="J380" s="97"/>
      <c r="K380" s="97"/>
      <c r="L380" s="97"/>
      <c r="M380" s="97"/>
      <c r="N380" s="97"/>
      <c r="O380" s="97"/>
      <c r="P380" s="97"/>
      <c r="Q380" s="97"/>
      <c r="R380" s="97"/>
    </row>
    <row r="381" spans="1:18">
      <c r="A381" s="97"/>
      <c r="B381" s="97"/>
      <c r="C381" s="97"/>
      <c r="D381" s="97"/>
      <c r="E381" s="97"/>
      <c r="F381" s="97"/>
      <c r="G381" s="97"/>
      <c r="H381" s="97"/>
      <c r="I381" s="97"/>
      <c r="J381" s="97"/>
      <c r="K381" s="97"/>
      <c r="L381" s="97"/>
      <c r="M381" s="97"/>
      <c r="N381" s="97"/>
      <c r="O381" s="97"/>
      <c r="P381" s="97"/>
      <c r="Q381" s="97"/>
      <c r="R381" s="97"/>
    </row>
    <row r="382" spans="1:18">
      <c r="A382" s="97"/>
      <c r="B382" s="97"/>
      <c r="C382" s="97"/>
      <c r="D382" s="97"/>
      <c r="E382" s="97"/>
      <c r="F382" s="97"/>
      <c r="G382" s="97"/>
      <c r="H382" s="97"/>
      <c r="I382" s="97"/>
      <c r="J382" s="97"/>
      <c r="K382" s="97"/>
      <c r="L382" s="97"/>
      <c r="M382" s="97"/>
      <c r="N382" s="97"/>
      <c r="O382" s="97"/>
      <c r="P382" s="97"/>
      <c r="Q382" s="97"/>
      <c r="R382" s="97"/>
    </row>
    <row r="383" spans="1:18">
      <c r="A383" s="97"/>
      <c r="B383" s="97"/>
      <c r="C383" s="97"/>
      <c r="D383" s="97"/>
      <c r="E383" s="97"/>
      <c r="F383" s="97"/>
      <c r="G383" s="97"/>
      <c r="H383" s="97"/>
      <c r="I383" s="97"/>
      <c r="J383" s="97"/>
      <c r="K383" s="97"/>
      <c r="L383" s="97"/>
      <c r="M383" s="97"/>
      <c r="N383" s="97"/>
      <c r="O383" s="97"/>
      <c r="P383" s="97"/>
      <c r="Q383" s="97"/>
      <c r="R383" s="97"/>
    </row>
    <row r="384" spans="1:18">
      <c r="A384" s="97"/>
      <c r="B384" s="97"/>
      <c r="C384" s="97"/>
      <c r="D384" s="97"/>
      <c r="E384" s="97"/>
      <c r="F384" s="97"/>
      <c r="G384" s="97"/>
      <c r="H384" s="97"/>
      <c r="I384" s="97"/>
      <c r="J384" s="97"/>
      <c r="K384" s="97"/>
      <c r="L384" s="97"/>
      <c r="M384" s="97"/>
      <c r="N384" s="97"/>
      <c r="O384" s="97"/>
      <c r="P384" s="97"/>
      <c r="Q384" s="97"/>
      <c r="R384" s="97"/>
    </row>
    <row r="385" spans="1:18">
      <c r="A385" s="97"/>
      <c r="B385" s="97"/>
      <c r="C385" s="97"/>
      <c r="D385" s="97"/>
      <c r="E385" s="97"/>
      <c r="F385" s="97"/>
      <c r="G385" s="97"/>
      <c r="H385" s="97"/>
      <c r="I385" s="97"/>
      <c r="J385" s="97"/>
      <c r="K385" s="97"/>
      <c r="L385" s="97"/>
      <c r="M385" s="97"/>
      <c r="N385" s="97"/>
      <c r="O385" s="97"/>
      <c r="P385" s="97"/>
      <c r="Q385" s="97"/>
      <c r="R385" s="97"/>
    </row>
    <row r="386" spans="1:18">
      <c r="A386" s="97"/>
      <c r="B386" s="97"/>
      <c r="C386" s="97"/>
      <c r="D386" s="97"/>
      <c r="E386" s="97"/>
      <c r="F386" s="97"/>
      <c r="G386" s="97"/>
      <c r="H386" s="97"/>
      <c r="I386" s="97"/>
      <c r="J386" s="97"/>
      <c r="K386" s="97"/>
      <c r="L386" s="97"/>
      <c r="M386" s="97"/>
      <c r="N386" s="97"/>
      <c r="O386" s="97"/>
      <c r="P386" s="97"/>
      <c r="Q386" s="97"/>
      <c r="R386" s="97"/>
    </row>
    <row r="387" spans="1:18">
      <c r="A387" s="97"/>
      <c r="B387" s="97"/>
      <c r="C387" s="97"/>
      <c r="D387" s="97"/>
      <c r="E387" s="97"/>
      <c r="F387" s="97"/>
      <c r="G387" s="97"/>
      <c r="H387" s="97"/>
      <c r="I387" s="97"/>
      <c r="J387" s="97"/>
      <c r="K387" s="97"/>
      <c r="L387" s="97"/>
      <c r="M387" s="97"/>
      <c r="N387" s="97"/>
      <c r="O387" s="97"/>
      <c r="P387" s="97"/>
      <c r="Q387" s="97"/>
      <c r="R387" s="97"/>
    </row>
    <row r="388" spans="1:18">
      <c r="A388" s="97"/>
      <c r="B388" s="97"/>
      <c r="C388" s="97"/>
      <c r="D388" s="97"/>
      <c r="E388" s="97"/>
      <c r="F388" s="97"/>
      <c r="G388" s="97"/>
      <c r="H388" s="97"/>
      <c r="I388" s="97"/>
      <c r="J388" s="97"/>
      <c r="K388" s="97"/>
      <c r="L388" s="97"/>
      <c r="M388" s="97"/>
      <c r="N388" s="97"/>
      <c r="O388" s="97"/>
      <c r="P388" s="97"/>
      <c r="Q388" s="97"/>
      <c r="R388" s="97"/>
    </row>
    <row r="389" spans="1:18">
      <c r="A389" s="97"/>
      <c r="B389" s="97"/>
      <c r="C389" s="97"/>
      <c r="D389" s="97"/>
      <c r="E389" s="97"/>
      <c r="F389" s="97"/>
      <c r="G389" s="97"/>
      <c r="H389" s="97"/>
      <c r="I389" s="97"/>
      <c r="J389" s="97"/>
      <c r="K389" s="97"/>
      <c r="L389" s="97"/>
      <c r="M389" s="97"/>
      <c r="N389" s="97"/>
      <c r="O389" s="97"/>
      <c r="P389" s="97"/>
      <c r="Q389" s="97"/>
      <c r="R389" s="97"/>
    </row>
    <row r="390" spans="1:18">
      <c r="A390" s="97"/>
      <c r="B390" s="97"/>
      <c r="C390" s="97"/>
      <c r="D390" s="97"/>
      <c r="E390" s="97"/>
      <c r="F390" s="97"/>
      <c r="G390" s="97"/>
      <c r="H390" s="97"/>
      <c r="I390" s="97"/>
      <c r="J390" s="97"/>
      <c r="K390" s="97"/>
      <c r="L390" s="97"/>
      <c r="M390" s="97"/>
      <c r="N390" s="97"/>
      <c r="O390" s="97"/>
      <c r="P390" s="97"/>
      <c r="Q390" s="97"/>
      <c r="R390" s="97"/>
    </row>
    <row r="391" spans="1:18">
      <c r="A391" s="97"/>
      <c r="B391" s="97"/>
      <c r="C391" s="97"/>
      <c r="D391" s="97"/>
      <c r="E391" s="97"/>
      <c r="F391" s="97"/>
      <c r="G391" s="97"/>
      <c r="H391" s="97"/>
      <c r="I391" s="97"/>
      <c r="J391" s="97"/>
      <c r="K391" s="97"/>
      <c r="L391" s="97"/>
      <c r="M391" s="97"/>
      <c r="N391" s="97"/>
      <c r="O391" s="97"/>
      <c r="P391" s="97"/>
      <c r="Q391" s="97"/>
      <c r="R391" s="97"/>
    </row>
    <row r="392" spans="1:18">
      <c r="A392" s="97"/>
      <c r="B392" s="97"/>
      <c r="C392" s="97"/>
      <c r="D392" s="97"/>
      <c r="E392" s="97"/>
      <c r="F392" s="97"/>
      <c r="G392" s="97"/>
      <c r="H392" s="97"/>
      <c r="I392" s="97"/>
      <c r="J392" s="97"/>
      <c r="K392" s="97"/>
      <c r="L392" s="97"/>
      <c r="M392" s="97"/>
      <c r="N392" s="97"/>
      <c r="O392" s="97"/>
      <c r="P392" s="97"/>
      <c r="Q392" s="97"/>
      <c r="R392" s="97"/>
    </row>
    <row r="393" spans="1:18">
      <c r="A393" s="97"/>
      <c r="B393" s="97"/>
      <c r="C393" s="97"/>
      <c r="D393" s="97"/>
      <c r="E393" s="97"/>
      <c r="F393" s="97"/>
      <c r="G393" s="97"/>
      <c r="H393" s="97"/>
      <c r="I393" s="97"/>
      <c r="J393" s="97"/>
      <c r="K393" s="97"/>
      <c r="L393" s="97"/>
      <c r="M393" s="97"/>
      <c r="N393" s="97"/>
      <c r="O393" s="97"/>
      <c r="P393" s="97"/>
      <c r="Q393" s="97"/>
      <c r="R393" s="97"/>
    </row>
    <row r="394" spans="1:18">
      <c r="A394" s="97"/>
      <c r="B394" s="97"/>
      <c r="C394" s="97"/>
      <c r="D394" s="97"/>
      <c r="E394" s="97"/>
      <c r="F394" s="97"/>
      <c r="G394" s="97"/>
      <c r="H394" s="97"/>
      <c r="I394" s="97"/>
      <c r="J394" s="97"/>
      <c r="K394" s="97"/>
      <c r="L394" s="97"/>
      <c r="M394" s="97"/>
      <c r="N394" s="97"/>
      <c r="O394" s="97"/>
      <c r="P394" s="97"/>
      <c r="Q394" s="97"/>
      <c r="R394" s="97"/>
    </row>
  </sheetData>
  <mergeCells count="132">
    <mergeCell ref="F269:T269"/>
    <mergeCell ref="A254:T254"/>
    <mergeCell ref="A256:T256"/>
    <mergeCell ref="A258:T258"/>
    <mergeCell ref="F263:T263"/>
    <mergeCell ref="F264:T264"/>
    <mergeCell ref="F265:T265"/>
    <mergeCell ref="F266:T266"/>
    <mergeCell ref="F267:T267"/>
    <mergeCell ref="F268:T268"/>
    <mergeCell ref="B91:T91"/>
    <mergeCell ref="A15:T15"/>
    <mergeCell ref="B94:H94"/>
    <mergeCell ref="B95:H95"/>
    <mergeCell ref="B96:H96"/>
    <mergeCell ref="A16:T16"/>
    <mergeCell ref="A58:T58"/>
    <mergeCell ref="B74:T74"/>
    <mergeCell ref="B77:T77"/>
    <mergeCell ref="B86:T86"/>
    <mergeCell ref="B78:T78"/>
    <mergeCell ref="I93:K93"/>
    <mergeCell ref="L93:N93"/>
    <mergeCell ref="O93:Q93"/>
    <mergeCell ref="B92:T92"/>
    <mergeCell ref="T27:T40"/>
    <mergeCell ref="K190:N190"/>
    <mergeCell ref="O190:R190"/>
    <mergeCell ref="O96:Q96"/>
    <mergeCell ref="R96:T96"/>
    <mergeCell ref="I97:K97"/>
    <mergeCell ref="A6:T6"/>
    <mergeCell ref="A7:T7"/>
    <mergeCell ref="A8:T8"/>
    <mergeCell ref="A9:T9"/>
    <mergeCell ref="A14:T14"/>
    <mergeCell ref="B90:T90"/>
    <mergeCell ref="I94:K94"/>
    <mergeCell ref="L94:N94"/>
    <mergeCell ref="O94:Q94"/>
    <mergeCell ref="B79:T79"/>
    <mergeCell ref="B82:T82"/>
    <mergeCell ref="B83:T83"/>
    <mergeCell ref="B122:H122"/>
    <mergeCell ref="I122:K122"/>
    <mergeCell ref="R93:T93"/>
    <mergeCell ref="B93:H93"/>
    <mergeCell ref="B113:T113"/>
    <mergeCell ref="B105:T105"/>
    <mergeCell ref="B89:T89"/>
    <mergeCell ref="B110:T110"/>
    <mergeCell ref="B117:T117"/>
    <mergeCell ref="B118:T118"/>
    <mergeCell ref="R94:T94"/>
    <mergeCell ref="R95:T95"/>
    <mergeCell ref="O97:Q97"/>
    <mergeCell ref="R97:T97"/>
    <mergeCell ref="R120:T120"/>
    <mergeCell ref="L120:N120"/>
    <mergeCell ref="L96:N96"/>
    <mergeCell ref="B124:H124"/>
    <mergeCell ref="I124:K124"/>
    <mergeCell ref="L124:N124"/>
    <mergeCell ref="O124:Q124"/>
    <mergeCell ref="O95:Q95"/>
    <mergeCell ref="L95:N95"/>
    <mergeCell ref="B97:H97"/>
    <mergeCell ref="I95:K95"/>
    <mergeCell ref="I96:K96"/>
    <mergeCell ref="O120:Q120"/>
    <mergeCell ref="B121:H121"/>
    <mergeCell ref="H103:I103"/>
    <mergeCell ref="J103:T103"/>
    <mergeCell ref="B104:G104"/>
    <mergeCell ref="B103:D103"/>
    <mergeCell ref="E103:F103"/>
    <mergeCell ref="B120:H120"/>
    <mergeCell ref="I120:K120"/>
    <mergeCell ref="L97:N97"/>
    <mergeCell ref="O121:Q121"/>
    <mergeCell ref="R121:T121"/>
    <mergeCell ref="L123:N123"/>
    <mergeCell ref="B123:H123"/>
    <mergeCell ref="I123:K123"/>
    <mergeCell ref="B128:T128"/>
    <mergeCell ref="L122:N122"/>
    <mergeCell ref="R124:T124"/>
    <mergeCell ref="I121:K121"/>
    <mergeCell ref="O123:Q123"/>
    <mergeCell ref="R123:T123"/>
    <mergeCell ref="F270:T270"/>
    <mergeCell ref="F271:T271"/>
    <mergeCell ref="F272:T272"/>
    <mergeCell ref="K189:N189"/>
    <mergeCell ref="G191:J191"/>
    <mergeCell ref="A163:T163"/>
    <mergeCell ref="G175:T175"/>
    <mergeCell ref="B137:T137"/>
    <mergeCell ref="B132:T132"/>
    <mergeCell ref="O185:R185"/>
    <mergeCell ref="C189:F189"/>
    <mergeCell ref="G189:J189"/>
    <mergeCell ref="C183:F183"/>
    <mergeCell ref="G183:J183"/>
    <mergeCell ref="K183:N183"/>
    <mergeCell ref="O122:Q122"/>
    <mergeCell ref="R122:T122"/>
    <mergeCell ref="L121:N121"/>
    <mergeCell ref="O183:R183"/>
    <mergeCell ref="O191:R191"/>
    <mergeCell ref="C185:F185"/>
    <mergeCell ref="G185:J185"/>
    <mergeCell ref="K185:N185"/>
    <mergeCell ref="C191:F191"/>
    <mergeCell ref="K191:N191"/>
    <mergeCell ref="O189:R189"/>
    <mergeCell ref="B244:T244"/>
    <mergeCell ref="C192:F192"/>
    <mergeCell ref="G192:J192"/>
    <mergeCell ref="K192:N192"/>
    <mergeCell ref="O192:R192"/>
    <mergeCell ref="C193:F193"/>
    <mergeCell ref="G193:J193"/>
    <mergeCell ref="K193:N193"/>
    <mergeCell ref="O193:R193"/>
    <mergeCell ref="B237:T237"/>
    <mergeCell ref="C184:F184"/>
    <mergeCell ref="G184:J184"/>
    <mergeCell ref="K184:N184"/>
    <mergeCell ref="O184:R184"/>
    <mergeCell ref="C190:F190"/>
    <mergeCell ref="G190:J190"/>
  </mergeCells>
  <pageMargins left="0.62992125984251968" right="0.62992125984251968" top="0.35433070866141736" bottom="0.35433070866141736" header="0.31496062992125984" footer="0.31496062992125984"/>
  <pageSetup paperSize="9" orientation="portrait" r:id="rId1"/>
  <drawing r:id="rId2"/>
  <legacyDrawing r:id="rId3"/>
  <oleObjects>
    <mc:AlternateContent xmlns:mc="http://schemas.openxmlformats.org/markup-compatibility/2006">
      <mc:Choice Requires="x14">
        <oleObject progId="Equation.3" shapeId="2410497" r:id="rId4">
          <objectPr defaultSize="0" autoPict="0" r:id="rId5">
            <anchor moveWithCells="1" sizeWithCells="1">
              <from>
                <xdr:col>6</xdr:col>
                <xdr:colOff>47625</xdr:colOff>
                <xdr:row>99</xdr:row>
                <xdr:rowOff>85725</xdr:rowOff>
              </from>
              <to>
                <xdr:col>12</xdr:col>
                <xdr:colOff>104775</xdr:colOff>
                <xdr:row>101</xdr:row>
                <xdr:rowOff>152400</xdr:rowOff>
              </to>
            </anchor>
          </objectPr>
        </oleObject>
      </mc:Choice>
      <mc:Fallback>
        <oleObject progId="Equation.3" shapeId="2410497" r:id="rId4"/>
      </mc:Fallback>
    </mc:AlternateContent>
    <mc:AlternateContent xmlns:mc="http://schemas.openxmlformats.org/markup-compatibility/2006">
      <mc:Choice Requires="x14">
        <oleObject progId="Equation.3" shapeId="2410498" r:id="rId6">
          <objectPr defaultSize="0" autoPict="0" r:id="rId7">
            <anchor moveWithCells="1" sizeWithCells="1">
              <from>
                <xdr:col>7</xdr:col>
                <xdr:colOff>142875</xdr:colOff>
                <xdr:row>113</xdr:row>
                <xdr:rowOff>9525</xdr:rowOff>
              </from>
              <to>
                <xdr:col>11</xdr:col>
                <xdr:colOff>180975</xdr:colOff>
                <xdr:row>115</xdr:row>
                <xdr:rowOff>114300</xdr:rowOff>
              </to>
            </anchor>
          </objectPr>
        </oleObject>
      </mc:Choice>
      <mc:Fallback>
        <oleObject progId="Equation.3" shapeId="2410498" r:id="rId6"/>
      </mc:Fallback>
    </mc:AlternateContent>
    <mc:AlternateContent xmlns:mc="http://schemas.openxmlformats.org/markup-compatibility/2006">
      <mc:Choice Requires="x14">
        <oleObject progId="Equation.3" shapeId="4974791" r:id="rId8">
          <objectPr defaultSize="0" autoPict="0" r:id="rId9">
            <anchor moveWithCells="1" sizeWithCells="1">
              <from>
                <xdr:col>6</xdr:col>
                <xdr:colOff>85725</xdr:colOff>
                <xdr:row>105</xdr:row>
                <xdr:rowOff>28575</xdr:rowOff>
              </from>
              <to>
                <xdr:col>12</xdr:col>
                <xdr:colOff>133350</xdr:colOff>
                <xdr:row>107</xdr:row>
                <xdr:rowOff>161925</xdr:rowOff>
              </to>
            </anchor>
          </objectPr>
        </oleObject>
      </mc:Choice>
      <mc:Fallback>
        <oleObject progId="Equation.3" shapeId="4974791" r:id="rId8"/>
      </mc:Fallback>
    </mc:AlternateContent>
  </oleObjec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pageSetUpPr fitToPage="1"/>
  </sheetPr>
  <dimension ref="A1:V59"/>
  <sheetViews>
    <sheetView zoomScale="90" zoomScaleNormal="90" workbookViewId="0">
      <selection activeCell="C8" sqref="C8"/>
    </sheetView>
  </sheetViews>
  <sheetFormatPr defaultColWidth="9.140625" defaultRowHeight="12.75"/>
  <cols>
    <col min="1" max="1" width="30" style="56" customWidth="1"/>
    <col min="2" max="2" width="23.140625" style="56" bestFit="1" customWidth="1"/>
    <col min="3" max="3" width="17.85546875" style="56" customWidth="1"/>
    <col min="4" max="4" width="19" style="56" customWidth="1"/>
    <col min="5" max="5" width="18.7109375" style="56" customWidth="1"/>
    <col min="6" max="7" width="17.85546875" style="56" customWidth="1"/>
    <col min="8" max="10" width="10.140625" style="56" customWidth="1"/>
    <col min="11" max="12" width="9.140625" style="56"/>
    <col min="13" max="14" width="14.140625" style="56" customWidth="1"/>
    <col min="15" max="15" width="11.28515625" style="56" customWidth="1"/>
    <col min="16" max="16" width="10.7109375" style="56" customWidth="1"/>
    <col min="17" max="17" width="9.140625" style="56"/>
    <col min="18" max="19" width="12.7109375" style="56" customWidth="1"/>
    <col min="20" max="21" width="10.7109375" style="56" customWidth="1"/>
    <col min="22" max="16384" width="9.140625" style="56"/>
  </cols>
  <sheetData>
    <row r="1" spans="1:21" ht="15.75">
      <c r="A1" s="510" t="s">
        <v>718</v>
      </c>
      <c r="B1" s="511"/>
      <c r="C1" s="511"/>
      <c r="D1" s="511"/>
      <c r="E1" s="511"/>
      <c r="F1" s="511"/>
      <c r="H1" s="511"/>
      <c r="I1" s="511"/>
      <c r="J1" s="511"/>
      <c r="L1" s="511"/>
      <c r="M1" s="511"/>
      <c r="N1" s="239"/>
      <c r="O1" s="239"/>
      <c r="P1" s="239"/>
      <c r="Q1" s="224"/>
      <c r="R1" s="58" t="str">
        <f>Intro!$D$4</f>
        <v>IRC-FORM-2100J (ARPANSA-FORM-1856)</v>
      </c>
      <c r="S1" s="224"/>
    </row>
    <row r="2" spans="1:21" ht="18.75">
      <c r="A2" s="513"/>
      <c r="B2" s="511"/>
      <c r="C2" s="511"/>
      <c r="D2" s="511"/>
      <c r="E2" s="511"/>
      <c r="F2" s="511"/>
      <c r="G2" s="511"/>
      <c r="H2" s="511"/>
      <c r="I2" s="511"/>
      <c r="J2" s="511"/>
      <c r="K2" s="511"/>
      <c r="L2" s="511"/>
      <c r="M2" s="511"/>
      <c r="N2" s="224"/>
      <c r="O2" s="224"/>
      <c r="P2" s="224"/>
      <c r="Q2" s="224"/>
      <c r="R2" s="69" t="str">
        <f>Intro!$D$5</f>
        <v>23-Production</v>
      </c>
      <c r="S2" s="224"/>
    </row>
    <row r="3" spans="1:21">
      <c r="A3" s="514" t="str">
        <f>Client!B5</f>
        <v>CAL11957</v>
      </c>
      <c r="B3" s="515" t="str">
        <f>Client!B6</f>
        <v>De-identified for distribution</v>
      </c>
      <c r="C3" s="516"/>
      <c r="D3" s="516"/>
      <c r="E3" s="517"/>
      <c r="F3" s="517"/>
      <c r="G3" s="517"/>
      <c r="H3" s="517"/>
      <c r="I3" s="517"/>
      <c r="J3" s="517"/>
      <c r="K3" s="517"/>
      <c r="L3" s="518"/>
      <c r="M3" s="69"/>
      <c r="N3" s="226"/>
      <c r="O3" s="226"/>
      <c r="P3" s="226"/>
      <c r="Q3" s="226"/>
      <c r="R3" s="69" t="str">
        <f>Intro!$B$10</f>
        <v>Validated: Note yet</v>
      </c>
      <c r="S3" s="226"/>
    </row>
    <row r="4" spans="1:21">
      <c r="A4" s="188" t="s">
        <v>27</v>
      </c>
      <c r="B4" s="1339">
        <f>Client!B80</f>
        <v>0</v>
      </c>
      <c r="C4" s="1340"/>
      <c r="D4" s="70"/>
      <c r="E4" s="70"/>
      <c r="G4" s="70"/>
      <c r="K4" s="70"/>
    </row>
    <row r="5" spans="1:21">
      <c r="A5" s="56" t="s">
        <v>28</v>
      </c>
      <c r="B5" s="1339">
        <f>Client!B81</f>
        <v>0</v>
      </c>
      <c r="C5" s="1340"/>
      <c r="F5" s="70"/>
      <c r="N5" s="225"/>
      <c r="O5" s="225"/>
      <c r="P5" s="225"/>
      <c r="Q5" s="225"/>
      <c r="R5" s="225"/>
      <c r="S5" s="225"/>
    </row>
    <row r="8" spans="1:21" ht="15.75" customHeight="1">
      <c r="B8" s="929" t="s">
        <v>1364</v>
      </c>
      <c r="C8" s="634" t="s">
        <v>826</v>
      </c>
      <c r="F8" s="929" t="s">
        <v>1411</v>
      </c>
      <c r="G8" s="1442"/>
      <c r="H8" s="1443"/>
      <c r="I8" s="1443"/>
      <c r="J8" s="1443"/>
      <c r="K8" s="1443"/>
      <c r="L8" s="1443"/>
    </row>
    <row r="9" spans="1:21" ht="15.75" customHeight="1"/>
    <row r="10" spans="1:21" ht="15.75" customHeight="1">
      <c r="L10" s="976"/>
    </row>
    <row r="11" spans="1:21" ht="15.75" customHeight="1">
      <c r="A11" s="307" t="s">
        <v>702</v>
      </c>
      <c r="E11" s="70"/>
      <c r="F11" s="70"/>
      <c r="G11" s="70"/>
      <c r="H11" s="70"/>
      <c r="I11" s="70"/>
      <c r="J11" s="70"/>
      <c r="L11" s="976" t="s">
        <v>1442</v>
      </c>
      <c r="N11" s="58" t="s">
        <v>916</v>
      </c>
    </row>
    <row r="12" spans="1:21" ht="15.75" customHeight="1">
      <c r="A12" s="308"/>
      <c r="B12" s="309"/>
      <c r="C12" s="310" t="s">
        <v>703</v>
      </c>
      <c r="D12" s="310" t="s">
        <v>704</v>
      </c>
      <c r="E12" s="310" t="s">
        <v>705</v>
      </c>
      <c r="F12" s="310" t="s">
        <v>706</v>
      </c>
      <c r="G12" s="310" t="s">
        <v>707</v>
      </c>
      <c r="H12" s="311"/>
      <c r="I12" s="310" t="s">
        <v>1011</v>
      </c>
      <c r="J12" s="310" t="s">
        <v>1012</v>
      </c>
      <c r="K12" s="72"/>
      <c r="L12" s="975" t="str">
        <f>IF(MIN(C13,D13,E13,F13,G13)&lt;30000,"",MIN(C13,D13,E13,F13,G13))</f>
        <v/>
      </c>
      <c r="N12" s="188" t="s">
        <v>915</v>
      </c>
      <c r="O12" s="70"/>
      <c r="P12" s="737" t="e">
        <f>MATCH($B$4&amp;"",Limits!$N$7:$T$7,0)</f>
        <v>#N/A</v>
      </c>
      <c r="U12" s="434" t="s">
        <v>825</v>
      </c>
    </row>
    <row r="13" spans="1:21" ht="15.75" customHeight="1">
      <c r="A13" s="312"/>
      <c r="B13" s="313" t="s">
        <v>708</v>
      </c>
      <c r="C13" s="931"/>
      <c r="D13" s="931"/>
      <c r="E13" s="740"/>
      <c r="F13" s="740"/>
      <c r="G13" s="740"/>
      <c r="H13" s="314"/>
      <c r="I13" s="932"/>
      <c r="J13" s="932"/>
      <c r="K13" s="315"/>
      <c r="L13" s="975" t="str">
        <f>IF(MAX(C13,D13,E13,F13,G13)&lt;30000,"",MAX(C13,D13,E13,F13,G13))</f>
        <v/>
      </c>
      <c r="N13" s="65" t="s">
        <v>709</v>
      </c>
      <c r="O13" s="317"/>
      <c r="P13" s="318" t="str">
        <f ca="1">IF($B$4=0,"",cubic_spline_safe(OFFSET($M$34,$P$52,0):$M$50,OFFSET($N$34,$P$52,0):$N$50,C25))</f>
        <v/>
      </c>
      <c r="Q13" s="70"/>
      <c r="U13" s="434" t="s">
        <v>826</v>
      </c>
    </row>
    <row r="14" spans="1:21" ht="15.75" customHeight="1">
      <c r="A14" s="312"/>
      <c r="B14" s="925" t="s">
        <v>1357</v>
      </c>
      <c r="C14" s="314"/>
      <c r="D14" s="314"/>
      <c r="E14" s="314"/>
      <c r="F14" s="314"/>
      <c r="G14" s="314"/>
      <c r="H14" s="314"/>
      <c r="K14" s="316"/>
      <c r="Q14" s="70"/>
    </row>
    <row r="15" spans="1:21" ht="15.75" customHeight="1">
      <c r="A15" s="319"/>
      <c r="B15" s="313" t="s">
        <v>710</v>
      </c>
      <c r="C15" s="741"/>
      <c r="D15" s="741"/>
      <c r="E15" s="742"/>
      <c r="F15" s="742"/>
      <c r="G15" s="742"/>
      <c r="H15" s="320" t="s">
        <v>711</v>
      </c>
      <c r="I15" s="735" t="s">
        <v>1019</v>
      </c>
      <c r="J15" s="738" t="e">
        <f>AVERAGE(C15:G15)</f>
        <v>#DIV/0!</v>
      </c>
      <c r="K15" s="736" t="s">
        <v>7</v>
      </c>
      <c r="O15" s="70"/>
      <c r="P15" s="70"/>
      <c r="Q15" s="70"/>
    </row>
    <row r="16" spans="1:21" ht="15.75" customHeight="1">
      <c r="A16" s="321"/>
      <c r="B16" s="322" t="s">
        <v>712</v>
      </c>
      <c r="C16" s="734"/>
      <c r="D16" s="283" t="str">
        <f>IF(D15="","",(D15-$C15)/$C15*100)</f>
        <v/>
      </c>
      <c r="E16" s="283" t="str">
        <f>IF(E15="","",(E15-$C15)/$C15*100)</f>
        <v/>
      </c>
      <c r="F16" s="283" t="str">
        <f>IF(F15="","",(F15-$C15)/$C15*100)</f>
        <v/>
      </c>
      <c r="G16" s="283" t="str">
        <f>IF(G15="","",(G15-$C15)/$C15*100)</f>
        <v/>
      </c>
      <c r="H16" s="283">
        <v>0.3</v>
      </c>
      <c r="M16" s="58" t="s">
        <v>1359</v>
      </c>
      <c r="O16" s="70"/>
      <c r="P16" s="70"/>
      <c r="Q16" s="70"/>
      <c r="R16" s="58" t="s">
        <v>1360</v>
      </c>
      <c r="T16" s="70"/>
      <c r="U16" s="70"/>
    </row>
    <row r="17" spans="1:21" ht="15.75" customHeight="1">
      <c r="A17" s="323"/>
      <c r="O17" s="70"/>
      <c r="P17" s="70"/>
      <c r="Q17" s="70"/>
    </row>
    <row r="18" spans="1:21" ht="15.75" customHeight="1">
      <c r="A18" s="323"/>
      <c r="D18" s="993" t="s">
        <v>1472</v>
      </c>
      <c r="E18" s="994">
        <f>COUNTA(C13,D13,E13,F13,G13)</f>
        <v>0</v>
      </c>
      <c r="M18" s="56" t="s">
        <v>799</v>
      </c>
      <c r="R18" s="56" t="s">
        <v>799</v>
      </c>
    </row>
    <row r="19" spans="1:21" ht="15.75" customHeight="1">
      <c r="A19" s="323"/>
      <c r="D19" s="225"/>
      <c r="M19" s="324"/>
      <c r="N19" s="311" t="s">
        <v>713</v>
      </c>
      <c r="O19" s="311" t="s">
        <v>655</v>
      </c>
      <c r="P19" s="311"/>
      <c r="Q19" s="70"/>
      <c r="R19" s="324"/>
      <c r="S19" s="311" t="s">
        <v>713</v>
      </c>
      <c r="T19" s="311" t="s">
        <v>655</v>
      </c>
      <c r="U19" s="311"/>
    </row>
    <row r="20" spans="1:21" ht="15.75" customHeight="1">
      <c r="A20" s="307" t="s">
        <v>963</v>
      </c>
      <c r="H20" s="613"/>
      <c r="I20" s="612"/>
      <c r="J20" s="612"/>
      <c r="M20" s="325" t="s">
        <v>714</v>
      </c>
      <c r="N20" s="325" t="s">
        <v>715</v>
      </c>
      <c r="O20" s="325" t="s">
        <v>7</v>
      </c>
      <c r="P20" s="325" t="s">
        <v>716</v>
      </c>
      <c r="Q20" s="70"/>
      <c r="R20" s="325" t="s">
        <v>714</v>
      </c>
      <c r="S20" s="325" t="s">
        <v>715</v>
      </c>
      <c r="T20" s="325" t="s">
        <v>7</v>
      </c>
      <c r="U20" s="325" t="s">
        <v>716</v>
      </c>
    </row>
    <row r="21" spans="1:21" ht="15.75" customHeight="1">
      <c r="A21" s="323"/>
      <c r="C21" s="70"/>
      <c r="D21" s="311" t="s">
        <v>156</v>
      </c>
      <c r="E21" s="311" t="s">
        <v>156</v>
      </c>
      <c r="F21" s="311" t="s">
        <v>1016</v>
      </c>
      <c r="G21" s="288" t="s">
        <v>1</v>
      </c>
      <c r="H21" s="311" t="s">
        <v>2</v>
      </c>
      <c r="I21" s="733"/>
      <c r="J21" s="732"/>
      <c r="M21" s="948"/>
      <c r="N21" s="920"/>
      <c r="O21" s="327" t="e">
        <f t="shared" ref="O21:O26" ca="1" si="0">P21/P$13*E$33</f>
        <v>#VALUE!</v>
      </c>
      <c r="P21" s="328" t="str">
        <f ca="1">IF($B$4=0,"",cubic_spline_safe(OFFSET($M$34,$P$52,0):$M$50,OFFSET($N$34,$P$52,0):$N$50,N21))</f>
        <v/>
      </c>
      <c r="Q21" s="70"/>
      <c r="R21" s="326"/>
      <c r="S21" s="746"/>
      <c r="T21" s="327" t="e">
        <f t="shared" ref="T21:T26" ca="1" si="1">U21/P$13*E$33</f>
        <v>#VALUE!</v>
      </c>
      <c r="U21" s="328" t="str">
        <f ca="1">IF($B$4=0,"",cubic_spline_safe(OFFSET($M$34,$P$52,0):$M$50,OFFSET($N$34,$P$52,0):$N$50,S21))</f>
        <v/>
      </c>
    </row>
    <row r="22" spans="1:21" ht="15.75" customHeight="1">
      <c r="A22" s="323"/>
      <c r="C22" s="70"/>
      <c r="D22" s="342"/>
      <c r="E22" s="669" t="str">
        <f>IF(D23="","",D23)</f>
        <v/>
      </c>
      <c r="F22" s="342" t="s">
        <v>1017</v>
      </c>
      <c r="G22" s="289" t="s">
        <v>168</v>
      </c>
      <c r="H22" s="342" t="s">
        <v>177</v>
      </c>
      <c r="I22" s="733"/>
      <c r="J22" s="732"/>
      <c r="M22" s="710"/>
      <c r="N22" s="744"/>
      <c r="O22" s="327" t="e">
        <f t="shared" ca="1" si="0"/>
        <v>#VALUE!</v>
      </c>
      <c r="P22" s="328" t="str">
        <f ca="1">IF($B$4=0,"",cubic_spline_safe(OFFSET($M$34,$P$52,0):$M$50,OFFSET($N$34,$P$52,0):$N$50,N22))</f>
        <v/>
      </c>
      <c r="Q22" s="70"/>
      <c r="R22" s="329"/>
      <c r="S22" s="745"/>
      <c r="T22" s="327" t="e">
        <f t="shared" ca="1" si="1"/>
        <v>#VALUE!</v>
      </c>
      <c r="U22" s="328" t="str">
        <f ca="1">IF($B$4=0,"",cubic_spline_safe(OFFSET($M$34,$P$52,0):$M$50,OFFSET($N$34,$P$52,0):$N$50,S22))</f>
        <v/>
      </c>
    </row>
    <row r="23" spans="1:21" ht="15.75" customHeight="1">
      <c r="A23" s="323"/>
      <c r="B23" s="331" t="s">
        <v>1020</v>
      </c>
      <c r="C23" s="332"/>
      <c r="D23" s="926"/>
      <c r="E23" s="670" t="s">
        <v>970</v>
      </c>
      <c r="F23" s="289" t="s">
        <v>5</v>
      </c>
      <c r="G23" s="334" t="s">
        <v>38</v>
      </c>
      <c r="H23" s="325" t="s">
        <v>112</v>
      </c>
      <c r="I23" s="733"/>
      <c r="J23" s="732"/>
      <c r="M23" s="710"/>
      <c r="N23" s="744"/>
      <c r="O23" s="327" t="e">
        <f t="shared" ca="1" si="0"/>
        <v>#VALUE!</v>
      </c>
      <c r="P23" s="328" t="str">
        <f ca="1">IF($B$4=0,"",cubic_spline_safe(OFFSET($M$34,$P$52,0):$M$50,OFFSET($N$34,$P$52,0):$N$50,N23))</f>
        <v/>
      </c>
      <c r="Q23" s="72"/>
      <c r="R23" s="329"/>
      <c r="S23" s="745"/>
      <c r="T23" s="327" t="e">
        <f t="shared" ca="1" si="1"/>
        <v>#VALUE!</v>
      </c>
      <c r="U23" s="328" t="str">
        <f ca="1">IF($B$4=0,"",cubic_spline_safe(OFFSET($M$34,$P$52,0):$M$50,OFFSET($N$34,$P$52,0):$N$50,S23))</f>
        <v/>
      </c>
    </row>
    <row r="24" spans="1:21" ht="15.75" customHeight="1">
      <c r="A24" s="323"/>
      <c r="B24" s="331" t="s">
        <v>714</v>
      </c>
      <c r="C24" s="331" t="s">
        <v>717</v>
      </c>
      <c r="D24" s="334" t="s">
        <v>0</v>
      </c>
      <c r="E24" s="334" t="s">
        <v>0</v>
      </c>
      <c r="F24" s="668" t="str">
        <f>E23</f>
        <v>ref value</v>
      </c>
      <c r="G24" s="70"/>
      <c r="I24" s="733"/>
      <c r="J24" s="732"/>
      <c r="M24" s="710"/>
      <c r="N24" s="744"/>
      <c r="O24" s="327" t="e">
        <f t="shared" ca="1" si="0"/>
        <v>#VALUE!</v>
      </c>
      <c r="P24" s="328" t="str">
        <f ca="1">IF($B$4=0,"",cubic_spline_safe(OFFSET($M$34,$P$52,0):$M$50,OFFSET($N$34,$P$52,0):$N$50,N24))</f>
        <v/>
      </c>
      <c r="Q24" s="330"/>
      <c r="R24" s="329"/>
      <c r="S24" s="745"/>
      <c r="T24" s="327" t="e">
        <f t="shared" ca="1" si="1"/>
        <v>#VALUE!</v>
      </c>
      <c r="U24" s="328" t="str">
        <f ca="1">IF($B$4=0,"",cubic_spline_safe(OFFSET($M$34,$P$52,0):$M$50,OFFSET($N$34,$P$52,0):$N$50,S24))</f>
        <v/>
      </c>
    </row>
    <row r="25" spans="1:21" ht="15.75" customHeight="1">
      <c r="A25" s="335"/>
      <c r="B25" s="919" t="s">
        <v>1342</v>
      </c>
      <c r="C25" s="331">
        <v>5.89</v>
      </c>
      <c r="D25" s="27"/>
      <c r="E25" s="291" t="str">
        <f>IF(D23="","",VLOOKUP(D23,Limits!J59:L64,3,FALSE))</f>
        <v/>
      </c>
      <c r="F25" s="292" t="str">
        <f>IF(D25="","",(D25-E25)/E25*100)</f>
        <v/>
      </c>
      <c r="G25" s="299">
        <v>1</v>
      </c>
      <c r="H25" s="298" t="str">
        <f>IF(F25="","",ABS(F25/G25))</f>
        <v/>
      </c>
      <c r="M25" s="710"/>
      <c r="N25" s="744"/>
      <c r="O25" s="327" t="e">
        <f t="shared" ca="1" si="0"/>
        <v>#VALUE!</v>
      </c>
      <c r="P25" s="328" t="str">
        <f ca="1">IF($B$4=0,"",cubic_spline_safe(OFFSET($M$34,$P$52,0):$M$50,OFFSET($N$34,$P$52,0):$N$50,N25))</f>
        <v/>
      </c>
      <c r="Q25" s="333"/>
      <c r="R25" s="329"/>
      <c r="S25" s="745"/>
      <c r="T25" s="327" t="e">
        <f t="shared" ca="1" si="1"/>
        <v>#VALUE!</v>
      </c>
      <c r="U25" s="328" t="str">
        <f ca="1">IF($B$4=0,"",cubic_spline_safe(OFFSET($M$34,$P$52,0):$M$50,OFFSET($N$34,$P$52,0):$N$50,S25))</f>
        <v/>
      </c>
    </row>
    <row r="26" spans="1:21" ht="15.75" customHeight="1">
      <c r="A26" s="335"/>
      <c r="B26" s="336"/>
      <c r="C26" s="333"/>
      <c r="D26" s="333"/>
      <c r="E26" s="337"/>
      <c r="M26" s="329"/>
      <c r="N26" s="745"/>
      <c r="O26" s="327" t="e">
        <f t="shared" ca="1" si="0"/>
        <v>#VALUE!</v>
      </c>
      <c r="P26" s="328" t="str">
        <f ca="1">IF($B$4=0,"",cubic_spline_safe(OFFSET($M$34,$P$52,0):$M$50,OFFSET($N$34,$P$52,0):$N$50,N26))</f>
        <v/>
      </c>
      <c r="Q26" s="333"/>
      <c r="R26" s="329"/>
      <c r="S26" s="745"/>
      <c r="T26" s="327" t="e">
        <f t="shared" ca="1" si="1"/>
        <v>#VALUE!</v>
      </c>
      <c r="U26" s="328" t="str">
        <f ca="1">IF($B$4=0,"",cubic_spline_safe(OFFSET($M$34,$P$52,0):$M$50,OFFSET($N$34,$P$52,0):$N$50,S26))</f>
        <v/>
      </c>
    </row>
    <row r="27" spans="1:21" ht="15.75" customHeight="1">
      <c r="A27" s="338"/>
      <c r="B27" s="336"/>
      <c r="C27" s="333"/>
      <c r="D27" s="333"/>
      <c r="E27" s="337"/>
      <c r="M27" s="927" t="s">
        <v>1358</v>
      </c>
      <c r="N27" s="339"/>
      <c r="O27" s="339"/>
      <c r="P27" s="339"/>
      <c r="Q27" s="339"/>
      <c r="R27" s="927" t="s">
        <v>1358</v>
      </c>
      <c r="S27" s="339"/>
      <c r="T27" s="339"/>
      <c r="U27" s="339"/>
    </row>
    <row r="28" spans="1:21" ht="15.75" customHeight="1">
      <c r="A28" s="307" t="s">
        <v>1433</v>
      </c>
      <c r="M28" s="339"/>
      <c r="N28" s="339"/>
      <c r="O28" s="339"/>
      <c r="P28" s="339"/>
      <c r="Q28" s="339"/>
      <c r="R28" s="71"/>
      <c r="S28" s="339"/>
      <c r="T28" s="339"/>
      <c r="U28" s="339"/>
    </row>
    <row r="29" spans="1:21" ht="15.75" customHeight="1">
      <c r="A29" s="323"/>
      <c r="C29" s="70"/>
      <c r="D29" s="288" t="s">
        <v>6</v>
      </c>
      <c r="E29" s="288" t="s">
        <v>39</v>
      </c>
      <c r="F29" s="311" t="s">
        <v>1018</v>
      </c>
      <c r="G29" s="949" t="s">
        <v>6</v>
      </c>
      <c r="M29" s="339"/>
      <c r="N29" s="339"/>
      <c r="O29" s="339"/>
      <c r="P29" s="339"/>
      <c r="Q29" s="339"/>
      <c r="R29" s="339"/>
      <c r="S29" s="339"/>
      <c r="T29" s="339"/>
      <c r="U29" s="339"/>
    </row>
    <row r="30" spans="1:21" ht="15.75" customHeight="1">
      <c r="A30" s="968" t="s">
        <v>1417</v>
      </c>
      <c r="C30" s="70"/>
      <c r="D30" s="289" t="s">
        <v>8</v>
      </c>
      <c r="E30" s="289" t="s">
        <v>8</v>
      </c>
      <c r="F30" s="667" t="str">
        <f>E31</f>
        <v>CAL11957</v>
      </c>
      <c r="G30" s="289" t="s">
        <v>8</v>
      </c>
      <c r="M30" s="339"/>
      <c r="N30" s="339"/>
      <c r="O30" s="339"/>
      <c r="P30" s="339"/>
      <c r="Q30" s="339"/>
      <c r="R30" s="339"/>
      <c r="S30" s="339"/>
      <c r="T30" s="339"/>
      <c r="U30" s="339"/>
    </row>
    <row r="31" spans="1:21" ht="15.75" customHeight="1">
      <c r="A31" s="969"/>
      <c r="B31" s="331" t="s">
        <v>1020</v>
      </c>
      <c r="C31" s="332"/>
      <c r="D31" s="926"/>
      <c r="E31" s="667" t="str">
        <f>A3</f>
        <v>CAL11957</v>
      </c>
      <c r="F31" s="289" t="s">
        <v>5</v>
      </c>
      <c r="G31" s="972" t="str">
        <f>IF(D31="","",D31)</f>
        <v/>
      </c>
      <c r="M31" s="486" t="s">
        <v>918</v>
      </c>
      <c r="Q31" s="339"/>
      <c r="R31" s="339"/>
      <c r="S31" s="339"/>
      <c r="T31" s="339"/>
      <c r="U31" s="339"/>
    </row>
    <row r="32" spans="1:21" ht="15.75" customHeight="1">
      <c r="A32" s="323"/>
      <c r="B32" s="331" t="s">
        <v>714</v>
      </c>
      <c r="C32" s="331" t="s">
        <v>717</v>
      </c>
      <c r="D32" s="334" t="s">
        <v>0</v>
      </c>
      <c r="E32" s="334" t="s">
        <v>0</v>
      </c>
      <c r="F32" s="289" t="str">
        <f>IF(D31="","",D31)</f>
        <v/>
      </c>
      <c r="G32" s="289" t="s">
        <v>7</v>
      </c>
      <c r="M32" s="484" t="str">
        <f>Limits!M7</f>
        <v>TRS-398</v>
      </c>
      <c r="N32" s="484">
        <f>B4</f>
        <v>0</v>
      </c>
      <c r="P32" s="339"/>
      <c r="Q32" s="339"/>
      <c r="R32" s="339"/>
      <c r="S32" s="339"/>
      <c r="T32" s="339"/>
      <c r="U32" s="339"/>
    </row>
    <row r="33" spans="1:22" ht="15.75" customHeight="1">
      <c r="A33" s="335"/>
      <c r="B33" s="919" t="s">
        <v>1342</v>
      </c>
      <c r="C33" s="331">
        <v>5.89</v>
      </c>
      <c r="D33" s="27"/>
      <c r="E33" s="739" t="e">
        <f>AVERAGE(C15:G15)</f>
        <v>#DIV/0!</v>
      </c>
      <c r="F33" s="292" t="str">
        <f>IF(D33="","",(E33-G33)/G33*100)</f>
        <v/>
      </c>
      <c r="G33" s="644" t="str">
        <f>IF(D33="","",IF(A31="Synergy (R50 = 7.13 cm)",D33/1.0022*1.0108,D33))</f>
        <v/>
      </c>
      <c r="M33" s="484" t="str">
        <f>Limits!M8</f>
        <v>R50 (g/cm2)</v>
      </c>
      <c r="N33" s="484" t="str">
        <f>Limits!N8</f>
        <v>kQ</v>
      </c>
      <c r="O33" s="339"/>
      <c r="P33" s="339"/>
      <c r="Q33" s="339"/>
      <c r="R33" s="339"/>
      <c r="S33" s="339"/>
      <c r="T33" s="339"/>
      <c r="U33" s="339"/>
    </row>
    <row r="34" spans="1:22" ht="15.75" customHeight="1">
      <c r="A34" s="323"/>
      <c r="M34" s="283">
        <f>Limits!M9</f>
        <v>1</v>
      </c>
      <c r="N34" s="483" t="e">
        <f ca="1">OFFSET(Limits!M9,0,$P$12)</f>
        <v>#N/A</v>
      </c>
      <c r="O34" s="339"/>
      <c r="P34" s="339"/>
      <c r="Q34" s="339"/>
      <c r="R34" s="339"/>
      <c r="S34" s="339"/>
      <c r="T34" s="339"/>
      <c r="U34" s="339"/>
    </row>
    <row r="35" spans="1:22" ht="15.75" customHeight="1">
      <c r="A35" s="323"/>
      <c r="M35" s="283">
        <f>Limits!M10</f>
        <v>1.4</v>
      </c>
      <c r="N35" s="483" t="e">
        <f ca="1">OFFSET(Limits!M10,0,$P$12)</f>
        <v>#N/A</v>
      </c>
      <c r="O35" s="339"/>
      <c r="P35" s="339"/>
      <c r="Q35" s="339"/>
      <c r="R35" s="339"/>
      <c r="S35" s="339"/>
      <c r="T35" s="339"/>
      <c r="U35" s="339"/>
    </row>
    <row r="36" spans="1:22" ht="15.75" customHeight="1">
      <c r="A36" s="58" t="s">
        <v>672</v>
      </c>
      <c r="C36" s="340" t="str">
        <f>IF(Client!B80="","",Client!B80)</f>
        <v/>
      </c>
      <c r="D36" s="341"/>
      <c r="E36" s="341"/>
      <c r="M36" s="283">
        <f>Limits!M11</f>
        <v>2</v>
      </c>
      <c r="N36" s="483" t="e">
        <f ca="1">OFFSET(Limits!M11,0,$P$12)</f>
        <v>#N/A</v>
      </c>
      <c r="O36" s="339"/>
      <c r="P36" s="339"/>
      <c r="Q36" s="339"/>
      <c r="R36" s="339"/>
      <c r="S36" s="339"/>
      <c r="T36" s="339"/>
      <c r="U36" s="339"/>
    </row>
    <row r="37" spans="1:22" ht="15.75" customHeight="1">
      <c r="M37" s="283">
        <f>Limits!M12</f>
        <v>2.5</v>
      </c>
      <c r="N37" s="483" t="e">
        <f ca="1">OFFSET(Limits!M12,0,$P$12)</f>
        <v>#N/A</v>
      </c>
      <c r="O37" s="339"/>
      <c r="P37" s="339"/>
      <c r="Q37" s="339"/>
      <c r="R37" s="339"/>
      <c r="S37" s="339"/>
      <c r="T37" s="339"/>
      <c r="U37" s="339"/>
    </row>
    <row r="38" spans="1:22" ht="15.75" customHeight="1">
      <c r="A38" s="311" t="s">
        <v>174</v>
      </c>
      <c r="B38" s="288" t="s">
        <v>56</v>
      </c>
      <c r="C38" s="288" t="s">
        <v>172</v>
      </c>
      <c r="D38" s="288" t="s">
        <v>164</v>
      </c>
      <c r="E38" s="288" t="s">
        <v>2</v>
      </c>
      <c r="F38" s="288" t="s">
        <v>6</v>
      </c>
      <c r="G38" s="288" t="s">
        <v>1</v>
      </c>
      <c r="H38" s="311" t="s">
        <v>2</v>
      </c>
      <c r="M38" s="283">
        <f>Limits!M13</f>
        <v>3</v>
      </c>
      <c r="N38" s="483" t="e">
        <f ca="1">OFFSET(Limits!M13,0,$P$12)</f>
        <v>#N/A</v>
      </c>
      <c r="O38" s="339"/>
      <c r="P38" s="339"/>
      <c r="Q38" s="339"/>
      <c r="R38" s="339"/>
      <c r="S38" s="339"/>
      <c r="T38" s="339"/>
      <c r="U38" s="339"/>
    </row>
    <row r="39" spans="1:22" ht="15.75" customHeight="1">
      <c r="A39" s="342" t="s">
        <v>175</v>
      </c>
      <c r="B39" s="289" t="s">
        <v>169</v>
      </c>
      <c r="C39" s="342" t="s">
        <v>176</v>
      </c>
      <c r="D39" s="289" t="s">
        <v>4</v>
      </c>
      <c r="E39" s="289" t="s">
        <v>4</v>
      </c>
      <c r="F39" s="289" t="s">
        <v>166</v>
      </c>
      <c r="G39" s="289" t="s">
        <v>168</v>
      </c>
      <c r="H39" s="342" t="s">
        <v>177</v>
      </c>
      <c r="M39" s="283">
        <f>Limits!M14</f>
        <v>3.5</v>
      </c>
      <c r="N39" s="483" t="e">
        <f ca="1">OFFSET(Limits!M14,0,$P$12)</f>
        <v>#N/A</v>
      </c>
      <c r="O39" s="339"/>
      <c r="P39" s="339"/>
      <c r="Q39" s="339"/>
      <c r="R39" s="339"/>
      <c r="S39" s="339"/>
      <c r="T39" s="339"/>
      <c r="U39" s="339"/>
    </row>
    <row r="40" spans="1:22" ht="15.75" customHeight="1">
      <c r="A40" s="334"/>
      <c r="B40" s="334" t="s">
        <v>173</v>
      </c>
      <c r="C40" s="325" t="s">
        <v>1</v>
      </c>
      <c r="D40" s="334">
        <f>D23</f>
        <v>0</v>
      </c>
      <c r="E40" s="671">
        <f>B5</f>
        <v>0</v>
      </c>
      <c r="F40" s="334">
        <f>E40</f>
        <v>0</v>
      </c>
      <c r="G40" s="334" t="s">
        <v>38</v>
      </c>
      <c r="H40" s="325" t="s">
        <v>112</v>
      </c>
      <c r="L40" s="339"/>
      <c r="M40" s="283">
        <f>Limits!M15</f>
        <v>4</v>
      </c>
      <c r="N40" s="483" t="e">
        <f ca="1">OFFSET(Limits!M15,0,$P$12)</f>
        <v>#N/A</v>
      </c>
      <c r="O40" s="339"/>
      <c r="P40" s="339"/>
      <c r="Q40" s="339"/>
      <c r="R40" s="339"/>
      <c r="S40" s="339"/>
      <c r="T40" s="339"/>
      <c r="U40" s="339"/>
      <c r="V40" s="339"/>
    </row>
    <row r="41" spans="1:22" ht="15.75" customHeight="1">
      <c r="A41" s="70"/>
      <c r="B41" s="70"/>
      <c r="C41" s="70"/>
      <c r="D41" s="70"/>
      <c r="E41" s="70"/>
      <c r="F41" s="70"/>
      <c r="G41" s="70"/>
      <c r="L41" s="339"/>
      <c r="M41" s="283">
        <f>Limits!M16</f>
        <v>4.5</v>
      </c>
      <c r="N41" s="483" t="e">
        <f ca="1">OFFSET(Limits!M16,0,$P$12)</f>
        <v>#N/A</v>
      </c>
      <c r="O41" s="339"/>
      <c r="P41" s="339"/>
      <c r="Q41" s="339"/>
      <c r="R41" s="339"/>
      <c r="S41" s="339"/>
      <c r="T41" s="339"/>
      <c r="U41" s="339"/>
      <c r="V41" s="339"/>
    </row>
    <row r="42" spans="1:22" ht="15.75" customHeight="1">
      <c r="A42" s="295" t="str">
        <f>C36</f>
        <v/>
      </c>
      <c r="B42" s="296" t="e">
        <f>VLOOKUP(C36&amp;"",Limits!$B$58:$G$64,5,FALSE)</f>
        <v>#N/A</v>
      </c>
      <c r="C42" s="190" t="s">
        <v>170</v>
      </c>
      <c r="D42" s="189">
        <f>D25</f>
        <v>0</v>
      </c>
      <c r="E42" s="189" t="e">
        <f>AVERAGE(C15:G15)</f>
        <v>#DIV/0!</v>
      </c>
      <c r="F42" s="189">
        <f>D33</f>
        <v>0</v>
      </c>
      <c r="L42" s="339"/>
      <c r="M42" s="283">
        <f>Limits!M17</f>
        <v>5</v>
      </c>
      <c r="N42" s="483" t="e">
        <f ca="1">OFFSET(Limits!M17,0,$P$12)</f>
        <v>#N/A</v>
      </c>
      <c r="O42" s="339"/>
      <c r="P42" s="339"/>
      <c r="Q42" s="339"/>
      <c r="R42" s="339"/>
      <c r="S42" s="339"/>
      <c r="T42" s="339"/>
      <c r="U42" s="339"/>
      <c r="V42" s="339"/>
    </row>
    <row r="43" spans="1:22" ht="15.75" customHeight="1">
      <c r="A43" s="190"/>
      <c r="B43" s="190"/>
      <c r="C43" s="297" t="s">
        <v>167</v>
      </c>
      <c r="D43" s="298" t="e">
        <f>(D42-B42)/B42*100</f>
        <v>#N/A</v>
      </c>
      <c r="E43" s="298" t="e">
        <f>(E42-B42)/B42*100</f>
        <v>#DIV/0!</v>
      </c>
      <c r="F43" s="298" t="e">
        <f>(F42-B42)/B42*100</f>
        <v>#N/A</v>
      </c>
      <c r="G43" s="299" t="e">
        <f>VLOOKUP(C36&amp;"",Limits!$B$58:$G$64,6,FALSE)</f>
        <v>#N/A</v>
      </c>
      <c r="H43" s="298" t="e">
        <f>ABS(E43/G43)</f>
        <v>#DIV/0!</v>
      </c>
      <c r="L43" s="339"/>
      <c r="M43" s="283">
        <f>Limits!M18</f>
        <v>5.5</v>
      </c>
      <c r="N43" s="483" t="e">
        <f ca="1">OFFSET(Limits!M18,0,$P$12)</f>
        <v>#N/A</v>
      </c>
      <c r="O43" s="339"/>
      <c r="P43" s="339"/>
      <c r="Q43" s="339"/>
      <c r="R43" s="339"/>
      <c r="S43" s="339"/>
      <c r="T43" s="339"/>
      <c r="U43" s="339"/>
      <c r="V43" s="339"/>
    </row>
    <row r="44" spans="1:22" ht="15.75" customHeight="1">
      <c r="A44" s="330"/>
      <c r="B44" s="330"/>
      <c r="C44" s="330"/>
      <c r="D44" s="330"/>
      <c r="E44" s="330"/>
      <c r="F44" s="339"/>
      <c r="G44" s="339"/>
      <c r="H44" s="339"/>
      <c r="I44" s="339"/>
      <c r="J44" s="339"/>
      <c r="K44" s="339"/>
      <c r="L44" s="339"/>
      <c r="M44" s="283">
        <f>Limits!M19</f>
        <v>6</v>
      </c>
      <c r="N44" s="483" t="e">
        <f ca="1">OFFSET(Limits!M19,0,$P$12)</f>
        <v>#N/A</v>
      </c>
      <c r="O44" s="339"/>
      <c r="P44" s="339"/>
      <c r="Q44" s="339"/>
      <c r="R44" s="339"/>
      <c r="S44" s="339"/>
      <c r="T44" s="339"/>
      <c r="U44" s="339"/>
      <c r="V44" s="339"/>
    </row>
    <row r="45" spans="1:22" ht="15.75" customHeight="1">
      <c r="A45" s="768"/>
      <c r="D45" s="330"/>
      <c r="E45" s="330"/>
      <c r="F45" s="339"/>
      <c r="G45" s="339"/>
      <c r="H45" s="339"/>
      <c r="I45" s="339"/>
      <c r="J45" s="339"/>
      <c r="K45" s="339"/>
      <c r="L45" s="339"/>
      <c r="M45" s="283">
        <f>Limits!M20</f>
        <v>7</v>
      </c>
      <c r="N45" s="483" t="e">
        <f ca="1">OFFSET(Limits!M20,0,$P$12)</f>
        <v>#N/A</v>
      </c>
      <c r="O45" s="339"/>
      <c r="P45" s="339"/>
      <c r="Q45" s="339"/>
      <c r="R45" s="339"/>
      <c r="S45" s="339"/>
      <c r="T45" s="339"/>
      <c r="U45" s="339"/>
      <c r="V45" s="339"/>
    </row>
    <row r="46" spans="1:22" ht="15.75" customHeight="1">
      <c r="A46" s="769" t="s">
        <v>967</v>
      </c>
      <c r="D46" s="330"/>
      <c r="E46" s="330"/>
      <c r="F46" s="339"/>
      <c r="G46" s="339"/>
      <c r="H46" s="339"/>
      <c r="I46" s="339"/>
      <c r="J46" s="339"/>
      <c r="K46" s="339"/>
      <c r="L46" s="339"/>
      <c r="M46" s="283">
        <f>Limits!M21</f>
        <v>8</v>
      </c>
      <c r="N46" s="483" t="e">
        <f ca="1">OFFSET(Limits!M21,0,$P$12)</f>
        <v>#N/A</v>
      </c>
      <c r="O46" s="339"/>
      <c r="P46" s="339"/>
      <c r="Q46" s="339"/>
      <c r="R46" s="339"/>
      <c r="S46" s="339"/>
      <c r="T46" s="339"/>
      <c r="U46" s="339"/>
      <c r="V46" s="339"/>
    </row>
    <row r="47" spans="1:22" ht="15.75" customHeight="1">
      <c r="A47" s="769" t="s">
        <v>966</v>
      </c>
      <c r="B47" s="339"/>
      <c r="C47" s="339"/>
      <c r="D47" s="339"/>
      <c r="E47" s="339"/>
      <c r="F47" s="339"/>
      <c r="G47" s="339"/>
      <c r="H47" s="339"/>
      <c r="I47" s="339"/>
      <c r="J47" s="339"/>
      <c r="K47" s="339"/>
      <c r="L47" s="339"/>
      <c r="M47" s="283">
        <f>Limits!M22</f>
        <v>10</v>
      </c>
      <c r="N47" s="483" t="e">
        <f ca="1">OFFSET(Limits!M22,0,$P$12)</f>
        <v>#N/A</v>
      </c>
      <c r="O47" s="339"/>
      <c r="P47" s="339"/>
      <c r="Q47" s="339"/>
      <c r="R47" s="339"/>
      <c r="S47" s="339"/>
      <c r="T47" s="339"/>
      <c r="U47" s="339"/>
      <c r="V47" s="339"/>
    </row>
    <row r="48" spans="1:22" ht="15.75" customHeight="1">
      <c r="A48" s="769" t="s">
        <v>968</v>
      </c>
      <c r="B48" s="339"/>
      <c r="C48" s="339"/>
      <c r="D48" s="339"/>
      <c r="E48" s="339"/>
      <c r="F48" s="339"/>
      <c r="G48" s="339"/>
      <c r="H48" s="339"/>
      <c r="I48" s="339"/>
      <c r="J48" s="339"/>
      <c r="K48" s="339"/>
      <c r="L48" s="339"/>
      <c r="M48" s="283">
        <f>Limits!M23</f>
        <v>13</v>
      </c>
      <c r="N48" s="483" t="e">
        <f ca="1">OFFSET(Limits!M23,0,$P$12)</f>
        <v>#N/A</v>
      </c>
      <c r="O48" s="339"/>
      <c r="P48" s="339"/>
      <c r="Q48" s="339"/>
      <c r="R48" s="339"/>
      <c r="S48" s="339"/>
      <c r="T48" s="339"/>
      <c r="U48" s="339"/>
      <c r="V48" s="339"/>
    </row>
    <row r="49" spans="1:22" ht="15.75" customHeight="1">
      <c r="A49" s="770" t="s">
        <v>1033</v>
      </c>
      <c r="B49" s="344"/>
      <c r="C49" s="344"/>
      <c r="D49" s="344"/>
      <c r="E49" s="344"/>
      <c r="F49" s="344"/>
      <c r="G49" s="344"/>
      <c r="H49" s="344"/>
      <c r="I49" s="344"/>
      <c r="J49" s="344"/>
      <c r="K49" s="339"/>
      <c r="L49" s="339"/>
      <c r="M49" s="283">
        <f>Limits!M24</f>
        <v>16</v>
      </c>
      <c r="N49" s="483" t="e">
        <f ca="1">OFFSET(Limits!M24,0,$P$12)</f>
        <v>#N/A</v>
      </c>
      <c r="O49" s="339"/>
      <c r="P49" s="339"/>
      <c r="Q49" s="339"/>
      <c r="R49" s="339"/>
      <c r="S49" s="339"/>
      <c r="T49" s="339"/>
      <c r="U49" s="339"/>
      <c r="V49" s="339"/>
    </row>
    <row r="50" spans="1:22" ht="15.75" customHeight="1">
      <c r="A50" s="345"/>
      <c r="B50" s="346"/>
      <c r="C50" s="346"/>
      <c r="D50" s="346"/>
      <c r="E50" s="346"/>
      <c r="F50" s="346"/>
      <c r="G50" s="339"/>
      <c r="H50" s="339"/>
      <c r="I50" s="339"/>
      <c r="J50" s="339"/>
      <c r="K50" s="339"/>
      <c r="L50" s="339"/>
      <c r="M50" s="283">
        <f>Limits!M25</f>
        <v>20</v>
      </c>
      <c r="N50" s="483" t="e">
        <f ca="1">OFFSET(Limits!M25,0,$P$12)</f>
        <v>#N/A</v>
      </c>
      <c r="O50" s="339"/>
      <c r="P50" s="339"/>
      <c r="Q50" s="339"/>
      <c r="R50" s="339"/>
      <c r="S50" s="339"/>
      <c r="T50" s="339"/>
      <c r="U50" s="339"/>
      <c r="V50" s="339"/>
    </row>
    <row r="51" spans="1:22" ht="15.75" customHeight="1">
      <c r="A51" s="970" t="s">
        <v>1429</v>
      </c>
      <c r="B51" s="347"/>
      <c r="C51" s="347"/>
      <c r="D51" s="347"/>
      <c r="E51" s="347"/>
      <c r="F51" s="347"/>
      <c r="G51" s="339"/>
      <c r="H51" s="339"/>
      <c r="I51" s="339"/>
      <c r="J51" s="339"/>
      <c r="K51" s="339"/>
      <c r="L51" s="339"/>
      <c r="M51" s="481"/>
      <c r="N51" s="339"/>
      <c r="O51" s="339"/>
      <c r="P51" s="339"/>
      <c r="Q51" s="339"/>
      <c r="R51" s="339"/>
      <c r="S51" s="339"/>
      <c r="T51" s="339"/>
      <c r="U51" s="339"/>
      <c r="V51" s="339"/>
    </row>
    <row r="52" spans="1:22" ht="15.75" customHeight="1">
      <c r="A52" s="971" t="s">
        <v>1430</v>
      </c>
      <c r="B52" s="349"/>
      <c r="C52" s="349"/>
      <c r="D52" s="349"/>
      <c r="E52" s="349"/>
      <c r="F52" s="349"/>
      <c r="G52" s="339"/>
      <c r="H52" s="339"/>
      <c r="I52" s="339"/>
      <c r="J52" s="339"/>
      <c r="K52" s="339"/>
      <c r="L52" s="339"/>
      <c r="M52" s="482" t="s">
        <v>917</v>
      </c>
      <c r="N52" s="339"/>
      <c r="O52" s="339"/>
      <c r="P52" s="485">
        <f ca="1">COUNTA(N34:N50)-COUNT(N34:N50)</f>
        <v>17</v>
      </c>
      <c r="Q52" s="339"/>
      <c r="R52" s="339"/>
      <c r="S52" s="339"/>
      <c r="T52" s="339"/>
      <c r="U52" s="339"/>
      <c r="V52" s="339"/>
    </row>
    <row r="53" spans="1:22" ht="15.75" customHeight="1">
      <c r="A53" s="348"/>
      <c r="B53" s="349"/>
      <c r="C53" s="349"/>
      <c r="D53" s="349"/>
      <c r="E53" s="349"/>
      <c r="F53" s="349"/>
      <c r="G53" s="339"/>
      <c r="H53" s="339"/>
      <c r="I53" s="339"/>
      <c r="J53" s="339"/>
      <c r="K53" s="339"/>
      <c r="L53" s="339"/>
      <c r="M53" s="339"/>
      <c r="N53" s="339"/>
      <c r="O53" s="339"/>
      <c r="P53" s="339"/>
      <c r="Q53" s="339"/>
      <c r="R53" s="339"/>
      <c r="S53" s="339"/>
      <c r="T53" s="339"/>
      <c r="U53" s="339"/>
      <c r="V53" s="339"/>
    </row>
    <row r="54" spans="1:22">
      <c r="A54" s="348"/>
      <c r="B54" s="349"/>
      <c r="C54" s="349"/>
      <c r="D54" s="349"/>
      <c r="E54" s="349"/>
      <c r="F54" s="349"/>
      <c r="G54" s="339"/>
      <c r="H54" s="339"/>
      <c r="I54" s="339"/>
      <c r="J54" s="339"/>
      <c r="K54" s="339"/>
      <c r="L54" s="339"/>
      <c r="M54" s="339"/>
      <c r="N54" s="339"/>
      <c r="O54" s="339"/>
      <c r="P54" s="339"/>
      <c r="Q54" s="339"/>
      <c r="R54" s="339"/>
      <c r="S54" s="339"/>
      <c r="T54" s="339"/>
      <c r="U54" s="339"/>
      <c r="V54" s="339"/>
    </row>
    <row r="55" spans="1:22">
      <c r="A55" s="348"/>
      <c r="B55" s="349"/>
      <c r="C55" s="349"/>
      <c r="D55" s="349"/>
      <c r="E55" s="349"/>
      <c r="F55" s="349"/>
      <c r="G55" s="339"/>
      <c r="H55" s="339"/>
      <c r="I55" s="339"/>
      <c r="J55" s="339"/>
      <c r="K55" s="339"/>
      <c r="L55" s="339"/>
      <c r="M55" s="339"/>
      <c r="N55" s="339"/>
      <c r="O55" s="339"/>
      <c r="P55" s="339"/>
      <c r="Q55" s="339"/>
      <c r="R55" s="339"/>
      <c r="S55" s="339"/>
      <c r="T55" s="339"/>
      <c r="U55" s="339"/>
      <c r="V55" s="339"/>
    </row>
    <row r="56" spans="1:22">
      <c r="A56" s="348"/>
      <c r="B56" s="349"/>
      <c r="C56" s="349"/>
      <c r="D56" s="349"/>
      <c r="E56" s="349"/>
      <c r="F56" s="349"/>
      <c r="G56" s="339"/>
      <c r="H56" s="339"/>
      <c r="I56" s="339"/>
      <c r="J56" s="339"/>
      <c r="K56" s="339"/>
      <c r="L56" s="330"/>
      <c r="M56" s="330"/>
      <c r="N56" s="330"/>
      <c r="O56" s="339"/>
      <c r="P56" s="339"/>
      <c r="Q56" s="339"/>
      <c r="R56" s="339"/>
      <c r="S56" s="339"/>
      <c r="T56" s="339"/>
      <c r="U56" s="339"/>
      <c r="V56" s="339"/>
    </row>
    <row r="57" spans="1:22">
      <c r="A57" s="348"/>
      <c r="B57" s="349"/>
      <c r="C57" s="349"/>
      <c r="D57" s="349"/>
      <c r="E57" s="349"/>
      <c r="F57" s="349"/>
      <c r="G57" s="339"/>
      <c r="H57" s="339"/>
      <c r="I57" s="339"/>
      <c r="J57" s="339"/>
      <c r="K57" s="339"/>
      <c r="L57" s="330"/>
      <c r="M57" s="330"/>
      <c r="N57" s="330"/>
      <c r="O57" s="339"/>
      <c r="P57" s="339"/>
      <c r="Q57" s="339"/>
      <c r="R57" s="339"/>
      <c r="S57" s="339"/>
      <c r="T57" s="339"/>
      <c r="U57" s="339"/>
      <c r="V57" s="339"/>
    </row>
    <row r="58" spans="1:22">
      <c r="A58" s="348"/>
      <c r="B58" s="349"/>
      <c r="C58" s="349"/>
      <c r="D58" s="349"/>
      <c r="E58" s="349"/>
      <c r="F58" s="349"/>
      <c r="G58" s="339"/>
      <c r="H58" s="339"/>
      <c r="I58" s="339"/>
      <c r="J58" s="339"/>
      <c r="K58" s="339"/>
      <c r="L58" s="330"/>
      <c r="M58" s="330"/>
      <c r="N58" s="330"/>
      <c r="O58" s="339"/>
      <c r="P58" s="339"/>
      <c r="Q58" s="339"/>
      <c r="R58" s="339"/>
      <c r="S58" s="339"/>
      <c r="T58" s="339"/>
      <c r="U58" s="339"/>
      <c r="V58" s="339"/>
    </row>
    <row r="59" spans="1:22">
      <c r="A59" s="348"/>
      <c r="B59" s="349"/>
      <c r="C59" s="349"/>
      <c r="D59" s="349"/>
      <c r="E59" s="349"/>
      <c r="F59" s="349"/>
      <c r="G59" s="339"/>
      <c r="H59" s="339"/>
      <c r="I59" s="339"/>
      <c r="J59" s="339"/>
      <c r="K59" s="339"/>
      <c r="L59" s="330"/>
      <c r="M59" s="330"/>
      <c r="N59" s="330"/>
      <c r="O59" s="339"/>
      <c r="P59" s="339"/>
      <c r="Q59" s="339"/>
      <c r="R59" s="339"/>
      <c r="S59" s="339"/>
      <c r="T59" s="339"/>
      <c r="U59" s="339"/>
      <c r="V59" s="339"/>
    </row>
  </sheetData>
  <sheetProtection sheet="1" selectLockedCells="1"/>
  <mergeCells count="3">
    <mergeCell ref="B4:C4"/>
    <mergeCell ref="B5:C5"/>
    <mergeCell ref="G8:L8"/>
  </mergeCells>
  <conditionalFormatting sqref="D43">
    <cfRule type="expression" dxfId="31" priority="15" stopIfTrue="1">
      <formula>OR((D43&lt;-G43),(D43&gt;G43))</formula>
    </cfRule>
  </conditionalFormatting>
  <conditionalFormatting sqref="E43">
    <cfRule type="expression" dxfId="30" priority="14" stopIfTrue="1">
      <formula>OR((E43&lt;-G43),(E43&gt;G43))</formula>
    </cfRule>
  </conditionalFormatting>
  <conditionalFormatting sqref="F43">
    <cfRule type="expression" dxfId="29" priority="13" stopIfTrue="1">
      <formula>OR((F43&lt;-G43),(F43&gt;G43))</formula>
    </cfRule>
  </conditionalFormatting>
  <conditionalFormatting sqref="H43">
    <cfRule type="expression" dxfId="28" priority="12" stopIfTrue="1">
      <formula>(H43&gt;1)</formula>
    </cfRule>
  </conditionalFormatting>
  <conditionalFormatting sqref="D16">
    <cfRule type="expression" dxfId="27" priority="11">
      <formula>OR(($D$16&lt;-$H$16),($D$16&gt;$H$16))</formula>
    </cfRule>
  </conditionalFormatting>
  <conditionalFormatting sqref="E16">
    <cfRule type="expression" dxfId="26" priority="10">
      <formula>OR(($E$16&lt;-$H$16),($E$16&gt;$H$16))</formula>
    </cfRule>
  </conditionalFormatting>
  <conditionalFormatting sqref="F16">
    <cfRule type="expression" dxfId="25" priority="9">
      <formula>OR(($F$16&lt;-$H$16),($F$16&gt;$H$16))</formula>
    </cfRule>
  </conditionalFormatting>
  <conditionalFormatting sqref="G16">
    <cfRule type="expression" dxfId="24" priority="8">
      <formula>OR(($G$16&lt;-$H$16),($G$16&gt;$H$16))</formula>
    </cfRule>
  </conditionalFormatting>
  <conditionalFormatting sqref="M34:N50">
    <cfRule type="expression" dxfId="23" priority="6">
      <formula>OR(($G$16&lt;-$H$16),($G$16&gt;$H$16))</formula>
    </cfRule>
  </conditionalFormatting>
  <conditionalFormatting sqref="M32:N33">
    <cfRule type="expression" dxfId="22" priority="5">
      <formula>OR(($G$16&lt;-$H$16),($G$16&gt;$H$16))</formula>
    </cfRule>
  </conditionalFormatting>
  <conditionalFormatting sqref="H25">
    <cfRule type="expression" dxfId="21" priority="4" stopIfTrue="1">
      <formula>(H25&gt;1)</formula>
    </cfRule>
  </conditionalFormatting>
  <conditionalFormatting sqref="F33">
    <cfRule type="expression" dxfId="20" priority="3" stopIfTrue="1">
      <formula>OR($F$33&gt;1,$F$33&lt;-1)</formula>
    </cfRule>
  </conditionalFormatting>
  <conditionalFormatting sqref="C8">
    <cfRule type="cellIs" dxfId="19" priority="1" operator="equal">
      <formula>"Yes"</formula>
    </cfRule>
    <cfRule type="cellIs" dxfId="18" priority="2" operator="notEqual">
      <formula>"Yes"</formula>
    </cfRule>
  </conditionalFormatting>
  <dataValidations count="3">
    <dataValidation type="list" allowBlank="1" showInputMessage="1" showErrorMessage="1" sqref="D23" xr:uid="{00000000-0002-0000-1100-000000000000}">
      <formula1>$A$45:$A$49</formula1>
    </dataValidation>
    <dataValidation type="list" allowBlank="1" showInputMessage="1" showErrorMessage="1" sqref="C8" xr:uid="{00000000-0002-0000-1100-000001000000}">
      <formula1>$U$12:$U$13</formula1>
    </dataValidation>
    <dataValidation type="list" allowBlank="1" showInputMessage="1" showErrorMessage="1" sqref="A31" xr:uid="{3D577F08-4F06-4D5F-977E-B164D1E37FCE}">
      <formula1>$A$51:$A$52</formula1>
    </dataValidation>
  </dataValidations>
  <pageMargins left="0.7" right="0.7" top="0.75" bottom="0.75" header="0.3" footer="0.3"/>
  <pageSetup paperSize="9" scale="43"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435905" r:id="rId4" name="Button 1">
              <controlPr defaultSize="0" print="0" autoFill="0" autoPict="0" macro="[0]!Button1_Click">
                <anchor moveWithCells="1" sizeWithCells="1">
                  <from>
                    <xdr:col>3</xdr:col>
                    <xdr:colOff>152400</xdr:colOff>
                    <xdr:row>6</xdr:row>
                    <xdr:rowOff>76200</xdr:rowOff>
                  </from>
                  <to>
                    <xdr:col>4</xdr:col>
                    <xdr:colOff>561975</xdr:colOff>
                    <xdr:row>8</xdr:row>
                    <xdr:rowOff>95250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2"/>
  <dimension ref="A1:T335"/>
  <sheetViews>
    <sheetView zoomScale="106" zoomScaleNormal="106" workbookViewId="0">
      <selection activeCell="O38" sqref="O38:R38"/>
    </sheetView>
  </sheetViews>
  <sheetFormatPr defaultRowHeight="12.75"/>
  <cols>
    <col min="1" max="5" width="4.42578125" customWidth="1"/>
    <col min="6" max="6" width="5.7109375" customWidth="1"/>
    <col min="7" max="20" width="4.42578125" customWidth="1"/>
  </cols>
  <sheetData>
    <row r="1" spans="1:20" ht="12" customHeight="1"/>
    <row r="6" spans="1:20" ht="12.75" customHeight="1">
      <c r="A6" s="1109" t="s">
        <v>1173</v>
      </c>
      <c r="B6" s="1109"/>
      <c r="C6" s="1109"/>
      <c r="D6" s="1109"/>
      <c r="E6" s="1109"/>
      <c r="F6" s="1109"/>
      <c r="G6" s="1109"/>
      <c r="H6" s="1109"/>
      <c r="I6" s="1109"/>
      <c r="J6" s="1109"/>
      <c r="K6" s="1109"/>
      <c r="L6" s="1109"/>
      <c r="M6" s="1109"/>
      <c r="N6" s="1109"/>
      <c r="O6" s="1109"/>
      <c r="P6" s="1109"/>
      <c r="Q6" s="1109"/>
      <c r="R6" s="1109"/>
      <c r="S6" s="1109"/>
      <c r="T6" s="1109"/>
    </row>
    <row r="7" spans="1:20">
      <c r="A7" s="1110" t="s">
        <v>340</v>
      </c>
      <c r="B7" s="1110"/>
      <c r="C7" s="1110"/>
      <c r="D7" s="1110"/>
      <c r="E7" s="1110"/>
      <c r="F7" s="1110"/>
      <c r="G7" s="1110"/>
      <c r="H7" s="1110"/>
      <c r="I7" s="1110"/>
      <c r="J7" s="1110"/>
      <c r="K7" s="1110"/>
      <c r="L7" s="1110"/>
      <c r="M7" s="1110"/>
      <c r="N7" s="1110"/>
      <c r="O7" s="1110"/>
      <c r="P7" s="1110"/>
      <c r="Q7" s="1110"/>
      <c r="R7" s="1110"/>
      <c r="S7" s="1110"/>
      <c r="T7" s="1110"/>
    </row>
    <row r="8" spans="1:20">
      <c r="A8" s="1111" t="s">
        <v>341</v>
      </c>
      <c r="B8" s="1111"/>
      <c r="C8" s="1111"/>
      <c r="D8" s="1111"/>
      <c r="E8" s="1111"/>
      <c r="F8" s="1111"/>
      <c r="G8" s="1111"/>
      <c r="H8" s="1111"/>
      <c r="I8" s="1111"/>
      <c r="J8" s="1111"/>
      <c r="K8" s="1111"/>
      <c r="L8" s="1111"/>
      <c r="M8" s="1111"/>
      <c r="N8" s="1111"/>
      <c r="O8" s="1111"/>
      <c r="P8" s="1111"/>
      <c r="Q8" s="1111"/>
      <c r="R8" s="1111"/>
      <c r="S8" s="1111"/>
      <c r="T8" s="1111"/>
    </row>
    <row r="9" spans="1:20" ht="21.75" customHeight="1">
      <c r="A9" s="1112" t="s">
        <v>1175</v>
      </c>
      <c r="B9" s="1113"/>
      <c r="C9" s="1113"/>
      <c r="D9" s="1113"/>
      <c r="E9" s="1113"/>
      <c r="F9" s="1113"/>
      <c r="G9" s="1113"/>
      <c r="H9" s="1113"/>
      <c r="I9" s="1113"/>
      <c r="J9" s="1113"/>
      <c r="K9" s="1113"/>
      <c r="L9" s="1113"/>
      <c r="M9" s="1113"/>
      <c r="N9" s="1113"/>
      <c r="O9" s="1113"/>
      <c r="P9" s="1113"/>
      <c r="Q9" s="1113"/>
      <c r="R9" s="1113"/>
      <c r="S9" s="1113"/>
      <c r="T9" s="1113"/>
    </row>
    <row r="10" spans="1:20" ht="22.5" customHeight="1">
      <c r="A10" s="91"/>
      <c r="B10" s="91"/>
      <c r="C10" s="91"/>
      <c r="D10" s="91"/>
      <c r="E10" s="91"/>
      <c r="F10" s="91"/>
      <c r="G10" s="91"/>
      <c r="H10" s="91"/>
      <c r="I10" s="91"/>
      <c r="J10" s="92"/>
      <c r="K10" s="467"/>
      <c r="L10" s="91"/>
      <c r="M10" s="91"/>
      <c r="N10" s="94"/>
      <c r="O10" s="91"/>
      <c r="P10" s="91"/>
      <c r="T10" s="220" t="s">
        <v>648</v>
      </c>
    </row>
    <row r="11" spans="1:20" ht="15.75">
      <c r="A11" s="91"/>
      <c r="B11" s="91"/>
      <c r="C11" s="91"/>
      <c r="D11" s="91"/>
      <c r="E11" s="91"/>
      <c r="F11" s="91"/>
      <c r="G11" s="91"/>
      <c r="H11" s="91"/>
      <c r="I11" s="91"/>
      <c r="J11" s="91"/>
      <c r="K11" s="91"/>
      <c r="L11" s="91"/>
      <c r="M11" s="91"/>
      <c r="N11" s="94"/>
      <c r="O11" s="91"/>
      <c r="P11" s="91"/>
      <c r="T11" s="220" t="str">
        <f>Client!B4</f>
        <v>None</v>
      </c>
    </row>
    <row r="12" spans="1:20" ht="15.75">
      <c r="A12" s="91"/>
      <c r="B12" s="91"/>
      <c r="C12" s="91"/>
      <c r="D12" s="91"/>
      <c r="E12" s="91"/>
      <c r="F12" s="91"/>
      <c r="G12" s="91"/>
      <c r="H12" s="91"/>
      <c r="I12" s="91"/>
      <c r="J12" s="91"/>
      <c r="K12" s="91"/>
      <c r="L12" s="91"/>
      <c r="M12" s="91"/>
      <c r="N12" s="91"/>
      <c r="O12" s="91"/>
      <c r="P12" s="91"/>
      <c r="Q12" s="91"/>
      <c r="R12" s="96"/>
      <c r="S12" s="96"/>
      <c r="T12" s="95" t="str">
        <f>Client!B5&amp;"/"&amp;TEXT(Client!B99,"00")</f>
        <v>CAL11957/00</v>
      </c>
    </row>
    <row r="13" spans="1:20" ht="15">
      <c r="A13" s="91"/>
      <c r="B13" s="91"/>
      <c r="C13" s="91"/>
      <c r="D13" s="91"/>
      <c r="E13" s="91"/>
      <c r="F13" s="91"/>
      <c r="G13" s="91"/>
      <c r="H13" s="91"/>
      <c r="I13" s="91"/>
      <c r="J13" s="91"/>
      <c r="K13" s="91"/>
      <c r="L13" s="91"/>
      <c r="M13" s="91"/>
      <c r="N13" s="91"/>
      <c r="O13" s="91"/>
      <c r="P13" s="91"/>
      <c r="Q13" s="91"/>
      <c r="R13" s="96"/>
      <c r="S13" s="96"/>
    </row>
    <row r="14" spans="1:20" ht="18.75">
      <c r="A14" s="1114" t="s">
        <v>342</v>
      </c>
      <c r="B14" s="1114"/>
      <c r="C14" s="1114"/>
      <c r="D14" s="1114"/>
      <c r="E14" s="1114"/>
      <c r="F14" s="1114"/>
      <c r="G14" s="1114"/>
      <c r="H14" s="1114"/>
      <c r="I14" s="1114"/>
      <c r="J14" s="1114"/>
      <c r="K14" s="1114"/>
      <c r="L14" s="1114"/>
      <c r="M14" s="1114"/>
      <c r="N14" s="1114"/>
      <c r="O14" s="1114"/>
      <c r="P14" s="1114"/>
      <c r="Q14" s="1114"/>
      <c r="R14" s="1114"/>
      <c r="S14" s="1114"/>
      <c r="T14" s="1114"/>
    </row>
    <row r="15" spans="1:20" ht="15" customHeight="1">
      <c r="A15" s="1142" t="s">
        <v>1310</v>
      </c>
      <c r="B15" s="1142"/>
      <c r="C15" s="1142"/>
      <c r="D15" s="1142"/>
      <c r="E15" s="1142"/>
      <c r="F15" s="1142"/>
      <c r="G15" s="1142"/>
      <c r="H15" s="1142"/>
      <c r="I15" s="1142"/>
      <c r="J15" s="1142"/>
      <c r="K15" s="1142"/>
      <c r="L15" s="1142"/>
      <c r="M15" s="1142"/>
      <c r="N15" s="1142"/>
      <c r="O15" s="1142"/>
      <c r="P15" s="1142"/>
      <c r="Q15" s="1142"/>
      <c r="R15" s="1142"/>
      <c r="S15" s="1142"/>
      <c r="T15" s="1142"/>
    </row>
    <row r="16" spans="1:20" ht="15" customHeight="1">
      <c r="A16" s="1441" t="s">
        <v>777</v>
      </c>
      <c r="B16" s="1441"/>
      <c r="C16" s="1441"/>
      <c r="D16" s="1441"/>
      <c r="E16" s="1441"/>
      <c r="F16" s="1441"/>
      <c r="G16" s="1441"/>
      <c r="H16" s="1441"/>
      <c r="I16" s="1441"/>
      <c r="J16" s="1441"/>
      <c r="K16" s="1441"/>
      <c r="L16" s="1441"/>
      <c r="M16" s="1441"/>
      <c r="N16" s="1441"/>
      <c r="O16" s="1441"/>
      <c r="P16" s="1441"/>
      <c r="Q16" s="1441"/>
      <c r="R16" s="1441"/>
      <c r="S16" s="1441"/>
      <c r="T16" s="1441"/>
    </row>
    <row r="17" spans="1:20" ht="15" customHeight="1"/>
    <row r="18" spans="1:20" ht="15">
      <c r="A18" s="91"/>
      <c r="B18" s="91"/>
      <c r="C18" s="91"/>
      <c r="D18" s="91"/>
      <c r="E18" s="91"/>
      <c r="F18" s="91"/>
      <c r="G18" s="91"/>
      <c r="H18" s="91"/>
      <c r="I18" s="91"/>
      <c r="J18" s="91"/>
      <c r="K18" s="91"/>
      <c r="L18" s="91"/>
      <c r="M18" s="91"/>
      <c r="N18" s="91"/>
      <c r="O18" s="91"/>
      <c r="P18" s="91"/>
      <c r="Q18" s="91"/>
      <c r="R18" s="96"/>
      <c r="S18" s="96"/>
    </row>
    <row r="19" spans="1:20" ht="15.75">
      <c r="A19" s="98" t="s">
        <v>2</v>
      </c>
      <c r="B19" s="99"/>
      <c r="C19" s="99"/>
      <c r="D19" s="99"/>
      <c r="E19" s="99"/>
      <c r="F19" s="99"/>
      <c r="G19" s="100" t="str">
        <f>Client!B6</f>
        <v>De-identified for distribution</v>
      </c>
      <c r="H19" s="99"/>
      <c r="I19" s="99"/>
      <c r="J19" s="99"/>
      <c r="K19" s="99"/>
      <c r="L19" s="99"/>
      <c r="M19" s="99"/>
      <c r="N19" s="99"/>
      <c r="O19" s="99"/>
      <c r="P19" s="99"/>
      <c r="Q19" s="91"/>
      <c r="R19" s="96"/>
      <c r="S19" s="96"/>
    </row>
    <row r="20" spans="1:20" ht="15.75">
      <c r="A20" s="98"/>
      <c r="B20" s="99"/>
      <c r="C20" s="99"/>
      <c r="D20" s="99"/>
      <c r="E20" s="99"/>
      <c r="F20" s="99"/>
      <c r="G20" s="100" t="str">
        <f>Client!B7</f>
        <v>100 Street Name</v>
      </c>
      <c r="H20" s="99"/>
      <c r="I20" s="99"/>
      <c r="J20" s="99"/>
      <c r="K20" s="99"/>
      <c r="L20" s="99"/>
      <c r="M20" s="99"/>
      <c r="N20" s="99"/>
      <c r="O20" s="99"/>
      <c r="P20" s="99"/>
      <c r="Q20" s="91"/>
      <c r="R20" s="96"/>
      <c r="S20" s="96"/>
    </row>
    <row r="21" spans="1:20" ht="15.75">
      <c r="A21" s="98"/>
      <c r="B21" s="99"/>
      <c r="C21" s="99"/>
      <c r="D21" s="99"/>
      <c r="E21" s="99"/>
      <c r="F21" s="99"/>
      <c r="G21" s="100" t="str">
        <f>Client!B8</f>
        <v>Suburb 2000 NSW</v>
      </c>
      <c r="H21" s="99"/>
      <c r="I21" s="99"/>
      <c r="J21" s="99"/>
      <c r="K21" s="99"/>
      <c r="L21" s="99"/>
      <c r="M21" s="99"/>
      <c r="N21" s="99"/>
      <c r="O21" s="99"/>
      <c r="P21" s="99"/>
      <c r="Q21" s="91"/>
      <c r="R21" s="96"/>
      <c r="S21" s="96"/>
    </row>
    <row r="22" spans="1:20" ht="15.75">
      <c r="A22" s="98"/>
      <c r="B22" s="99"/>
      <c r="C22" s="99"/>
      <c r="D22" s="99"/>
      <c r="E22" s="99"/>
      <c r="F22" s="99"/>
      <c r="G22" s="99" t="str">
        <f xml:space="preserve"> IF(Client!B9="","",Client!B9)</f>
        <v/>
      </c>
      <c r="H22" s="99"/>
      <c r="I22" s="99"/>
      <c r="J22" s="99"/>
      <c r="K22" s="99"/>
      <c r="L22" s="99"/>
      <c r="M22" s="99"/>
      <c r="N22" s="99"/>
      <c r="O22" s="99"/>
      <c r="P22" s="99"/>
      <c r="Q22" s="91"/>
      <c r="R22" s="96"/>
      <c r="S22" s="96"/>
    </row>
    <row r="23" spans="1:20" ht="15.75">
      <c r="A23" s="98"/>
      <c r="B23" s="99"/>
      <c r="C23" s="99"/>
      <c r="D23" s="99"/>
      <c r="E23" s="99"/>
      <c r="F23" s="99"/>
      <c r="G23" s="99"/>
      <c r="H23" s="99"/>
      <c r="I23" s="99"/>
      <c r="J23" s="99"/>
      <c r="K23" s="99"/>
      <c r="L23" s="99"/>
      <c r="M23" s="99"/>
      <c r="N23" s="99"/>
      <c r="O23" s="99"/>
      <c r="P23" s="99"/>
      <c r="Q23" s="91"/>
      <c r="R23" s="96"/>
      <c r="S23" s="96"/>
    </row>
    <row r="24" spans="1:20" ht="15.75">
      <c r="A24" s="98" t="s">
        <v>1311</v>
      </c>
      <c r="B24" s="99"/>
      <c r="C24" s="99"/>
      <c r="D24" s="99"/>
      <c r="E24" s="99"/>
      <c r="F24" s="99"/>
      <c r="G24" s="99" t="str">
        <f>Client!B80&amp;", serial number " &amp;Client!B81</f>
        <v xml:space="preserve">, serial number </v>
      </c>
      <c r="H24" s="99"/>
      <c r="I24" s="99"/>
      <c r="J24" s="99"/>
      <c r="K24" s="99"/>
      <c r="L24" s="99"/>
      <c r="M24" s="99"/>
      <c r="N24" s="99"/>
      <c r="O24" s="99"/>
      <c r="P24" s="99"/>
      <c r="Q24" s="91"/>
      <c r="R24" s="96"/>
      <c r="S24" s="96"/>
    </row>
    <row r="25" spans="1:20" ht="15.75">
      <c r="A25" s="98"/>
      <c r="B25" s="99"/>
      <c r="C25" s="99"/>
      <c r="D25" s="99"/>
      <c r="E25" s="99"/>
      <c r="F25" s="99"/>
      <c r="G25" s="99"/>
      <c r="H25" s="99"/>
      <c r="I25" s="99"/>
      <c r="J25" s="99"/>
      <c r="K25" s="99"/>
      <c r="L25" s="99"/>
      <c r="M25" s="99"/>
      <c r="N25" s="99"/>
      <c r="O25" s="99"/>
      <c r="P25" s="99"/>
      <c r="Q25" s="91"/>
      <c r="R25" s="96"/>
      <c r="S25" s="96"/>
      <c r="T25" s="1147" t="str">
        <f>Intro!D4&amp;" "&amp;Intro!D5</f>
        <v>IRC-FORM-2100J (ARPANSA-FORM-1856) 23-Production</v>
      </c>
    </row>
    <row r="26" spans="1:20" ht="15.75">
      <c r="A26" s="98" t="s">
        <v>334</v>
      </c>
      <c r="B26" s="99"/>
      <c r="C26" s="99"/>
      <c r="D26" s="99"/>
      <c r="E26" s="99"/>
      <c r="F26" s="99"/>
      <c r="G26" s="99" t="str" cm="1">
        <f t="array" ref="G26">make_Date_range(Client!B101,Client!C101)</f>
        <v>0</v>
      </c>
      <c r="H26" s="99"/>
      <c r="I26" s="99"/>
      <c r="J26" s="99"/>
      <c r="K26" s="99"/>
      <c r="L26" s="99"/>
      <c r="M26" s="99"/>
      <c r="N26" s="99"/>
      <c r="O26" s="99"/>
      <c r="P26" s="99"/>
      <c r="Q26" s="91"/>
      <c r="R26" s="96"/>
      <c r="S26" s="96"/>
      <c r="T26" s="1147"/>
    </row>
    <row r="27" spans="1:20" ht="15.75">
      <c r="A27" s="98"/>
      <c r="B27" s="99"/>
      <c r="C27" s="99"/>
      <c r="D27" s="99"/>
      <c r="E27" s="99"/>
      <c r="F27" s="99"/>
      <c r="G27" s="99"/>
      <c r="H27" s="99"/>
      <c r="I27" s="99"/>
      <c r="J27" s="99"/>
      <c r="K27" s="99"/>
      <c r="L27" s="99"/>
      <c r="M27" s="99"/>
      <c r="N27" s="99"/>
      <c r="O27" s="99"/>
      <c r="P27" s="99"/>
      <c r="Q27" s="91"/>
      <c r="R27" s="96"/>
      <c r="S27" s="96"/>
      <c r="T27" s="1147"/>
    </row>
    <row r="28" spans="1:20" ht="15.75" customHeight="1">
      <c r="A28" s="98" t="s">
        <v>71</v>
      </c>
      <c r="B28" s="99"/>
      <c r="C28" s="99"/>
      <c r="D28" s="99"/>
      <c r="E28" s="99"/>
      <c r="F28" s="99"/>
      <c r="G28" s="487">
        <f>Client!B102</f>
        <v>0</v>
      </c>
      <c r="H28" s="99"/>
      <c r="I28" s="99"/>
      <c r="J28" s="97"/>
      <c r="K28" s="99"/>
      <c r="L28" s="99"/>
      <c r="M28" s="99"/>
      <c r="N28" s="99"/>
      <c r="O28" s="99"/>
      <c r="P28" s="99"/>
      <c r="R28" s="96"/>
      <c r="S28" s="96"/>
      <c r="T28" s="1147"/>
    </row>
    <row r="29" spans="1:20" ht="15.75">
      <c r="A29" s="98"/>
      <c r="B29" s="99"/>
      <c r="C29" s="99"/>
      <c r="D29" s="99"/>
      <c r="E29" s="99"/>
      <c r="F29" s="99"/>
      <c r="G29" s="99"/>
      <c r="H29" s="99"/>
      <c r="I29" s="99"/>
      <c r="J29" s="99"/>
      <c r="K29" s="99"/>
      <c r="L29" s="99"/>
      <c r="M29" s="99"/>
      <c r="N29" s="99"/>
      <c r="O29" s="99"/>
      <c r="P29" s="99"/>
      <c r="R29" s="96"/>
      <c r="S29" s="96"/>
      <c r="T29" s="1147"/>
    </row>
    <row r="30" spans="1:20" ht="15.75">
      <c r="A30" s="98" t="str">
        <f>IF(Client!L104,"Test and report by","Test by")</f>
        <v>Test and report by</v>
      </c>
      <c r="B30" s="99"/>
      <c r="C30" s="99"/>
      <c r="D30" s="99"/>
      <c r="E30" s="99"/>
      <c r="F30" s="99"/>
      <c r="G30" s="100">
        <f xml:space="preserve"> Client!B103</f>
        <v>0</v>
      </c>
      <c r="H30" s="99"/>
      <c r="I30" s="99"/>
      <c r="J30" s="99"/>
      <c r="K30" s="99"/>
      <c r="L30" s="99"/>
      <c r="M30" s="99"/>
      <c r="N30" s="99"/>
      <c r="O30" s="99"/>
      <c r="P30" s="99"/>
      <c r="R30" s="96"/>
      <c r="S30" s="96"/>
      <c r="T30" s="1147"/>
    </row>
    <row r="31" spans="1:20" ht="15.75" customHeight="1">
      <c r="A31" s="98" t="str">
        <f>IF(Client!L104,"","Report by")</f>
        <v/>
      </c>
      <c r="B31" s="99"/>
      <c r="C31" s="99"/>
      <c r="D31" s="99"/>
      <c r="E31" s="99"/>
      <c r="F31" s="99"/>
      <c r="G31" s="206" t="str">
        <f>IF(Client!L104,"",Client!B104)</f>
        <v/>
      </c>
      <c r="H31" s="99"/>
      <c r="I31" s="99"/>
      <c r="J31" s="99"/>
      <c r="K31" s="99"/>
      <c r="L31" s="99"/>
      <c r="M31" s="99"/>
      <c r="N31" s="99"/>
      <c r="O31" s="99"/>
      <c r="P31" s="99"/>
      <c r="R31" s="96"/>
      <c r="S31" s="96"/>
      <c r="T31" s="1147"/>
    </row>
    <row r="32" spans="1:20" ht="15.75">
      <c r="A32" s="98" t="s">
        <v>333</v>
      </c>
      <c r="B32" s="99"/>
      <c r="C32" s="99"/>
      <c r="D32" s="99"/>
      <c r="E32" s="99"/>
      <c r="F32" s="99"/>
      <c r="G32" s="99" t="str" cm="1">
        <f t="array" ref="G32">date_to_text(Client!B100)</f>
        <v>0</v>
      </c>
      <c r="H32" s="99"/>
      <c r="I32" s="99"/>
      <c r="J32" s="99"/>
      <c r="K32" s="99"/>
      <c r="L32" s="99"/>
      <c r="M32" s="99"/>
      <c r="N32" s="99"/>
      <c r="O32" s="99"/>
      <c r="P32" s="99"/>
      <c r="R32" s="96"/>
      <c r="S32" s="96"/>
      <c r="T32" s="1147"/>
    </row>
    <row r="33" spans="1:20" ht="15.75">
      <c r="A33" s="98"/>
      <c r="B33" s="99"/>
      <c r="C33" s="99"/>
      <c r="D33" s="99"/>
      <c r="E33" s="99"/>
      <c r="F33" s="99"/>
      <c r="G33" s="99"/>
      <c r="H33" s="99"/>
      <c r="I33" s="99"/>
      <c r="J33" s="99"/>
      <c r="K33" s="99"/>
      <c r="L33" s="99"/>
      <c r="M33" s="99"/>
      <c r="N33" s="99"/>
      <c r="O33" s="99"/>
      <c r="P33" s="99"/>
      <c r="R33" s="96"/>
      <c r="S33" s="96"/>
      <c r="T33" s="1147"/>
    </row>
    <row r="34" spans="1:20" ht="15.75">
      <c r="A34" s="99" t="s">
        <v>343</v>
      </c>
      <c r="B34" s="99"/>
      <c r="C34" s="99"/>
      <c r="D34" s="99"/>
      <c r="E34" s="99"/>
      <c r="F34" s="99"/>
      <c r="G34" s="99" t="s">
        <v>344</v>
      </c>
      <c r="H34" s="99"/>
      <c r="I34" s="99"/>
      <c r="J34" s="99"/>
      <c r="K34" s="99"/>
      <c r="L34" s="99"/>
      <c r="M34" s="99"/>
      <c r="N34" s="99"/>
      <c r="O34" s="99"/>
      <c r="P34" s="99"/>
      <c r="R34" s="96"/>
      <c r="S34" s="96"/>
      <c r="T34" s="1147"/>
    </row>
    <row r="35" spans="1:20" ht="15.75">
      <c r="A35" s="98" t="s">
        <v>345</v>
      </c>
      <c r="B35" s="99"/>
      <c r="C35" s="99"/>
      <c r="D35" s="99"/>
      <c r="E35" s="99"/>
      <c r="F35" s="99"/>
      <c r="G35" s="221" t="s">
        <v>1176</v>
      </c>
      <c r="H35" s="99"/>
      <c r="I35" s="99"/>
      <c r="J35" s="99"/>
      <c r="K35" s="99"/>
      <c r="L35" s="99"/>
      <c r="M35" s="99"/>
      <c r="N35" s="99"/>
      <c r="O35" s="99"/>
      <c r="P35" s="99"/>
      <c r="R35" s="96"/>
      <c r="S35" s="96"/>
      <c r="T35" s="1147"/>
    </row>
    <row r="36" spans="1:20" ht="15.75" customHeight="1">
      <c r="A36" s="99"/>
      <c r="B36" s="99"/>
      <c r="C36" s="99"/>
      <c r="D36" s="99"/>
      <c r="E36" s="99"/>
      <c r="F36" s="99"/>
      <c r="G36" s="99"/>
      <c r="H36" s="99"/>
      <c r="I36" s="99"/>
      <c r="J36" s="99"/>
      <c r="K36" s="99"/>
      <c r="L36" s="99"/>
      <c r="M36" s="99"/>
      <c r="N36" s="99"/>
      <c r="O36" s="99"/>
      <c r="P36" s="99"/>
      <c r="R36" s="96"/>
      <c r="S36" s="96"/>
      <c r="T36" s="1147"/>
    </row>
    <row r="37" spans="1:20" ht="39" customHeight="1">
      <c r="A37" s="99"/>
      <c r="B37" s="99"/>
      <c r="C37" s="99"/>
      <c r="D37" s="99"/>
      <c r="E37" s="99"/>
      <c r="F37" s="99"/>
      <c r="G37" s="99"/>
      <c r="H37" s="99"/>
      <c r="I37" s="99"/>
      <c r="J37" s="99"/>
      <c r="K37" s="99"/>
      <c r="L37" s="99"/>
      <c r="M37" s="99"/>
      <c r="N37" s="99"/>
      <c r="O37" s="99"/>
      <c r="P37" s="99"/>
      <c r="Q37" s="91"/>
      <c r="R37" s="96"/>
      <c r="S37" s="96"/>
      <c r="T37" s="1147"/>
    </row>
    <row r="38" spans="1:20" ht="15.75">
      <c r="A38" s="99" t="s">
        <v>346</v>
      </c>
      <c r="B38" s="99"/>
      <c r="C38" s="101"/>
      <c r="D38" s="101"/>
      <c r="E38" s="101"/>
      <c r="F38" s="101"/>
      <c r="G38" s="101"/>
      <c r="H38" s="102" t="s">
        <v>347</v>
      </c>
      <c r="I38" s="99"/>
      <c r="J38" s="99"/>
      <c r="K38" s="99"/>
      <c r="L38" s="99"/>
      <c r="N38" s="95" t="s">
        <v>348</v>
      </c>
      <c r="O38" s="1146"/>
      <c r="P38" s="1146"/>
      <c r="Q38" s="1146"/>
      <c r="R38" s="1146"/>
      <c r="S38" s="91"/>
      <c r="T38" s="1147"/>
    </row>
    <row r="39" spans="1:20" ht="15.75">
      <c r="A39" s="99"/>
      <c r="B39" s="99"/>
      <c r="C39" s="99"/>
      <c r="D39" s="99"/>
      <c r="E39" s="99"/>
      <c r="F39" s="99"/>
      <c r="G39" s="99"/>
      <c r="H39" s="99"/>
      <c r="I39" s="99"/>
      <c r="J39" s="99"/>
      <c r="K39" s="99"/>
      <c r="L39" s="99"/>
      <c r="M39" s="99"/>
      <c r="N39" s="99"/>
      <c r="O39" s="99"/>
      <c r="P39" s="99"/>
      <c r="Q39" s="91"/>
      <c r="R39" s="96"/>
      <c r="S39" s="96"/>
      <c r="T39" s="1147"/>
    </row>
    <row r="40" spans="1:20" ht="15.75">
      <c r="A40" s="100">
        <f xml:space="preserve"> Client!B105</f>
        <v>0</v>
      </c>
      <c r="B40" s="99"/>
      <c r="C40" s="99"/>
      <c r="D40" s="99"/>
      <c r="E40" s="99"/>
      <c r="F40" s="99"/>
      <c r="G40" s="99"/>
      <c r="H40" s="99"/>
      <c r="I40" s="99"/>
      <c r="J40" s="99"/>
      <c r="K40" s="99"/>
      <c r="L40" s="99"/>
      <c r="M40" s="99"/>
      <c r="N40" s="99"/>
      <c r="O40" s="99"/>
      <c r="P40" s="99"/>
      <c r="Q40" s="91"/>
      <c r="R40" s="96"/>
      <c r="S40" s="96"/>
      <c r="T40" s="1147"/>
    </row>
    <row r="41" spans="1:20" ht="15.75">
      <c r="A41" s="99" t="s">
        <v>349</v>
      </c>
      <c r="B41" s="99"/>
      <c r="C41" s="99"/>
      <c r="D41" s="99"/>
      <c r="E41" s="99"/>
      <c r="F41" s="99"/>
      <c r="G41" s="99"/>
      <c r="H41" s="99"/>
      <c r="I41" s="99"/>
      <c r="J41" s="99"/>
      <c r="K41" s="99"/>
      <c r="L41" s="99"/>
      <c r="M41" s="99"/>
      <c r="N41" s="99"/>
      <c r="O41" s="99"/>
      <c r="P41" s="99"/>
      <c r="Q41" s="91"/>
      <c r="R41" s="96"/>
      <c r="S41" s="96"/>
    </row>
    <row r="42" spans="1:20" ht="15">
      <c r="A42" s="96"/>
      <c r="B42" s="96"/>
      <c r="C42" s="96"/>
      <c r="D42" s="96"/>
      <c r="E42" s="96"/>
      <c r="F42" s="96"/>
      <c r="G42" s="96"/>
      <c r="H42" s="96"/>
      <c r="I42" s="96"/>
      <c r="J42" s="96"/>
      <c r="K42" s="96"/>
      <c r="L42" s="96"/>
      <c r="M42" s="96"/>
      <c r="N42" s="96"/>
      <c r="O42" s="96"/>
      <c r="P42" s="96"/>
      <c r="Q42" s="96"/>
      <c r="R42" s="96"/>
      <c r="S42" s="96"/>
    </row>
    <row r="45" spans="1:20" ht="15">
      <c r="M45" s="103"/>
    </row>
    <row r="46" spans="1:20" ht="9.9499999999999993" customHeight="1"/>
    <row r="47" spans="1:20" ht="8.1" customHeight="1">
      <c r="N47" s="104"/>
    </row>
    <row r="48" spans="1:20" ht="8.1" customHeight="1">
      <c r="N48" s="104"/>
    </row>
    <row r="49" spans="1:20" ht="8.1" customHeight="1">
      <c r="E49" s="105" t="s">
        <v>1058</v>
      </c>
      <c r="N49" s="104"/>
    </row>
    <row r="50" spans="1:20" ht="8.1" customHeight="1">
      <c r="E50" s="105" t="s">
        <v>353</v>
      </c>
      <c r="N50" s="104"/>
    </row>
    <row r="51" spans="1:20" ht="8.1" customHeight="1">
      <c r="C51" s="105"/>
      <c r="E51" s="105" t="s">
        <v>355</v>
      </c>
      <c r="N51" s="104"/>
    </row>
    <row r="52" spans="1:20" ht="8.1" customHeight="1">
      <c r="E52" s="105" t="s">
        <v>357</v>
      </c>
      <c r="N52" s="104"/>
    </row>
    <row r="53" spans="1:20" ht="13.5" customHeight="1">
      <c r="E53" s="106" t="s">
        <v>1238</v>
      </c>
      <c r="N53" s="107"/>
    </row>
    <row r="54" spans="1:20" ht="11.25" customHeight="1"/>
    <row r="55" spans="1:20">
      <c r="A55" s="420" t="str">
        <f>"Calibration No.: "&amp;$T$12</f>
        <v>Calibration No.: CAL11957/00</v>
      </c>
      <c r="B55" s="421"/>
      <c r="C55" s="421"/>
      <c r="D55" s="421"/>
      <c r="E55" s="421"/>
      <c r="F55" s="421"/>
      <c r="G55" s="421"/>
      <c r="H55" s="421"/>
      <c r="I55" s="422" t="str">
        <f>$G$32</f>
        <v>0</v>
      </c>
      <c r="J55" s="421"/>
      <c r="K55" s="421"/>
      <c r="L55" s="421"/>
      <c r="M55" s="421"/>
      <c r="N55" s="420" t="s">
        <v>360</v>
      </c>
      <c r="O55" s="423"/>
      <c r="P55" s="423"/>
      <c r="Q55" s="423"/>
      <c r="R55" s="423"/>
      <c r="S55" s="423"/>
      <c r="T55" s="423" t="s">
        <v>1049</v>
      </c>
    </row>
    <row r="56" spans="1:20">
      <c r="A56" s="119"/>
      <c r="B56" s="120"/>
      <c r="C56" s="120"/>
      <c r="D56" s="120"/>
      <c r="E56" s="120"/>
      <c r="F56" s="120"/>
      <c r="G56" s="120"/>
      <c r="H56" s="120"/>
      <c r="I56" s="121"/>
      <c r="J56" s="120"/>
      <c r="K56" s="120"/>
      <c r="L56" s="120"/>
      <c r="M56" s="120"/>
      <c r="N56" s="122"/>
      <c r="O56" s="123"/>
      <c r="P56" s="123"/>
      <c r="Q56" s="123"/>
      <c r="R56" s="123"/>
      <c r="S56" s="123"/>
      <c r="T56" s="123"/>
    </row>
    <row r="57" spans="1:20" ht="15.75">
      <c r="A57" s="108"/>
      <c r="B57" s="108"/>
      <c r="C57" s="108"/>
      <c r="D57" s="108"/>
      <c r="E57" s="108"/>
      <c r="F57" s="108"/>
      <c r="G57" s="108"/>
      <c r="H57" s="108"/>
      <c r="I57" s="108"/>
      <c r="J57" s="108"/>
      <c r="K57" s="108"/>
      <c r="L57" s="108"/>
      <c r="M57" s="108"/>
      <c r="N57" s="108"/>
      <c r="O57" s="108"/>
      <c r="P57" s="108"/>
      <c r="Q57" s="108"/>
    </row>
    <row r="58" spans="1:20" ht="15.75">
      <c r="A58" s="1144" t="s">
        <v>361</v>
      </c>
      <c r="B58" s="1144"/>
      <c r="C58" s="1144"/>
      <c r="D58" s="1144"/>
      <c r="E58" s="1144"/>
      <c r="F58" s="1144"/>
      <c r="G58" s="1144"/>
      <c r="H58" s="1144"/>
      <c r="I58" s="1144"/>
      <c r="J58" s="1144"/>
      <c r="K58" s="1144"/>
      <c r="L58" s="1144"/>
      <c r="M58" s="1144"/>
      <c r="N58" s="1144"/>
      <c r="O58" s="1144"/>
      <c r="P58" s="1144"/>
      <c r="Q58" s="1144"/>
      <c r="R58" s="1144"/>
      <c r="S58" s="1144"/>
      <c r="T58" s="1144"/>
    </row>
    <row r="59" spans="1:20" ht="15.75">
      <c r="A59" s="109"/>
      <c r="B59" s="109"/>
      <c r="C59" s="109"/>
      <c r="D59" s="109"/>
      <c r="E59" s="109"/>
      <c r="F59" s="109"/>
      <c r="G59" s="109"/>
      <c r="H59" s="109"/>
      <c r="I59" s="109"/>
      <c r="J59" s="109"/>
      <c r="K59" s="109"/>
      <c r="L59" s="109"/>
      <c r="M59" s="109"/>
      <c r="N59" s="109"/>
      <c r="O59" s="108"/>
      <c r="P59" s="108"/>
      <c r="Q59" s="108"/>
    </row>
    <row r="60" spans="1:20" ht="15.75">
      <c r="A60" s="110" t="e">
        <f ca="1">Client!BI2</f>
        <v>#N/A</v>
      </c>
      <c r="B60" s="109"/>
      <c r="C60" s="109"/>
      <c r="D60" s="109"/>
      <c r="E60" s="109"/>
      <c r="F60" s="109"/>
      <c r="G60" s="109"/>
      <c r="H60" s="109"/>
      <c r="I60" s="109"/>
      <c r="J60" s="109"/>
      <c r="K60" s="109"/>
      <c r="L60" s="109"/>
      <c r="M60" s="109"/>
      <c r="N60" s="109"/>
      <c r="O60" s="108"/>
      <c r="P60" s="108"/>
      <c r="Q60" s="108"/>
    </row>
    <row r="61" spans="1:20" ht="15.75">
      <c r="A61" s="111" t="s">
        <v>362</v>
      </c>
      <c r="B61" s="379" t="e">
        <f ca="1">Client!BI3</f>
        <v>#N/A</v>
      </c>
      <c r="C61" s="109"/>
      <c r="D61" s="109"/>
      <c r="E61" s="109"/>
      <c r="F61" s="109"/>
      <c r="G61" s="109"/>
      <c r="H61" s="109"/>
      <c r="I61" s="109"/>
      <c r="J61" s="109"/>
      <c r="K61" s="109"/>
      <c r="L61" s="109"/>
      <c r="M61" s="109"/>
      <c r="N61" s="109"/>
      <c r="O61" s="108"/>
      <c r="P61" s="108"/>
      <c r="Q61" s="108"/>
    </row>
    <row r="62" spans="1:20" ht="15.75">
      <c r="A62" s="111" t="s">
        <v>362</v>
      </c>
      <c r="B62" s="379" t="e">
        <f ca="1">Client!BI4</f>
        <v>#N/A</v>
      </c>
      <c r="C62" s="109"/>
      <c r="D62" s="109"/>
      <c r="E62" s="109"/>
      <c r="F62" s="109"/>
      <c r="G62" s="109"/>
      <c r="H62" s="109"/>
      <c r="I62" s="109"/>
      <c r="J62" s="109"/>
      <c r="K62" s="109"/>
      <c r="L62" s="109"/>
      <c r="M62" s="109"/>
      <c r="N62" s="109"/>
      <c r="O62" s="108"/>
      <c r="P62" s="108"/>
      <c r="Q62" s="108"/>
    </row>
    <row r="63" spans="1:20" ht="15.75">
      <c r="A63" s="111" t="s">
        <v>362</v>
      </c>
      <c r="B63" s="379" t="e">
        <f ca="1">Client!BI5</f>
        <v>#N/A</v>
      </c>
      <c r="C63" s="109"/>
      <c r="D63" s="109"/>
      <c r="E63" s="109"/>
      <c r="F63" s="109"/>
      <c r="G63" s="109"/>
      <c r="H63" s="109"/>
      <c r="I63" s="109"/>
      <c r="J63" s="109"/>
      <c r="K63" s="109"/>
      <c r="L63" s="109"/>
      <c r="M63" s="109"/>
      <c r="N63" s="109"/>
      <c r="O63" s="108"/>
      <c r="P63" s="108"/>
      <c r="Q63" s="108"/>
    </row>
    <row r="64" spans="1:20" ht="15.75">
      <c r="A64" s="111" t="s">
        <v>362</v>
      </c>
      <c r="B64" s="379" t="e">
        <f ca="1">Client!BI6</f>
        <v>#N/A</v>
      </c>
      <c r="C64" s="109"/>
      <c r="D64" s="109"/>
      <c r="E64" s="109"/>
      <c r="F64" s="109"/>
      <c r="G64" s="109"/>
      <c r="H64" s="109"/>
      <c r="I64" s="109"/>
      <c r="J64" s="109"/>
      <c r="K64" s="109"/>
      <c r="L64" s="109"/>
      <c r="M64" s="109"/>
      <c r="N64" s="109"/>
      <c r="O64" s="108"/>
      <c r="P64" s="108"/>
      <c r="Q64" s="108"/>
    </row>
    <row r="65" spans="1:20" ht="15.75">
      <c r="A65" s="111" t="s">
        <v>362</v>
      </c>
      <c r="B65" s="379" t="e">
        <f ca="1">Client!BI7</f>
        <v>#N/A</v>
      </c>
      <c r="C65" s="109"/>
      <c r="D65" s="109"/>
      <c r="E65" s="109"/>
      <c r="F65" s="109"/>
      <c r="G65" s="109"/>
      <c r="H65" s="109"/>
      <c r="I65" s="109"/>
      <c r="J65" s="109"/>
      <c r="K65" s="109"/>
      <c r="L65" s="109"/>
      <c r="M65" s="109"/>
      <c r="N65" s="109"/>
      <c r="O65" s="108"/>
      <c r="P65" s="108"/>
      <c r="Q65" s="108"/>
    </row>
    <row r="66" spans="1:20" ht="15.75">
      <c r="A66" s="109"/>
      <c r="B66" s="109"/>
      <c r="C66" s="109"/>
      <c r="D66" s="109"/>
      <c r="E66" s="109"/>
      <c r="F66" s="109"/>
      <c r="G66" s="109"/>
      <c r="H66" s="109"/>
      <c r="I66" s="109"/>
      <c r="J66" s="109"/>
      <c r="K66" s="109"/>
      <c r="L66" s="109"/>
      <c r="M66" s="109"/>
      <c r="N66" s="109"/>
      <c r="O66" s="108"/>
      <c r="P66" s="108"/>
      <c r="Q66" s="108"/>
    </row>
    <row r="67" spans="1:20" ht="15.75">
      <c r="A67" s="110" t="s">
        <v>363</v>
      </c>
      <c r="B67" s="109"/>
      <c r="C67" s="109"/>
      <c r="D67" s="109"/>
      <c r="E67" s="109"/>
      <c r="F67" s="109"/>
      <c r="G67" s="109"/>
      <c r="H67" s="109"/>
      <c r="I67" s="109"/>
      <c r="J67" s="109"/>
      <c r="K67" s="109"/>
      <c r="L67" s="109"/>
      <c r="M67" s="109"/>
      <c r="N67" s="109"/>
      <c r="O67" s="108"/>
      <c r="P67" s="108"/>
      <c r="Q67" s="108"/>
    </row>
    <row r="68" spans="1:20" ht="15.75">
      <c r="A68" s="111" t="s">
        <v>362</v>
      </c>
      <c r="B68" s="100">
        <f xml:space="preserve"> Client!B85</f>
        <v>0</v>
      </c>
      <c r="C68" s="109"/>
      <c r="D68" s="109"/>
      <c r="E68" s="109"/>
      <c r="F68" s="109"/>
      <c r="G68" s="109"/>
      <c r="H68" s="109"/>
      <c r="I68" s="109"/>
      <c r="J68" s="109"/>
      <c r="K68" s="109"/>
      <c r="L68" s="109"/>
      <c r="M68" s="109"/>
      <c r="N68" s="109"/>
      <c r="O68" s="108"/>
      <c r="P68" s="108"/>
      <c r="Q68" s="108"/>
    </row>
    <row r="69" spans="1:20" ht="15.75">
      <c r="A69" s="109"/>
      <c r="B69" s="109"/>
      <c r="C69" s="109"/>
      <c r="D69" s="109"/>
      <c r="E69" s="109"/>
      <c r="F69" s="109"/>
      <c r="G69" s="109"/>
      <c r="H69" s="109"/>
      <c r="I69" s="109"/>
      <c r="J69" s="109"/>
      <c r="K69" s="109"/>
      <c r="L69" s="109"/>
      <c r="M69" s="109"/>
      <c r="N69" s="109"/>
      <c r="O69" s="108"/>
      <c r="P69" s="108"/>
      <c r="Q69" s="108"/>
    </row>
    <row r="70" spans="1:20" ht="15.75">
      <c r="A70" s="110" t="s">
        <v>364</v>
      </c>
      <c r="B70" s="109"/>
      <c r="C70" s="109"/>
      <c r="D70" s="109"/>
      <c r="E70" s="109"/>
      <c r="F70" s="109"/>
      <c r="G70" s="109"/>
      <c r="H70" s="109"/>
      <c r="I70" s="109"/>
      <c r="J70" s="109"/>
      <c r="K70" s="109"/>
      <c r="L70" s="109"/>
      <c r="M70" s="109"/>
      <c r="N70" s="109"/>
      <c r="O70" s="108"/>
      <c r="P70" s="108"/>
      <c r="Q70" s="108"/>
    </row>
    <row r="71" spans="1:20" ht="15.75">
      <c r="A71" s="111" t="s">
        <v>362</v>
      </c>
      <c r="B71" s="109" t="s">
        <v>1308</v>
      </c>
      <c r="C71" s="109"/>
      <c r="D71" s="109"/>
      <c r="E71" s="109"/>
      <c r="F71" s="109"/>
      <c r="G71" s="109"/>
      <c r="H71" s="109"/>
      <c r="I71" s="109"/>
      <c r="J71" s="109"/>
      <c r="K71" s="109"/>
      <c r="L71" s="109"/>
      <c r="M71" s="109"/>
      <c r="N71" s="109"/>
      <c r="O71" s="108"/>
      <c r="P71" s="108"/>
      <c r="Q71" s="108"/>
    </row>
    <row r="72" spans="1:20" ht="15.75">
      <c r="A72" s="108"/>
      <c r="B72" s="108"/>
      <c r="C72" s="108"/>
      <c r="D72" s="108"/>
      <c r="E72" s="108"/>
      <c r="F72" s="108"/>
      <c r="G72" s="108"/>
      <c r="H72" s="108"/>
      <c r="I72" s="108"/>
      <c r="J72" s="108"/>
      <c r="K72" s="108"/>
      <c r="L72" s="108"/>
      <c r="M72" s="108"/>
      <c r="N72" s="108"/>
      <c r="O72" s="108"/>
      <c r="P72" s="108"/>
      <c r="Q72" s="108"/>
    </row>
    <row r="73" spans="1:20" ht="15.75">
      <c r="A73" s="112" t="s">
        <v>365</v>
      </c>
      <c r="B73" s="108"/>
      <c r="C73" s="108"/>
      <c r="D73" s="108"/>
      <c r="E73" s="108"/>
      <c r="F73" s="108"/>
      <c r="G73" s="108"/>
      <c r="H73" s="108"/>
      <c r="I73" s="108"/>
      <c r="J73" s="108"/>
      <c r="K73" s="108"/>
      <c r="L73" s="108"/>
      <c r="M73" s="108"/>
      <c r="N73" s="108"/>
      <c r="O73" s="108"/>
      <c r="P73" s="108"/>
      <c r="Q73" s="108"/>
    </row>
    <row r="74" spans="1:20" ht="48.75" customHeight="1">
      <c r="A74" s="111" t="s">
        <v>362</v>
      </c>
      <c r="B74" s="1136" t="s">
        <v>1280</v>
      </c>
      <c r="C74" s="1136"/>
      <c r="D74" s="1136"/>
      <c r="E74" s="1136"/>
      <c r="F74" s="1136"/>
      <c r="G74" s="1136"/>
      <c r="H74" s="1136"/>
      <c r="I74" s="1136"/>
      <c r="J74" s="1136"/>
      <c r="K74" s="1136"/>
      <c r="L74" s="1136"/>
      <c r="M74" s="1136"/>
      <c r="N74" s="1136"/>
      <c r="O74" s="1136"/>
      <c r="P74" s="1136"/>
      <c r="Q74" s="1136"/>
      <c r="R74" s="1136"/>
      <c r="S74" s="1136"/>
      <c r="T74" s="1136"/>
    </row>
    <row r="75" spans="1:20" ht="15.75" customHeight="1">
      <c r="A75" s="111"/>
      <c r="B75" s="702"/>
      <c r="C75" s="702"/>
      <c r="D75" s="702"/>
      <c r="E75" s="702"/>
      <c r="F75" s="702"/>
      <c r="G75" s="702"/>
      <c r="H75" s="702"/>
      <c r="I75" s="702"/>
      <c r="J75" s="702"/>
      <c r="K75" s="702"/>
      <c r="L75" s="702"/>
      <c r="M75" s="702"/>
      <c r="N75" s="702"/>
      <c r="O75" s="702"/>
      <c r="P75" s="702"/>
      <c r="Q75" s="702"/>
      <c r="R75" s="702"/>
      <c r="S75" s="702"/>
      <c r="T75" s="702"/>
    </row>
    <row r="76" spans="1:20" ht="15.75">
      <c r="A76" s="149" t="s">
        <v>796</v>
      </c>
      <c r="B76" s="108"/>
      <c r="C76" s="108"/>
      <c r="D76" s="108"/>
      <c r="E76" s="108"/>
      <c r="F76" s="108"/>
      <c r="G76" s="108"/>
      <c r="H76" s="108"/>
      <c r="I76" s="108"/>
      <c r="J76" s="108"/>
      <c r="K76" s="108"/>
      <c r="L76" s="108"/>
      <c r="M76" s="108"/>
      <c r="N76" s="108"/>
      <c r="O76" s="108"/>
      <c r="P76" s="108"/>
      <c r="Q76" s="108"/>
    </row>
    <row r="77" spans="1:20" ht="18.75" customHeight="1">
      <c r="A77" s="451" t="s">
        <v>362</v>
      </c>
      <c r="B77" s="1136" t="s">
        <v>1226</v>
      </c>
      <c r="C77" s="1136"/>
      <c r="D77" s="1136"/>
      <c r="E77" s="1136"/>
      <c r="F77" s="1136"/>
      <c r="G77" s="1136"/>
      <c r="H77" s="1136"/>
      <c r="I77" s="1136"/>
      <c r="J77" s="1136"/>
      <c r="K77" s="1136"/>
      <c r="L77" s="1136"/>
      <c r="M77" s="1136"/>
      <c r="N77" s="1136"/>
      <c r="O77" s="1136"/>
      <c r="P77" s="1136"/>
      <c r="Q77" s="1136"/>
      <c r="R77" s="1136"/>
      <c r="S77" s="1136"/>
      <c r="T77" s="1136"/>
    </row>
    <row r="78" spans="1:20" ht="48" customHeight="1">
      <c r="A78" s="111" t="s">
        <v>362</v>
      </c>
      <c r="B78" s="1444" t="s">
        <v>1037</v>
      </c>
      <c r="C78" s="1444"/>
      <c r="D78" s="1444"/>
      <c r="E78" s="1444"/>
      <c r="F78" s="1444"/>
      <c r="G78" s="1444"/>
      <c r="H78" s="1444"/>
      <c r="I78" s="1444"/>
      <c r="J78" s="1444"/>
      <c r="K78" s="1444"/>
      <c r="L78" s="1444"/>
      <c r="M78" s="1444"/>
      <c r="N78" s="1444"/>
      <c r="O78" s="1444"/>
      <c r="P78" s="1444"/>
      <c r="Q78" s="1444"/>
      <c r="R78" s="1444"/>
      <c r="S78" s="1444"/>
      <c r="T78" s="1444"/>
    </row>
    <row r="79" spans="1:20" ht="36" customHeight="1">
      <c r="A79" s="111" t="s">
        <v>362</v>
      </c>
      <c r="B79" s="1444" t="s">
        <v>1224</v>
      </c>
      <c r="C79" s="1444"/>
      <c r="D79" s="1444"/>
      <c r="E79" s="1444"/>
      <c r="F79" s="1444"/>
      <c r="G79" s="1444"/>
      <c r="H79" s="1444"/>
      <c r="I79" s="1444"/>
      <c r="J79" s="1444"/>
      <c r="K79" s="1444"/>
      <c r="L79" s="1444"/>
      <c r="M79" s="1444"/>
      <c r="N79" s="1444"/>
      <c r="O79" s="1444"/>
      <c r="P79" s="1444"/>
      <c r="Q79" s="1444"/>
      <c r="R79" s="1444"/>
      <c r="S79" s="1444"/>
      <c r="T79" s="1444"/>
    </row>
    <row r="80" spans="1:20" ht="15" customHeight="1">
      <c r="A80" s="111"/>
      <c r="B80" s="702"/>
      <c r="C80" s="702"/>
      <c r="D80" s="702"/>
      <c r="E80" s="702"/>
      <c r="F80" s="702"/>
      <c r="G80" s="702"/>
      <c r="H80" s="702"/>
      <c r="I80" s="702"/>
      <c r="J80" s="702"/>
      <c r="K80" s="702"/>
      <c r="L80" s="702"/>
      <c r="M80" s="702"/>
      <c r="N80" s="702"/>
      <c r="O80" s="702"/>
      <c r="P80" s="702"/>
      <c r="Q80" s="702"/>
      <c r="R80" s="702"/>
      <c r="S80" s="702"/>
      <c r="T80" s="702"/>
    </row>
    <row r="81" spans="1:20" ht="15" customHeight="1">
      <c r="A81" s="111"/>
      <c r="B81" s="702"/>
      <c r="C81" s="702"/>
      <c r="D81" s="702"/>
      <c r="E81" s="702"/>
      <c r="F81" s="702"/>
      <c r="G81" s="702"/>
      <c r="H81" s="702"/>
      <c r="I81" s="702"/>
      <c r="J81" s="702"/>
      <c r="K81" s="702"/>
      <c r="L81" s="702"/>
      <c r="M81" s="702"/>
      <c r="N81" s="702"/>
      <c r="O81" s="702"/>
      <c r="P81" s="702"/>
      <c r="Q81" s="702"/>
      <c r="R81" s="702"/>
      <c r="S81" s="702"/>
      <c r="T81" s="384" t="str">
        <f>"(1)"</f>
        <v>(1)</v>
      </c>
    </row>
    <row r="82" spans="1:20" ht="15" customHeight="1">
      <c r="A82" s="111"/>
      <c r="B82" s="702"/>
      <c r="C82" s="702"/>
      <c r="D82" s="702"/>
      <c r="E82" s="702"/>
      <c r="F82" s="702"/>
      <c r="G82" s="702"/>
      <c r="H82" s="702"/>
      <c r="I82" s="702"/>
      <c r="J82" s="702"/>
      <c r="K82" s="702"/>
      <c r="L82" s="702"/>
      <c r="M82" s="702"/>
      <c r="N82" s="702"/>
      <c r="O82" s="702"/>
      <c r="P82" s="702"/>
      <c r="Q82" s="702"/>
      <c r="R82" s="702"/>
      <c r="S82" s="702"/>
      <c r="T82" s="702"/>
    </row>
    <row r="83" spans="1:20" ht="15" customHeight="1">
      <c r="A83" s="149"/>
      <c r="B83" s="385" t="s">
        <v>560</v>
      </c>
      <c r="C83" s="702"/>
      <c r="D83" s="702"/>
      <c r="E83" s="702"/>
      <c r="F83" s="702"/>
      <c r="G83" s="702"/>
      <c r="H83" s="702"/>
      <c r="I83" s="702"/>
      <c r="J83" s="702"/>
      <c r="K83" s="702"/>
      <c r="L83" s="702"/>
      <c r="M83" s="702"/>
      <c r="N83" s="702"/>
      <c r="O83" s="702"/>
      <c r="P83" s="702"/>
      <c r="Q83" s="702"/>
      <c r="R83" s="702"/>
      <c r="S83" s="702"/>
      <c r="T83" s="702"/>
    </row>
    <row r="84" spans="1:20" ht="52.5" customHeight="1">
      <c r="D84" s="1140" t="s">
        <v>1025</v>
      </c>
      <c r="E84" s="1140"/>
      <c r="F84" s="1140"/>
      <c r="G84" s="1140"/>
      <c r="H84" s="1140"/>
      <c r="I84" s="1140"/>
      <c r="J84" s="1140"/>
      <c r="K84" s="1140"/>
      <c r="L84" s="1140"/>
      <c r="M84" s="1140"/>
      <c r="N84" s="1140"/>
      <c r="O84" s="1140"/>
      <c r="P84" s="1140"/>
      <c r="Q84" s="1140"/>
      <c r="R84" s="1140"/>
      <c r="S84" s="1140"/>
      <c r="T84" s="1140"/>
    </row>
    <row r="85" spans="1:20" ht="36.75" customHeight="1">
      <c r="D85" s="1445" t="s">
        <v>1026</v>
      </c>
      <c r="E85" s="1445"/>
      <c r="F85" s="1445"/>
      <c r="G85" s="1445"/>
      <c r="H85" s="1445"/>
      <c r="I85" s="1445"/>
      <c r="J85" s="1445"/>
      <c r="K85" s="1445"/>
      <c r="L85" s="1445"/>
      <c r="M85" s="1445"/>
      <c r="N85" s="1445"/>
      <c r="O85" s="1445"/>
      <c r="P85" s="1445"/>
      <c r="Q85" s="1445"/>
      <c r="R85" s="1445"/>
      <c r="S85" s="1445"/>
      <c r="T85" s="1445"/>
    </row>
    <row r="86" spans="1:20" ht="30.75" customHeight="1">
      <c r="D86" s="1436" t="s">
        <v>1027</v>
      </c>
      <c r="E86" s="1436"/>
      <c r="F86" s="1436"/>
      <c r="G86" s="1436"/>
      <c r="H86" s="1436"/>
      <c r="I86" s="1436"/>
      <c r="J86" s="1436"/>
      <c r="K86" s="1436"/>
      <c r="L86" s="1436"/>
      <c r="M86" s="1436"/>
      <c r="N86" s="1436"/>
      <c r="O86" s="1436"/>
      <c r="P86" s="1436"/>
      <c r="Q86" s="1436"/>
      <c r="R86" s="1436"/>
      <c r="S86" s="1436"/>
      <c r="T86" s="1436"/>
    </row>
    <row r="87" spans="1:20" ht="18" customHeight="1">
      <c r="A87" s="451" t="s">
        <v>362</v>
      </c>
      <c r="B87" s="158" t="str">
        <f>"The reference chamber used was "&amp;Client!B106&amp;" serial number "&amp;Client!B107&amp;"."</f>
        <v>The reference chamber used was  serial number .</v>
      </c>
      <c r="I87" s="158"/>
    </row>
    <row r="88" spans="1:20" ht="20.25" customHeight="1">
      <c r="A88" s="451" t="s">
        <v>362</v>
      </c>
      <c r="B88" s="709" t="s">
        <v>991</v>
      </c>
    </row>
    <row r="89" spans="1:20" ht="15" customHeight="1">
      <c r="A89" s="111"/>
      <c r="B89" s="709" t="str">
        <f>IF(AND(Client!B29=Client!B106,Client!B30=Client!B107),"Calibration certificate reference - "&amp;Client!B5&amp;"/0"&amp;Client!B38&amp;".","")</f>
        <v/>
      </c>
    </row>
    <row r="90" spans="1:20" ht="40.5" customHeight="1">
      <c r="A90" s="111" t="s">
        <v>362</v>
      </c>
      <c r="B90" s="1445" t="s">
        <v>1345</v>
      </c>
      <c r="C90" s="1445"/>
      <c r="D90" s="1445"/>
      <c r="E90" s="1445"/>
      <c r="F90" s="1445"/>
      <c r="G90" s="1445"/>
      <c r="H90" s="1445"/>
      <c r="I90" s="1445"/>
      <c r="J90" s="1445"/>
      <c r="K90" s="1445"/>
      <c r="L90" s="1445"/>
      <c r="M90" s="1445"/>
      <c r="N90" s="1445"/>
      <c r="O90" s="1445"/>
      <c r="P90" s="1445"/>
      <c r="Q90" s="1445"/>
      <c r="R90" s="1445"/>
      <c r="S90" s="1445"/>
      <c r="T90" s="1445"/>
    </row>
    <row r="91" spans="1:20" ht="15" customHeight="1"/>
    <row r="92" spans="1:20" ht="15" customHeight="1"/>
    <row r="93" spans="1:20" ht="5.0999999999999996" customHeight="1">
      <c r="A93" s="111"/>
      <c r="B93" s="702"/>
      <c r="C93" s="702"/>
      <c r="D93" s="702"/>
      <c r="E93" s="702"/>
      <c r="F93" s="702"/>
      <c r="G93" s="702"/>
      <c r="H93" s="702"/>
      <c r="I93" s="702"/>
      <c r="J93" s="702"/>
      <c r="K93" s="702"/>
      <c r="L93" s="702"/>
      <c r="M93" s="702"/>
      <c r="N93" s="702"/>
      <c r="O93" s="702"/>
      <c r="P93" s="702"/>
      <c r="Q93" s="702"/>
      <c r="R93" s="702"/>
      <c r="S93" s="702"/>
      <c r="T93" s="702"/>
    </row>
    <row r="94" spans="1:20" ht="15" customHeight="1">
      <c r="A94" s="111"/>
      <c r="B94" s="702"/>
      <c r="C94" s="702"/>
      <c r="D94" s="702"/>
      <c r="E94" s="702"/>
      <c r="F94" s="702"/>
      <c r="G94" s="702"/>
      <c r="H94" s="702"/>
      <c r="I94" s="702"/>
      <c r="J94" s="702"/>
      <c r="K94" s="702"/>
      <c r="L94" s="702"/>
      <c r="M94" s="702"/>
      <c r="N94" s="702"/>
      <c r="O94" s="702"/>
      <c r="P94" s="702"/>
      <c r="Q94" s="702"/>
      <c r="S94" s="702"/>
      <c r="T94" s="357"/>
    </row>
    <row r="95" spans="1:20" ht="15" customHeight="1">
      <c r="A95" s="420" t="str">
        <f>"Calibration No.: "&amp;$T$12</f>
        <v>Calibration No.: CAL11957/00</v>
      </c>
      <c r="B95" s="421"/>
      <c r="C95" s="421"/>
      <c r="D95" s="421"/>
      <c r="E95" s="421"/>
      <c r="F95" s="421"/>
      <c r="G95" s="421"/>
      <c r="H95" s="421"/>
      <c r="I95" s="422" t="str">
        <f>$G$32</f>
        <v>0</v>
      </c>
      <c r="J95" s="421"/>
      <c r="K95" s="421"/>
      <c r="L95" s="421"/>
      <c r="M95" s="421"/>
      <c r="N95" s="420" t="s">
        <v>360</v>
      </c>
      <c r="O95" s="423"/>
      <c r="P95" s="423"/>
      <c r="Q95" s="423"/>
      <c r="R95" s="423"/>
      <c r="S95" s="423"/>
      <c r="T95" s="423" t="s">
        <v>1050</v>
      </c>
    </row>
    <row r="96" spans="1:20" ht="15" customHeight="1">
      <c r="A96" s="119"/>
      <c r="B96" s="155"/>
      <c r="C96" s="155"/>
      <c r="D96" s="155"/>
      <c r="E96" s="155"/>
      <c r="F96" s="155"/>
      <c r="G96" s="155"/>
      <c r="H96" s="155"/>
      <c r="I96" s="156"/>
      <c r="J96" s="155"/>
      <c r="K96" s="155"/>
      <c r="L96" s="155"/>
      <c r="M96" s="155"/>
      <c r="N96" s="119"/>
      <c r="O96" s="157"/>
      <c r="P96" s="157"/>
      <c r="Q96" s="157"/>
      <c r="R96" s="157"/>
      <c r="S96" s="157"/>
      <c r="T96" s="157"/>
    </row>
    <row r="97" spans="1:20" ht="15" customHeight="1">
      <c r="A97" s="112" t="s">
        <v>367</v>
      </c>
      <c r="B97" s="155"/>
      <c r="C97" s="155"/>
      <c r="D97" s="155"/>
      <c r="E97" s="155"/>
      <c r="F97" s="155"/>
      <c r="G97" s="155"/>
      <c r="H97" s="156"/>
      <c r="I97" s="155"/>
      <c r="J97" s="155"/>
      <c r="K97" s="155"/>
      <c r="L97" s="155"/>
      <c r="M97" s="119"/>
      <c r="N97" s="157"/>
      <c r="O97" s="157"/>
      <c r="P97" s="157"/>
      <c r="Q97" s="157"/>
      <c r="R97" s="157"/>
      <c r="S97" s="157"/>
      <c r="T97" s="702"/>
    </row>
    <row r="98" spans="1:20" ht="18.75" customHeight="1">
      <c r="A98" s="111" t="s">
        <v>362</v>
      </c>
      <c r="B98" s="1436" t="s">
        <v>1003</v>
      </c>
      <c r="C98" s="1436"/>
      <c r="D98" s="1436"/>
      <c r="E98" s="1436"/>
      <c r="F98" s="1436"/>
      <c r="G98" s="1436"/>
      <c r="H98" s="1436"/>
      <c r="I98" s="1436"/>
      <c r="J98" s="1436"/>
      <c r="K98" s="1436"/>
      <c r="L98" s="1436"/>
      <c r="M98" s="1436"/>
      <c r="N98" s="1436"/>
      <c r="O98" s="1436"/>
      <c r="P98" s="1436"/>
      <c r="Q98" s="1436"/>
      <c r="R98" s="1436"/>
      <c r="S98" s="1436"/>
      <c r="T98" s="1436"/>
    </row>
    <row r="99" spans="1:20" ht="15" customHeight="1">
      <c r="A99" s="111" t="s">
        <v>362</v>
      </c>
      <c r="B99" s="1436" t="s">
        <v>748</v>
      </c>
      <c r="C99" s="1436"/>
      <c r="D99" s="1436"/>
      <c r="E99" s="1436"/>
      <c r="F99" s="1436"/>
      <c r="G99" s="1436"/>
      <c r="H99" s="1436"/>
      <c r="I99" s="1436"/>
      <c r="J99" s="1436"/>
      <c r="K99" s="1436"/>
      <c r="L99" s="1436"/>
      <c r="M99" s="1436"/>
      <c r="N99" s="1436"/>
      <c r="O99" s="1436"/>
      <c r="P99" s="1436"/>
      <c r="Q99" s="1436"/>
      <c r="R99" s="1436"/>
      <c r="S99" s="1436"/>
      <c r="T99" s="1436"/>
    </row>
    <row r="100" spans="1:20" ht="15" customHeight="1">
      <c r="A100" s="353"/>
      <c r="B100" s="354"/>
      <c r="C100" s="354"/>
      <c r="D100" s="354"/>
      <c r="E100" s="354"/>
      <c r="F100" s="354"/>
      <c r="G100" s="354"/>
      <c r="H100" s="354"/>
      <c r="I100" s="354"/>
      <c r="J100" s="354"/>
      <c r="K100" s="354"/>
      <c r="L100" s="354"/>
      <c r="M100" s="354"/>
      <c r="N100" s="354"/>
      <c r="O100" s="354"/>
      <c r="P100" s="354"/>
      <c r="Q100" s="354"/>
      <c r="R100" s="354"/>
      <c r="S100" s="354"/>
      <c r="T100" s="354"/>
    </row>
    <row r="101" spans="1:20" ht="15" customHeight="1">
      <c r="A101" s="353"/>
      <c r="B101" s="354"/>
      <c r="C101" s="354"/>
      <c r="D101" s="354"/>
      <c r="E101" s="354"/>
      <c r="F101" s="354"/>
      <c r="G101" s="354"/>
      <c r="H101" s="354"/>
      <c r="I101" s="354"/>
      <c r="J101" s="354"/>
      <c r="K101" s="354"/>
      <c r="L101" s="354"/>
      <c r="M101" s="354"/>
      <c r="N101" s="354"/>
      <c r="O101" s="354"/>
      <c r="P101" s="354"/>
      <c r="Q101" s="354"/>
      <c r="R101" s="354"/>
      <c r="S101" s="354"/>
      <c r="T101" s="160" t="str">
        <f>"(1)"</f>
        <v>(1)</v>
      </c>
    </row>
    <row r="102" spans="1:20" ht="15" customHeight="1">
      <c r="A102" s="111"/>
      <c r="B102" s="153"/>
      <c r="C102" s="153"/>
      <c r="D102" s="153"/>
      <c r="E102" s="153"/>
      <c r="F102" s="153"/>
      <c r="G102" s="153"/>
      <c r="H102" s="153"/>
      <c r="I102" s="153"/>
      <c r="J102" s="153"/>
      <c r="K102" s="153"/>
      <c r="L102" s="153"/>
      <c r="N102" s="153"/>
      <c r="O102" s="153"/>
      <c r="P102" s="153"/>
      <c r="Q102" s="153"/>
      <c r="R102" s="153"/>
      <c r="S102" s="153"/>
      <c r="T102" s="153"/>
    </row>
    <row r="103" spans="1:20" ht="18.75" customHeight="1">
      <c r="A103" s="111"/>
      <c r="B103" s="158" t="s">
        <v>1216</v>
      </c>
      <c r="C103" s="153"/>
      <c r="D103" s="153"/>
      <c r="E103" s="153"/>
      <c r="F103" s="153"/>
      <c r="G103" s="153"/>
      <c r="H103" s="153"/>
      <c r="I103" s="153"/>
      <c r="J103" s="153"/>
      <c r="K103" s="153"/>
      <c r="L103" s="153"/>
      <c r="M103" s="153"/>
      <c r="N103" s="153"/>
      <c r="O103" s="153"/>
      <c r="P103" s="153"/>
      <c r="Q103" s="153"/>
      <c r="R103" s="153"/>
      <c r="S103" s="153"/>
      <c r="T103" s="153"/>
    </row>
    <row r="104" spans="1:20" ht="23.25" customHeight="1">
      <c r="A104" s="353"/>
      <c r="B104" s="1449" t="s">
        <v>1346</v>
      </c>
      <c r="C104" s="1449"/>
      <c r="D104" s="1449"/>
      <c r="E104" s="1449"/>
      <c r="F104" s="1449"/>
      <c r="G104" s="1449"/>
      <c r="H104" s="1449"/>
      <c r="I104" s="1449"/>
      <c r="J104" s="1449"/>
      <c r="K104" s="1449"/>
      <c r="L104" s="1449"/>
      <c r="M104" s="1449"/>
      <c r="N104" s="1449"/>
      <c r="O104" s="1449"/>
      <c r="P104" s="1449"/>
      <c r="Q104" s="1449"/>
      <c r="R104" s="153"/>
      <c r="S104" s="153"/>
      <c r="T104" s="153"/>
    </row>
    <row r="105" spans="1:20" ht="18.75" customHeight="1">
      <c r="A105" s="353"/>
      <c r="B105" s="1093" t="s">
        <v>791</v>
      </c>
      <c r="C105" s="1094"/>
      <c r="D105" s="1094"/>
      <c r="E105" s="1094"/>
      <c r="F105" s="1094"/>
      <c r="G105" s="1094"/>
      <c r="H105" s="1094"/>
      <c r="I105" s="1094"/>
      <c r="J105" s="1094"/>
      <c r="K105" s="1095"/>
      <c r="L105" s="1093" t="s">
        <v>1347</v>
      </c>
      <c r="M105" s="1094"/>
      <c r="N105" s="1094"/>
      <c r="O105" s="1094"/>
      <c r="P105" s="1094"/>
      <c r="Q105" s="1095"/>
      <c r="R105" s="153"/>
      <c r="S105" s="153"/>
      <c r="T105" s="153"/>
    </row>
    <row r="106" spans="1:20" ht="18.75" customHeight="1">
      <c r="A106" s="353"/>
      <c r="B106" s="1093" t="s">
        <v>792</v>
      </c>
      <c r="C106" s="1094"/>
      <c r="D106" s="1094"/>
      <c r="E106" s="1094"/>
      <c r="F106" s="1094"/>
      <c r="G106" s="1094"/>
      <c r="H106" s="1094"/>
      <c r="I106" s="1094"/>
      <c r="J106" s="1094"/>
      <c r="K106" s="1095"/>
      <c r="L106" s="1446" t="str">
        <f>Client!BN10&amp;" "&amp;Client!BL10</f>
        <v>0 V 0</v>
      </c>
      <c r="M106" s="1447"/>
      <c r="N106" s="1447"/>
      <c r="O106" s="1447"/>
      <c r="P106" s="1447"/>
      <c r="Q106" s="1448"/>
      <c r="R106" s="153"/>
      <c r="S106" s="153"/>
      <c r="T106" s="153"/>
    </row>
    <row r="107" spans="1:20" ht="18.75" customHeight="1">
      <c r="A107" s="353"/>
      <c r="B107" s="1093" t="s">
        <v>793</v>
      </c>
      <c r="C107" s="1094"/>
      <c r="D107" s="1094"/>
      <c r="E107" s="1094"/>
      <c r="F107" s="1094"/>
      <c r="G107" s="1094"/>
      <c r="H107" s="1094"/>
      <c r="I107" s="1094"/>
      <c r="J107" s="1094"/>
      <c r="K107" s="1095"/>
      <c r="L107" s="1446" t="str">
        <f>Client!BN12&amp;" "&amp;Client!BL10</f>
        <v>0 V 0</v>
      </c>
      <c r="M107" s="1447"/>
      <c r="N107" s="1447"/>
      <c r="O107" s="1447"/>
      <c r="P107" s="1447"/>
      <c r="Q107" s="1448"/>
      <c r="R107" s="153"/>
      <c r="S107" s="153"/>
      <c r="T107" s="153"/>
    </row>
    <row r="108" spans="1:20" ht="18.75" customHeight="1">
      <c r="A108" s="353"/>
      <c r="B108" s="1450" t="s">
        <v>739</v>
      </c>
      <c r="C108" s="1451"/>
      <c r="D108" s="1451"/>
      <c r="E108" s="1451"/>
      <c r="F108" s="1451"/>
      <c r="G108" s="1451"/>
      <c r="H108" s="1451"/>
      <c r="I108" s="1451"/>
      <c r="J108" s="1451"/>
      <c r="K108" s="1452"/>
      <c r="L108" s="1453">
        <f>'MV-E'!I13</f>
        <v>0</v>
      </c>
      <c r="M108" s="1454"/>
      <c r="N108" s="1454"/>
      <c r="O108" s="1454"/>
      <c r="P108" s="1454"/>
      <c r="Q108" s="1455"/>
      <c r="R108" s="153"/>
      <c r="S108" s="153"/>
      <c r="T108" s="153"/>
    </row>
    <row r="109" spans="1:20" ht="18.75" customHeight="1">
      <c r="A109" s="353"/>
      <c r="B109" s="1093" t="s">
        <v>744</v>
      </c>
      <c r="C109" s="1094"/>
      <c r="D109" s="1094"/>
      <c r="E109" s="1094"/>
      <c r="F109" s="1094"/>
      <c r="G109" s="1094"/>
      <c r="H109" s="1094"/>
      <c r="I109" s="1094"/>
      <c r="J109" s="1094"/>
      <c r="K109" s="1095"/>
      <c r="L109" s="1093" t="s">
        <v>1461</v>
      </c>
      <c r="M109" s="1094"/>
      <c r="N109" s="1094"/>
      <c r="O109" s="1094"/>
      <c r="P109" s="1094"/>
      <c r="Q109" s="1095"/>
      <c r="R109" s="153"/>
      <c r="S109" s="153"/>
      <c r="T109" s="153"/>
    </row>
    <row r="110" spans="1:20" ht="18.75" customHeight="1">
      <c r="A110" s="353"/>
      <c r="B110" s="1093" t="s">
        <v>740</v>
      </c>
      <c r="C110" s="1094"/>
      <c r="D110" s="1094"/>
      <c r="E110" s="1094"/>
      <c r="F110" s="1094"/>
      <c r="G110" s="1094"/>
      <c r="H110" s="1094"/>
      <c r="I110" s="1094"/>
      <c r="J110" s="1094"/>
      <c r="K110" s="1095"/>
      <c r="L110" s="1093" t="s">
        <v>1462</v>
      </c>
      <c r="M110" s="1094"/>
      <c r="N110" s="1094"/>
      <c r="O110" s="1094"/>
      <c r="P110" s="1094"/>
      <c r="Q110" s="1095"/>
      <c r="R110" s="153"/>
      <c r="S110" s="153"/>
      <c r="T110" s="153"/>
    </row>
    <row r="111" spans="1:20" ht="18.75" customHeight="1">
      <c r="A111" s="353"/>
      <c r="B111" s="153"/>
      <c r="C111" s="153"/>
      <c r="D111" s="153"/>
      <c r="E111" s="153"/>
      <c r="F111" s="153"/>
      <c r="G111" s="153"/>
      <c r="H111" s="153"/>
      <c r="I111" s="153"/>
      <c r="J111" s="153"/>
      <c r="K111" s="153"/>
      <c r="L111" s="153"/>
      <c r="M111" s="153"/>
      <c r="N111" s="153"/>
      <c r="O111" s="153"/>
      <c r="P111" s="153"/>
      <c r="Q111" s="153"/>
      <c r="R111" s="153"/>
      <c r="S111" s="153"/>
      <c r="T111" s="153"/>
    </row>
    <row r="112" spans="1:20" ht="33.75" customHeight="1">
      <c r="A112" s="111" t="s">
        <v>362</v>
      </c>
      <c r="B112" s="1140" t="s">
        <v>1282</v>
      </c>
      <c r="C112" s="1140"/>
      <c r="D112" s="1140"/>
      <c r="E112" s="1140"/>
      <c r="F112" s="1140"/>
      <c r="G112" s="1140"/>
      <c r="H112" s="1140"/>
      <c r="I112" s="1140"/>
      <c r="J112" s="1140"/>
      <c r="K112" s="1140"/>
      <c r="L112" s="1140"/>
      <c r="M112" s="1140"/>
      <c r="N112" s="1140"/>
      <c r="O112" s="1140"/>
      <c r="P112" s="1140"/>
      <c r="Q112" s="1140"/>
      <c r="R112" s="1140"/>
      <c r="S112" s="1140"/>
      <c r="T112" s="1140"/>
    </row>
    <row r="113" spans="1:20" ht="15" customHeight="1">
      <c r="A113" s="111"/>
      <c r="B113" s="703"/>
      <c r="C113" s="703"/>
      <c r="D113" s="703"/>
      <c r="E113" s="703"/>
      <c r="F113" s="703"/>
      <c r="G113" s="703"/>
      <c r="H113" s="703"/>
      <c r="I113" s="703"/>
      <c r="J113" s="703"/>
      <c r="K113" s="703"/>
      <c r="L113" s="703"/>
      <c r="M113" s="703"/>
      <c r="N113" s="703"/>
      <c r="O113" s="703"/>
      <c r="P113" s="703"/>
      <c r="Q113" s="703"/>
      <c r="R113" s="158"/>
      <c r="S113" s="158"/>
      <c r="T113" s="158"/>
    </row>
    <row r="114" spans="1:20" ht="15" customHeight="1">
      <c r="A114" s="112" t="s">
        <v>368</v>
      </c>
      <c r="B114" s="703"/>
      <c r="C114" s="703"/>
      <c r="D114" s="703"/>
      <c r="E114" s="703"/>
      <c r="F114" s="703"/>
      <c r="G114" s="703"/>
      <c r="H114" s="703"/>
      <c r="I114" s="703"/>
      <c r="J114" s="703"/>
      <c r="K114" s="703"/>
      <c r="L114" s="703"/>
      <c r="M114" s="703"/>
      <c r="N114" s="703"/>
      <c r="O114" s="703"/>
      <c r="P114" s="703"/>
      <c r="Q114" s="703"/>
      <c r="R114" s="158"/>
      <c r="S114" s="158"/>
      <c r="T114" s="158"/>
    </row>
    <row r="115" spans="1:20" ht="38.25" customHeight="1">
      <c r="A115" s="111" t="s">
        <v>362</v>
      </c>
      <c r="B115" s="1140" t="s">
        <v>992</v>
      </c>
      <c r="C115" s="1140"/>
      <c r="D115" s="1140"/>
      <c r="E115" s="1140"/>
      <c r="F115" s="1140"/>
      <c r="G115" s="1140"/>
      <c r="H115" s="1140"/>
      <c r="I115" s="1140"/>
      <c r="J115" s="1140"/>
      <c r="K115" s="1140"/>
      <c r="L115" s="1140"/>
      <c r="M115" s="1140"/>
      <c r="N115" s="1140"/>
      <c r="O115" s="1140"/>
      <c r="P115" s="1140"/>
      <c r="Q115" s="1140"/>
      <c r="R115" s="1140"/>
      <c r="S115" s="1140"/>
      <c r="T115" s="1140"/>
    </row>
    <row r="116" spans="1:20" ht="15" customHeight="1">
      <c r="A116" s="111"/>
      <c r="B116" s="703"/>
      <c r="C116" s="703"/>
      <c r="D116" s="703"/>
      <c r="E116" s="703"/>
      <c r="F116" s="703"/>
      <c r="G116" s="703"/>
      <c r="H116" s="703"/>
      <c r="I116" s="703"/>
      <c r="J116" s="703"/>
      <c r="K116" s="703"/>
      <c r="L116" s="703"/>
      <c r="M116" s="703"/>
      <c r="N116" s="703"/>
      <c r="O116" s="703"/>
      <c r="P116" s="703"/>
      <c r="Q116" s="703"/>
      <c r="R116" s="158"/>
      <c r="S116" s="158"/>
      <c r="T116" s="158"/>
    </row>
    <row r="117" spans="1:20" ht="15" customHeight="1">
      <c r="A117" s="111"/>
      <c r="B117" s="703"/>
      <c r="C117" s="703"/>
      <c r="D117" s="703"/>
      <c r="E117" s="703"/>
      <c r="F117" s="703"/>
      <c r="G117" s="703"/>
      <c r="H117" s="703"/>
      <c r="I117" s="703"/>
      <c r="J117" s="703"/>
      <c r="K117" s="703"/>
      <c r="L117" s="703"/>
      <c r="M117" s="703"/>
      <c r="N117" s="703"/>
      <c r="O117" s="703"/>
      <c r="P117" s="703"/>
      <c r="Q117" s="703"/>
      <c r="R117" s="158"/>
      <c r="S117" s="158"/>
      <c r="T117" s="160" t="str">
        <f>"(2)"</f>
        <v>(2)</v>
      </c>
    </row>
    <row r="118" spans="1:20" ht="15" customHeight="1">
      <c r="A118" s="112"/>
      <c r="B118" s="158"/>
      <c r="C118" s="158"/>
      <c r="D118" s="158"/>
      <c r="E118" s="158"/>
      <c r="F118" s="158"/>
      <c r="G118" s="158"/>
      <c r="H118" s="158"/>
      <c r="J118" s="158"/>
      <c r="K118" s="158"/>
      <c r="L118" s="158"/>
      <c r="M118" s="158"/>
      <c r="N118" s="158"/>
      <c r="O118" s="158"/>
      <c r="P118" s="158"/>
      <c r="Q118" s="158"/>
      <c r="R118" s="158"/>
      <c r="S118" s="158"/>
      <c r="T118" s="158"/>
    </row>
    <row r="119" spans="1:20" ht="36" customHeight="1">
      <c r="A119" s="111" t="s">
        <v>362</v>
      </c>
      <c r="B119" s="1466" t="s">
        <v>1028</v>
      </c>
      <c r="C119" s="1466"/>
      <c r="D119" s="1466"/>
      <c r="E119" s="1466"/>
      <c r="F119" s="1466"/>
      <c r="G119" s="1466"/>
      <c r="H119" s="1466"/>
      <c r="I119" s="1466"/>
      <c r="J119" s="1466"/>
      <c r="K119" s="1466"/>
      <c r="L119" s="1466"/>
      <c r="M119" s="1466"/>
      <c r="N119" s="1466"/>
      <c r="O119" s="1466"/>
      <c r="P119" s="1466"/>
      <c r="Q119" s="1466"/>
      <c r="R119" s="1466"/>
      <c r="S119" s="1466"/>
      <c r="T119" s="1466"/>
    </row>
    <row r="120" spans="1:20" ht="34.5" customHeight="1">
      <c r="A120" s="111" t="s">
        <v>362</v>
      </c>
      <c r="B120" s="1140" t="e">
        <f ca="1">"The chamber has been calibrated with the "&amp;Client!BI10&amp;" ("&amp;Client!BL10&amp;"). "&amp;Client!AF15</f>
        <v>#N/A</v>
      </c>
      <c r="C120" s="1140"/>
      <c r="D120" s="1140"/>
      <c r="E120" s="1140"/>
      <c r="F120" s="1140"/>
      <c r="G120" s="1140"/>
      <c r="H120" s="1140"/>
      <c r="I120" s="1140"/>
      <c r="J120" s="1140"/>
      <c r="K120" s="1140"/>
      <c r="L120" s="1140"/>
      <c r="M120" s="1140"/>
      <c r="N120" s="1140"/>
      <c r="O120" s="1140"/>
      <c r="P120" s="1140"/>
      <c r="Q120" s="1140"/>
      <c r="R120" s="1140"/>
      <c r="S120" s="1140"/>
      <c r="T120" s="1140"/>
    </row>
    <row r="121" spans="1:20" ht="23.25" customHeight="1">
      <c r="A121" s="112"/>
      <c r="B121" s="1449" t="s">
        <v>1348</v>
      </c>
      <c r="C121" s="1449"/>
      <c r="D121" s="1449"/>
      <c r="E121" s="1449"/>
      <c r="F121" s="1449"/>
      <c r="G121" s="1449"/>
      <c r="H121" s="1449"/>
      <c r="I121" s="1449"/>
      <c r="J121" s="1449"/>
      <c r="K121" s="1449"/>
      <c r="L121" s="1449"/>
      <c r="M121" s="1449"/>
      <c r="N121" s="1449"/>
      <c r="O121" s="1449"/>
      <c r="P121" s="1449"/>
      <c r="Q121" s="1449"/>
    </row>
    <row r="122" spans="1:20" ht="23.25" customHeight="1">
      <c r="A122" s="112"/>
      <c r="B122" s="1093" t="s">
        <v>791</v>
      </c>
      <c r="C122" s="1094"/>
      <c r="D122" s="1094"/>
      <c r="E122" s="1094"/>
      <c r="F122" s="1094"/>
      <c r="G122" s="1094"/>
      <c r="H122" s="1094"/>
      <c r="I122" s="1094"/>
      <c r="J122" s="1094"/>
      <c r="K122" s="1095"/>
      <c r="L122" s="1093" t="s">
        <v>1347</v>
      </c>
      <c r="M122" s="1094"/>
      <c r="N122" s="1094"/>
      <c r="O122" s="1094"/>
      <c r="P122" s="1094"/>
      <c r="Q122" s="1095"/>
    </row>
    <row r="123" spans="1:20" ht="23.25" customHeight="1">
      <c r="A123" s="112"/>
      <c r="B123" s="1093" t="s">
        <v>792</v>
      </c>
      <c r="C123" s="1094"/>
      <c r="D123" s="1094"/>
      <c r="E123" s="1094"/>
      <c r="F123" s="1094"/>
      <c r="G123" s="1094"/>
      <c r="H123" s="1094"/>
      <c r="I123" s="1094"/>
      <c r="J123" s="1094"/>
      <c r="K123" s="1095"/>
      <c r="L123" s="1446" t="str">
        <f>Client!BN10&amp;" "&amp;Client!BL10</f>
        <v>0 V 0</v>
      </c>
      <c r="M123" s="1447"/>
      <c r="N123" s="1447"/>
      <c r="O123" s="1447"/>
      <c r="P123" s="1447"/>
      <c r="Q123" s="1448"/>
    </row>
    <row r="124" spans="1:20" ht="18" customHeight="1">
      <c r="A124" s="112"/>
      <c r="B124" s="1093" t="s">
        <v>794</v>
      </c>
      <c r="C124" s="1094"/>
      <c r="D124" s="1094"/>
      <c r="E124" s="1094"/>
      <c r="F124" s="1094"/>
      <c r="G124" s="1094"/>
      <c r="H124" s="1094"/>
      <c r="I124" s="1094"/>
      <c r="J124" s="1094"/>
      <c r="K124" s="1095"/>
      <c r="L124" s="1446" t="str">
        <f>Client!BN11&amp;" "&amp;Client!BL11</f>
        <v>0 V CEP</v>
      </c>
      <c r="M124" s="1447"/>
      <c r="N124" s="1447"/>
      <c r="O124" s="1447"/>
      <c r="P124" s="1447"/>
      <c r="Q124" s="1448"/>
    </row>
    <row r="125" spans="1:20" ht="18" customHeight="1">
      <c r="A125" s="112"/>
      <c r="B125" s="1450" t="s">
        <v>756</v>
      </c>
      <c r="C125" s="1451"/>
      <c r="D125" s="1451"/>
      <c r="E125" s="1451"/>
      <c r="F125" s="1451"/>
      <c r="G125" s="1451"/>
      <c r="H125" s="1451"/>
      <c r="I125" s="1451"/>
      <c r="J125" s="1451"/>
      <c r="K125" s="1452"/>
      <c r="L125" s="1453">
        <f>'MV-E'!J13</f>
        <v>0</v>
      </c>
      <c r="M125" s="1454"/>
      <c r="N125" s="1454"/>
      <c r="O125" s="1454"/>
      <c r="P125" s="1454"/>
      <c r="Q125" s="1455"/>
    </row>
    <row r="126" spans="1:20" ht="18" customHeight="1">
      <c r="A126" s="112"/>
      <c r="B126" s="1093" t="s">
        <v>744</v>
      </c>
      <c r="C126" s="1094"/>
      <c r="D126" s="1094"/>
      <c r="E126" s="1094"/>
      <c r="F126" s="1094"/>
      <c r="G126" s="1094"/>
      <c r="H126" s="1094"/>
      <c r="I126" s="1094"/>
      <c r="J126" s="1094"/>
      <c r="K126" s="1095"/>
      <c r="L126" s="1093" t="s">
        <v>1461</v>
      </c>
      <c r="M126" s="1094"/>
      <c r="N126" s="1094"/>
      <c r="O126" s="1094"/>
      <c r="P126" s="1094"/>
      <c r="Q126" s="1095"/>
    </row>
    <row r="127" spans="1:20" ht="18" customHeight="1">
      <c r="A127" s="112"/>
      <c r="B127" s="1093" t="s">
        <v>740</v>
      </c>
      <c r="C127" s="1094"/>
      <c r="D127" s="1094"/>
      <c r="E127" s="1094"/>
      <c r="F127" s="1094"/>
      <c r="G127" s="1094"/>
      <c r="H127" s="1094"/>
      <c r="I127" s="1094"/>
      <c r="J127" s="1094"/>
      <c r="K127" s="1095"/>
      <c r="L127" s="1093" t="s">
        <v>1462</v>
      </c>
      <c r="M127" s="1094"/>
      <c r="N127" s="1094"/>
      <c r="O127" s="1094"/>
      <c r="P127" s="1094"/>
      <c r="Q127" s="1095"/>
    </row>
    <row r="128" spans="1:20" ht="18" customHeight="1">
      <c r="A128" s="112"/>
    </row>
    <row r="129" spans="1:20" ht="35.25" customHeight="1">
      <c r="A129" s="111" t="s">
        <v>362</v>
      </c>
      <c r="B129" s="1140" t="s">
        <v>1283</v>
      </c>
      <c r="C129" s="1140"/>
      <c r="D129" s="1140"/>
      <c r="E129" s="1140"/>
      <c r="F129" s="1140"/>
      <c r="G129" s="1140"/>
      <c r="H129" s="1140"/>
      <c r="I129" s="1140"/>
      <c r="J129" s="1140"/>
      <c r="K129" s="1140"/>
      <c r="L129" s="1140"/>
      <c r="M129" s="1140"/>
      <c r="N129" s="1140"/>
      <c r="O129" s="1140"/>
      <c r="P129" s="1140"/>
      <c r="Q129" s="1140"/>
      <c r="R129" s="1140"/>
      <c r="S129" s="1140"/>
      <c r="T129" s="1140"/>
    </row>
    <row r="130" spans="1:20" ht="35.25" customHeight="1">
      <c r="A130" s="356"/>
      <c r="B130" s="153"/>
      <c r="C130" s="153"/>
      <c r="D130" s="153"/>
      <c r="E130" s="153"/>
      <c r="F130" s="153"/>
      <c r="G130" s="153"/>
      <c r="H130" s="153"/>
      <c r="I130" s="153"/>
      <c r="J130" s="153"/>
      <c r="K130" s="153"/>
      <c r="L130" s="153"/>
      <c r="M130" s="153"/>
      <c r="N130" s="153"/>
      <c r="O130" s="153"/>
      <c r="P130" s="153"/>
      <c r="Q130" s="153"/>
      <c r="R130" s="153"/>
      <c r="S130" s="153"/>
      <c r="T130" s="153"/>
    </row>
    <row r="131" spans="1:20" ht="18" customHeight="1">
      <c r="A131" s="112"/>
    </row>
    <row r="132" spans="1:20" ht="18" customHeight="1">
      <c r="A132" s="112"/>
    </row>
    <row r="133" spans="1:20" ht="12" customHeight="1">
      <c r="A133" s="112"/>
    </row>
    <row r="134" spans="1:20" ht="15.75" customHeight="1">
      <c r="A134" s="111"/>
      <c r="B134" s="153"/>
      <c r="C134" s="153"/>
      <c r="D134" s="153"/>
      <c r="E134" s="153"/>
      <c r="F134" s="153"/>
      <c r="G134" s="153"/>
      <c r="H134" s="153"/>
      <c r="I134" s="153"/>
      <c r="J134" s="153"/>
      <c r="K134" s="153"/>
      <c r="L134" s="153"/>
      <c r="M134" s="153"/>
      <c r="N134" s="153"/>
      <c r="O134" s="153"/>
      <c r="P134" s="153"/>
      <c r="Q134" s="153"/>
      <c r="R134" s="153"/>
      <c r="S134" s="153"/>
      <c r="T134" s="153"/>
    </row>
    <row r="135" spans="1:20">
      <c r="A135" s="420" t="str">
        <f>"Calibration No.: "&amp;$T$12</f>
        <v>Calibration No.: CAL11957/00</v>
      </c>
      <c r="B135" s="421"/>
      <c r="C135" s="421"/>
      <c r="D135" s="421"/>
      <c r="E135" s="421"/>
      <c r="F135" s="421"/>
      <c r="G135" s="421"/>
      <c r="H135" s="421"/>
      <c r="I135" s="422" t="str">
        <f>$G$32</f>
        <v>0</v>
      </c>
      <c r="J135" s="421"/>
      <c r="K135" s="421"/>
      <c r="L135" s="421"/>
      <c r="M135" s="421"/>
      <c r="N135" s="420" t="s">
        <v>360</v>
      </c>
      <c r="O135" s="423"/>
      <c r="P135" s="423"/>
      <c r="Q135" s="423"/>
      <c r="R135" s="423"/>
      <c r="S135" s="423"/>
      <c r="T135" s="423" t="s">
        <v>1051</v>
      </c>
    </row>
    <row r="136" spans="1:20">
      <c r="A136" s="119"/>
      <c r="B136" s="155"/>
      <c r="C136" s="155"/>
      <c r="D136" s="155"/>
      <c r="E136" s="155"/>
      <c r="F136" s="155"/>
      <c r="G136" s="155"/>
      <c r="H136" s="155"/>
      <c r="I136" s="156"/>
      <c r="J136" s="155"/>
      <c r="K136" s="155"/>
      <c r="L136" s="155"/>
      <c r="M136" s="155"/>
      <c r="N136" s="119"/>
      <c r="O136" s="157"/>
      <c r="P136" s="157"/>
      <c r="Q136" s="157"/>
      <c r="R136" s="157"/>
      <c r="S136" s="157"/>
      <c r="T136" s="157"/>
    </row>
    <row r="137" spans="1:20" ht="18" customHeight="1">
      <c r="A137" s="111"/>
      <c r="B137" s="702"/>
      <c r="C137" s="702"/>
      <c r="D137" s="702"/>
      <c r="E137" s="702"/>
      <c r="F137" s="702"/>
      <c r="G137" s="702"/>
      <c r="H137" s="702"/>
      <c r="I137" s="702"/>
      <c r="J137" s="702"/>
      <c r="K137" s="702"/>
      <c r="L137" s="702"/>
      <c r="M137" s="702"/>
      <c r="N137" s="702"/>
      <c r="O137" s="702"/>
      <c r="P137" s="702"/>
      <c r="Q137" s="702"/>
      <c r="R137" s="702"/>
      <c r="S137" s="702"/>
      <c r="T137" s="702"/>
    </row>
    <row r="138" spans="1:20" ht="15.75">
      <c r="A138" s="112"/>
      <c r="B138" s="112"/>
      <c r="C138" s="112"/>
      <c r="D138" s="112"/>
      <c r="E138" s="112"/>
      <c r="F138" s="112"/>
      <c r="G138" s="112"/>
      <c r="H138" s="112"/>
      <c r="I138" s="112"/>
      <c r="J138" s="112"/>
      <c r="K138" s="112"/>
      <c r="L138" s="112"/>
      <c r="M138" s="112"/>
      <c r="N138" s="112"/>
      <c r="O138" s="112"/>
      <c r="P138" s="112"/>
      <c r="Q138" s="112"/>
    </row>
    <row r="139" spans="1:20" ht="15.75">
      <c r="A139" s="112" t="s">
        <v>369</v>
      </c>
      <c r="B139" s="112"/>
      <c r="C139" s="112"/>
      <c r="D139" s="112"/>
      <c r="E139" s="112"/>
      <c r="F139" s="112"/>
      <c r="G139" s="112"/>
      <c r="H139" s="112"/>
      <c r="I139" s="112"/>
      <c r="J139" s="112"/>
      <c r="K139" s="112"/>
      <c r="L139" s="112"/>
      <c r="M139" s="112"/>
      <c r="N139" s="112"/>
      <c r="O139" s="112"/>
      <c r="P139" s="112"/>
      <c r="Q139" s="112"/>
    </row>
    <row r="140" spans="1:20" ht="63.95" customHeight="1">
      <c r="A140" s="113" t="s">
        <v>370</v>
      </c>
      <c r="B140" s="1136" t="s">
        <v>1298</v>
      </c>
      <c r="C140" s="1136"/>
      <c r="D140" s="1136"/>
      <c r="E140" s="1136"/>
      <c r="F140" s="1136"/>
      <c r="G140" s="1136"/>
      <c r="H140" s="1136"/>
      <c r="I140" s="1136"/>
      <c r="J140" s="1136"/>
      <c r="K140" s="1136"/>
      <c r="L140" s="1136"/>
      <c r="M140" s="1136"/>
      <c r="N140" s="1136"/>
      <c r="O140" s="1136"/>
      <c r="P140" s="1136"/>
      <c r="Q140" s="1136"/>
      <c r="R140" s="1136"/>
      <c r="S140" s="1136"/>
      <c r="T140" s="1136"/>
    </row>
    <row r="141" spans="1:20" ht="15" customHeight="1">
      <c r="A141" s="112"/>
      <c r="B141" s="112"/>
      <c r="C141" s="112"/>
      <c r="D141" s="112"/>
      <c r="E141" s="112"/>
      <c r="F141" s="112"/>
      <c r="G141" s="112"/>
      <c r="H141" s="112"/>
      <c r="I141" s="112"/>
      <c r="J141" s="112"/>
      <c r="K141" s="112"/>
      <c r="L141" s="112"/>
      <c r="M141" s="112"/>
      <c r="N141" s="112"/>
      <c r="O141" s="112"/>
      <c r="P141" s="112"/>
      <c r="Q141" s="112"/>
    </row>
    <row r="142" spans="1:20" ht="15" customHeight="1">
      <c r="A142" s="112"/>
      <c r="B142" s="112"/>
      <c r="C142" s="112"/>
      <c r="D142" s="112"/>
      <c r="E142" s="112"/>
      <c r="F142" s="112"/>
      <c r="G142" s="112"/>
      <c r="H142" s="112"/>
      <c r="I142" s="112"/>
      <c r="J142" s="112"/>
      <c r="K142" s="112"/>
      <c r="L142" s="112"/>
      <c r="M142" s="112"/>
      <c r="N142" s="112"/>
      <c r="O142" s="112"/>
      <c r="P142" s="112"/>
      <c r="Q142" s="112"/>
    </row>
    <row r="143" spans="1:20" ht="15" customHeight="1">
      <c r="A143" s="149" t="s">
        <v>478</v>
      </c>
      <c r="B143" s="112"/>
      <c r="C143" s="112"/>
      <c r="D143" s="112"/>
      <c r="E143" s="112"/>
      <c r="F143" s="112"/>
      <c r="G143" s="112"/>
      <c r="H143" s="112"/>
      <c r="I143" s="112"/>
      <c r="J143" s="112"/>
      <c r="K143" s="112"/>
      <c r="L143" s="112"/>
      <c r="M143" s="112"/>
      <c r="N143" s="112"/>
      <c r="O143" s="112"/>
      <c r="P143" s="112"/>
      <c r="Q143" s="112"/>
    </row>
    <row r="144" spans="1:20" ht="34.5" customHeight="1">
      <c r="A144" s="111" t="s">
        <v>362</v>
      </c>
      <c r="B144" s="1140" t="s">
        <v>1313</v>
      </c>
      <c r="C144" s="1140"/>
      <c r="D144" s="1140"/>
      <c r="E144" s="1140"/>
      <c r="F144" s="1140"/>
      <c r="G144" s="1140"/>
      <c r="H144" s="1140"/>
      <c r="I144" s="1140"/>
      <c r="J144" s="1140"/>
      <c r="K144" s="1140"/>
      <c r="L144" s="1140"/>
      <c r="M144" s="1140"/>
      <c r="N144" s="1140"/>
      <c r="O144" s="1140"/>
      <c r="P144" s="1140"/>
      <c r="Q144" s="1140"/>
      <c r="R144" s="1140"/>
      <c r="S144" s="1140"/>
      <c r="T144" s="1140"/>
    </row>
    <row r="145" spans="1:17" ht="15" customHeight="1">
      <c r="A145" s="112"/>
      <c r="B145" s="112"/>
      <c r="C145" s="112"/>
      <c r="D145" s="112"/>
      <c r="E145" s="112"/>
      <c r="F145" s="112"/>
      <c r="G145" s="112"/>
      <c r="H145" s="112"/>
      <c r="I145" s="112"/>
      <c r="J145" s="112"/>
      <c r="K145" s="112"/>
      <c r="L145" s="112"/>
      <c r="M145" s="112"/>
      <c r="N145" s="112"/>
      <c r="O145" s="112"/>
      <c r="P145" s="112"/>
      <c r="Q145" s="112"/>
    </row>
    <row r="146" spans="1:17" ht="15" customHeight="1">
      <c r="A146" s="112"/>
      <c r="B146" s="112"/>
      <c r="C146" s="112"/>
      <c r="D146" s="112"/>
      <c r="E146" s="112"/>
      <c r="F146" s="112"/>
      <c r="G146" s="112"/>
      <c r="H146" s="112"/>
      <c r="I146" s="112"/>
      <c r="J146" s="112"/>
      <c r="K146" s="112"/>
      <c r="L146" s="112"/>
      <c r="M146" s="112"/>
      <c r="N146" s="112"/>
      <c r="O146" s="112"/>
      <c r="P146" s="112"/>
      <c r="Q146" s="112"/>
    </row>
    <row r="147" spans="1:17" ht="15" customHeight="1">
      <c r="A147" s="112"/>
      <c r="B147" s="112"/>
      <c r="C147" s="112"/>
      <c r="D147" s="112"/>
      <c r="E147" s="112"/>
      <c r="F147" s="112"/>
      <c r="G147" s="112"/>
      <c r="H147" s="112"/>
      <c r="I147" s="112"/>
      <c r="J147" s="112"/>
      <c r="K147" s="112"/>
      <c r="L147" s="112"/>
      <c r="M147" s="112"/>
      <c r="N147" s="112"/>
      <c r="O147" s="112"/>
      <c r="P147" s="112"/>
      <c r="Q147" s="112"/>
    </row>
    <row r="148" spans="1:17" ht="15" customHeight="1">
      <c r="A148" s="112"/>
      <c r="B148" s="112"/>
      <c r="C148" s="112"/>
      <c r="D148" s="112"/>
      <c r="E148" s="112"/>
      <c r="F148" s="112"/>
      <c r="G148" s="112"/>
      <c r="H148" s="112"/>
      <c r="I148" s="112"/>
      <c r="J148" s="112"/>
      <c r="K148" s="112"/>
      <c r="L148" s="112"/>
      <c r="M148" s="112"/>
      <c r="N148" s="112"/>
      <c r="O148" s="112"/>
      <c r="P148" s="112"/>
      <c r="Q148" s="112"/>
    </row>
    <row r="149" spans="1:17" ht="15" customHeight="1">
      <c r="A149" s="112"/>
      <c r="B149" s="112"/>
      <c r="C149" s="112"/>
      <c r="D149" s="112"/>
      <c r="E149" s="112"/>
      <c r="F149" s="112"/>
      <c r="G149" s="112"/>
      <c r="H149" s="112"/>
      <c r="I149" s="112"/>
      <c r="J149" s="112"/>
      <c r="K149" s="112"/>
      <c r="L149" s="112"/>
      <c r="M149" s="112"/>
      <c r="N149" s="112"/>
      <c r="O149" s="112"/>
      <c r="P149" s="112"/>
      <c r="Q149" s="112"/>
    </row>
    <row r="150" spans="1:17" ht="15" customHeight="1">
      <c r="A150" s="112"/>
      <c r="B150" s="112"/>
      <c r="C150" s="112"/>
      <c r="D150" s="112"/>
      <c r="E150" s="112"/>
      <c r="F150" s="112"/>
      <c r="G150" s="112"/>
      <c r="H150" s="112"/>
      <c r="I150" s="112"/>
      <c r="J150" s="112"/>
      <c r="K150" s="112"/>
      <c r="L150" s="112"/>
      <c r="M150" s="112"/>
      <c r="N150" s="112"/>
      <c r="O150" s="112"/>
      <c r="P150" s="112"/>
      <c r="Q150" s="112"/>
    </row>
    <row r="151" spans="1:17" ht="15" customHeight="1">
      <c r="A151" s="112"/>
      <c r="B151" s="112"/>
      <c r="C151" s="112"/>
      <c r="D151" s="112"/>
      <c r="E151" s="112"/>
      <c r="F151" s="112"/>
      <c r="G151" s="112"/>
      <c r="H151" s="112"/>
      <c r="I151" s="112"/>
      <c r="J151" s="112"/>
      <c r="K151" s="112"/>
      <c r="L151" s="112"/>
      <c r="M151" s="112"/>
      <c r="N151" s="112"/>
      <c r="O151" s="112"/>
      <c r="P151" s="112"/>
      <c r="Q151" s="112"/>
    </row>
    <row r="152" spans="1:17" ht="15" customHeight="1">
      <c r="A152" s="112"/>
      <c r="B152" s="112"/>
      <c r="C152" s="112"/>
      <c r="D152" s="112"/>
      <c r="E152" s="112"/>
      <c r="F152" s="112"/>
      <c r="G152" s="112"/>
      <c r="H152" s="112"/>
      <c r="I152" s="112"/>
      <c r="J152" s="112"/>
      <c r="K152" s="112"/>
      <c r="L152" s="112"/>
      <c r="M152" s="112"/>
      <c r="N152" s="112"/>
      <c r="O152" s="112"/>
      <c r="P152" s="112"/>
      <c r="Q152" s="112"/>
    </row>
    <row r="153" spans="1:17" ht="265.5" customHeight="1">
      <c r="A153" s="112"/>
      <c r="B153" s="112"/>
      <c r="C153" s="112"/>
      <c r="D153" s="112"/>
      <c r="E153" s="112"/>
      <c r="F153" s="112"/>
      <c r="G153" s="112"/>
      <c r="H153" s="112"/>
      <c r="I153" s="112"/>
      <c r="J153" s="112"/>
      <c r="K153" s="112"/>
      <c r="L153" s="112"/>
      <c r="M153" s="112"/>
      <c r="N153" s="112"/>
      <c r="O153" s="112"/>
      <c r="P153" s="112"/>
      <c r="Q153" s="112"/>
    </row>
    <row r="154" spans="1:17" ht="15" customHeight="1">
      <c r="A154" s="112"/>
      <c r="B154" s="112"/>
      <c r="C154" s="112"/>
      <c r="D154" s="112"/>
      <c r="E154" s="112"/>
      <c r="F154" s="112"/>
      <c r="G154" s="112"/>
      <c r="H154" s="112"/>
      <c r="I154" s="112"/>
      <c r="J154" s="112"/>
      <c r="K154" s="112"/>
      <c r="L154" s="112"/>
      <c r="M154" s="112"/>
      <c r="N154" s="112"/>
      <c r="O154" s="112"/>
      <c r="P154" s="112"/>
      <c r="Q154" s="112"/>
    </row>
    <row r="155" spans="1:17" ht="15" customHeight="1">
      <c r="A155" s="112"/>
      <c r="B155" s="112"/>
      <c r="C155" s="112"/>
      <c r="D155" s="112"/>
      <c r="E155" s="112"/>
      <c r="F155" s="112"/>
      <c r="G155" s="112"/>
      <c r="H155" s="112"/>
      <c r="I155" s="112"/>
      <c r="J155" s="112"/>
      <c r="K155" s="112"/>
      <c r="L155" s="112"/>
      <c r="M155" s="112"/>
      <c r="N155" s="112"/>
      <c r="O155" s="112"/>
      <c r="P155" s="112"/>
      <c r="Q155" s="112"/>
    </row>
    <row r="156" spans="1:17" ht="15" customHeight="1">
      <c r="A156" s="112"/>
      <c r="B156" s="112"/>
      <c r="C156" s="112"/>
      <c r="D156" s="112"/>
      <c r="E156" s="112"/>
      <c r="F156" s="112"/>
      <c r="G156" s="112"/>
      <c r="H156" s="112"/>
      <c r="I156" s="112"/>
      <c r="J156" s="112"/>
      <c r="K156" s="112"/>
      <c r="L156" s="112"/>
      <c r="M156" s="112"/>
      <c r="N156" s="112"/>
      <c r="O156" s="112"/>
      <c r="P156" s="112"/>
      <c r="Q156" s="112"/>
    </row>
    <row r="157" spans="1:17" ht="15" customHeight="1">
      <c r="A157" s="112"/>
      <c r="B157" s="112"/>
      <c r="C157" s="112"/>
      <c r="D157" s="112"/>
      <c r="E157" s="112"/>
      <c r="F157" s="112"/>
      <c r="G157" s="112"/>
      <c r="H157" s="112"/>
      <c r="I157" s="112"/>
      <c r="J157" s="112"/>
      <c r="K157" s="112"/>
      <c r="L157" s="112"/>
      <c r="M157" s="112"/>
      <c r="N157" s="112"/>
      <c r="O157" s="112"/>
      <c r="P157" s="112"/>
      <c r="Q157" s="112"/>
    </row>
    <row r="158" spans="1:17" ht="15" customHeight="1">
      <c r="A158" s="112"/>
      <c r="B158" s="112"/>
      <c r="C158" s="112"/>
      <c r="D158" s="112"/>
      <c r="E158" s="112"/>
      <c r="F158" s="112"/>
      <c r="G158" s="112"/>
      <c r="H158" s="112"/>
      <c r="I158" s="112"/>
      <c r="J158" s="112"/>
      <c r="K158" s="112"/>
      <c r="L158" s="112"/>
      <c r="M158" s="112"/>
      <c r="N158" s="112"/>
      <c r="O158" s="112"/>
      <c r="P158" s="112"/>
      <c r="Q158" s="112"/>
    </row>
    <row r="159" spans="1:17" ht="15" customHeight="1">
      <c r="A159" s="112"/>
      <c r="B159" s="112"/>
      <c r="C159" s="112"/>
      <c r="D159" s="112"/>
      <c r="E159" s="112"/>
      <c r="F159" s="112"/>
      <c r="G159" s="112"/>
      <c r="H159" s="112"/>
      <c r="I159" s="112"/>
      <c r="J159" s="112"/>
      <c r="K159" s="112"/>
      <c r="L159" s="112"/>
      <c r="M159" s="112"/>
      <c r="N159" s="112"/>
      <c r="O159" s="112"/>
      <c r="P159" s="112"/>
      <c r="Q159" s="112"/>
    </row>
    <row r="160" spans="1:17" ht="54" customHeight="1">
      <c r="A160" s="112"/>
      <c r="B160" s="112"/>
      <c r="C160" s="112"/>
      <c r="D160" s="112"/>
      <c r="E160" s="112"/>
      <c r="F160" s="112"/>
      <c r="G160" s="112"/>
      <c r="H160" s="112"/>
      <c r="I160" s="112"/>
      <c r="J160" s="112"/>
      <c r="K160" s="112"/>
      <c r="L160" s="112"/>
      <c r="M160" s="112"/>
      <c r="N160" s="112"/>
      <c r="O160" s="112"/>
      <c r="P160" s="112"/>
      <c r="Q160" s="112"/>
    </row>
    <row r="161" spans="1:20" ht="15" customHeight="1">
      <c r="A161" s="112"/>
      <c r="B161" s="112"/>
      <c r="C161" s="112"/>
      <c r="D161" s="112"/>
      <c r="E161" s="112"/>
      <c r="F161" s="112"/>
      <c r="G161" s="112"/>
      <c r="H161" s="112"/>
      <c r="I161" s="112"/>
      <c r="J161" s="112"/>
      <c r="K161" s="112"/>
      <c r="L161" s="112"/>
      <c r="M161" s="112"/>
      <c r="N161" s="112"/>
      <c r="O161" s="112"/>
      <c r="P161" s="112"/>
      <c r="Q161" s="112"/>
    </row>
    <row r="162" spans="1:20" ht="15" customHeight="1"/>
    <row r="163" spans="1:20" ht="15" customHeight="1"/>
    <row r="164" spans="1:20" ht="15" customHeight="1"/>
    <row r="165" spans="1:20" ht="15" customHeight="1">
      <c r="A165" s="420" t="str">
        <f>"Calibration No.: "&amp;$T$12</f>
        <v>Calibration No.: CAL11957/00</v>
      </c>
      <c r="B165" s="421"/>
      <c r="C165" s="421"/>
      <c r="D165" s="421"/>
      <c r="E165" s="421"/>
      <c r="F165" s="421"/>
      <c r="G165" s="421"/>
      <c r="H165" s="421"/>
      <c r="I165" s="422" t="str">
        <f>$G$32</f>
        <v>0</v>
      </c>
      <c r="J165" s="421"/>
      <c r="K165" s="421"/>
      <c r="L165" s="421"/>
      <c r="M165" s="421"/>
      <c r="N165" s="420" t="s">
        <v>360</v>
      </c>
      <c r="O165" s="423"/>
      <c r="P165" s="423"/>
      <c r="Q165" s="423"/>
      <c r="R165" s="423"/>
      <c r="S165" s="423"/>
      <c r="T165" s="423" t="s">
        <v>1052</v>
      </c>
    </row>
    <row r="171" spans="1:20" ht="48.75" customHeight="1">
      <c r="A171" s="1467" t="s">
        <v>1349</v>
      </c>
      <c r="B171" s="1467"/>
      <c r="C171" s="1467"/>
      <c r="D171" s="1467"/>
      <c r="E171" s="1467"/>
      <c r="F171" s="1467"/>
      <c r="G171" s="1467"/>
      <c r="H171" s="1467"/>
      <c r="I171" s="1467"/>
      <c r="J171" s="1467"/>
      <c r="K171" s="1467"/>
      <c r="L171" s="1467"/>
      <c r="M171" s="1467"/>
      <c r="N171" s="1467"/>
      <c r="O171" s="1467"/>
      <c r="P171" s="1467"/>
      <c r="Q171" s="1467"/>
      <c r="R171" s="1467"/>
      <c r="S171" s="1467"/>
      <c r="T171" s="1467"/>
    </row>
    <row r="172" spans="1:20" ht="18" customHeight="1">
      <c r="A172" s="164" t="s">
        <v>2</v>
      </c>
      <c r="B172" s="165"/>
      <c r="C172" s="165"/>
      <c r="D172" s="165"/>
      <c r="E172" s="165"/>
      <c r="F172" s="2"/>
      <c r="G172" s="165" t="str">
        <f>G19</f>
        <v>De-identified for distribution</v>
      </c>
      <c r="H172" s="165"/>
      <c r="I172" s="165"/>
      <c r="J172" s="165"/>
      <c r="K172" s="165"/>
      <c r="L172" s="165"/>
      <c r="M172" s="165"/>
      <c r="N172" s="165"/>
      <c r="O172" s="165"/>
      <c r="P172" s="165"/>
      <c r="Q172" s="165"/>
      <c r="R172" s="134"/>
      <c r="S172" s="2"/>
    </row>
    <row r="173" spans="1:20" ht="18" customHeight="1">
      <c r="A173" s="164" t="s">
        <v>1311</v>
      </c>
      <c r="B173" s="165"/>
      <c r="C173" s="165"/>
      <c r="D173" s="165"/>
      <c r="E173" s="165"/>
      <c r="F173" s="2"/>
      <c r="G173" s="165" t="str">
        <f>G24</f>
        <v xml:space="preserve">, serial number </v>
      </c>
      <c r="H173" s="165"/>
      <c r="I173" s="165"/>
      <c r="J173" s="165"/>
      <c r="K173" s="165"/>
      <c r="L173" s="165"/>
      <c r="M173" s="165"/>
      <c r="N173" s="165"/>
      <c r="O173" s="165"/>
      <c r="P173" s="165"/>
      <c r="Q173" s="165"/>
      <c r="R173" s="134"/>
      <c r="S173" s="2"/>
    </row>
    <row r="174" spans="1:20" ht="18" customHeight="1">
      <c r="A174" s="165" t="s">
        <v>1327</v>
      </c>
      <c r="B174" s="165"/>
      <c r="C174" s="165"/>
      <c r="D174" s="165"/>
      <c r="E174" s="165"/>
      <c r="F174" s="2"/>
      <c r="G174" s="165" t="str">
        <f>Client!B82&amp;" V on the guard electrode"</f>
        <v xml:space="preserve"> V on the guard electrode</v>
      </c>
      <c r="H174" s="165"/>
      <c r="I174" s="165"/>
      <c r="J174" s="165"/>
      <c r="K174" s="165"/>
      <c r="L174" s="165"/>
      <c r="M174" s="165"/>
      <c r="N174" s="165"/>
      <c r="O174" s="165"/>
      <c r="P174" s="165"/>
      <c r="Q174" s="165"/>
      <c r="R174" s="134"/>
      <c r="S174" s="2"/>
    </row>
    <row r="175" spans="1:20" ht="18" customHeight="1">
      <c r="A175" s="165" t="s">
        <v>373</v>
      </c>
      <c r="B175" s="165"/>
      <c r="C175" s="165"/>
      <c r="D175" s="165"/>
      <c r="E175" s="165"/>
      <c r="F175" s="2"/>
      <c r="G175" s="165" t="str">
        <f xml:space="preserve"> Client!BI13</f>
        <v>Positive (Central Electrode Negative)</v>
      </c>
      <c r="H175" s="165"/>
      <c r="I175" s="165"/>
      <c r="J175" s="165"/>
      <c r="K175" s="165"/>
      <c r="L175" s="165"/>
      <c r="M175" s="165"/>
      <c r="N175" s="165"/>
      <c r="O175" s="165"/>
      <c r="P175" s="165"/>
      <c r="Q175" s="165"/>
      <c r="R175" s="134"/>
      <c r="S175" s="2"/>
    </row>
    <row r="176" spans="1:20" ht="18" customHeight="1">
      <c r="A176" s="165" t="s">
        <v>332</v>
      </c>
      <c r="B176" s="165"/>
      <c r="C176" s="165"/>
      <c r="D176" s="165"/>
      <c r="E176" s="165"/>
      <c r="F176" s="2"/>
      <c r="G176" s="165" t="e">
        <f ca="1" xml:space="preserve"> Client!BI8</f>
        <v>#N/A</v>
      </c>
      <c r="H176" s="165"/>
      <c r="I176" s="165"/>
      <c r="J176" s="165"/>
      <c r="K176" s="165"/>
      <c r="L176" s="165"/>
      <c r="M176" s="165"/>
      <c r="N176" s="165"/>
      <c r="O176" s="165"/>
      <c r="P176" s="165"/>
      <c r="Q176" s="165"/>
      <c r="R176" s="134"/>
      <c r="S176" s="2"/>
    </row>
    <row r="177" spans="1:20" ht="18" customHeight="1">
      <c r="A177" s="165" t="s">
        <v>374</v>
      </c>
      <c r="B177" s="165"/>
      <c r="C177" s="165"/>
      <c r="D177" s="165"/>
      <c r="E177" s="165"/>
      <c r="F177" s="2"/>
      <c r="G177" s="165" t="s">
        <v>786</v>
      </c>
      <c r="H177" s="165"/>
      <c r="I177" s="165"/>
      <c r="J177" s="165"/>
      <c r="K177" s="165"/>
      <c r="L177" s="165"/>
      <c r="M177" s="165"/>
      <c r="N177" s="165"/>
      <c r="O177" s="165"/>
      <c r="P177" s="165"/>
      <c r="Q177" s="165"/>
      <c r="R177" s="134"/>
      <c r="S177" s="2"/>
    </row>
    <row r="178" spans="1:20" ht="18" customHeight="1">
      <c r="A178" s="165"/>
      <c r="B178" s="165"/>
      <c r="C178" s="165"/>
      <c r="D178" s="165"/>
      <c r="E178" s="165"/>
      <c r="F178" s="2"/>
      <c r="G178" s="165" t="s">
        <v>757</v>
      </c>
      <c r="H178" s="165"/>
      <c r="I178" s="165"/>
      <c r="J178" s="165"/>
      <c r="K178" s="165"/>
      <c r="L178" s="165"/>
      <c r="M178" s="165"/>
      <c r="N178" s="165"/>
      <c r="O178" s="165"/>
      <c r="P178" s="165"/>
      <c r="Q178" s="165"/>
      <c r="R178" s="134"/>
      <c r="S178" s="2"/>
    </row>
    <row r="179" spans="1:20" ht="18" customHeight="1">
      <c r="A179" s="165"/>
      <c r="B179" s="165"/>
      <c r="C179" s="165"/>
      <c r="D179" s="165"/>
      <c r="E179" s="165"/>
      <c r="F179" s="2"/>
      <c r="G179" s="165" t="s">
        <v>1299</v>
      </c>
      <c r="H179" s="165"/>
      <c r="I179" s="165"/>
      <c r="J179" s="165"/>
      <c r="K179" s="165"/>
      <c r="L179" s="165"/>
      <c r="M179" s="165"/>
      <c r="N179" s="165"/>
      <c r="O179" s="165"/>
      <c r="P179" s="165"/>
      <c r="Q179" s="165"/>
      <c r="R179" s="134"/>
      <c r="S179" s="2"/>
    </row>
    <row r="180" spans="1:20" ht="18" customHeight="1">
      <c r="A180" s="165"/>
      <c r="B180" s="165"/>
      <c r="C180" s="165"/>
      <c r="D180" s="165"/>
      <c r="E180" s="165"/>
      <c r="F180" s="2"/>
      <c r="G180" s="165" t="s">
        <v>787</v>
      </c>
      <c r="H180" s="165"/>
      <c r="I180" s="165"/>
      <c r="J180" s="165"/>
      <c r="K180" s="165"/>
      <c r="L180" s="165"/>
      <c r="M180" s="165"/>
      <c r="N180" s="165"/>
      <c r="O180" s="165"/>
      <c r="P180" s="165"/>
      <c r="Q180" s="165"/>
      <c r="R180" s="134"/>
      <c r="S180" s="2"/>
    </row>
    <row r="181" spans="1:20" ht="18.75" customHeight="1">
      <c r="A181" s="165"/>
      <c r="B181" s="165"/>
      <c r="C181" s="165"/>
      <c r="D181" s="165"/>
      <c r="E181" s="165"/>
      <c r="F181" s="2"/>
      <c r="G181" s="711" t="s">
        <v>993</v>
      </c>
      <c r="H181" s="165"/>
      <c r="I181" s="165"/>
      <c r="J181" s="165"/>
      <c r="K181" s="165"/>
      <c r="L181" s="165"/>
      <c r="M181" s="165"/>
      <c r="N181" s="165"/>
      <c r="O181" s="165"/>
      <c r="P181" s="165"/>
      <c r="Q181" s="165"/>
      <c r="R181" s="134"/>
      <c r="S181" s="2"/>
    </row>
    <row r="182" spans="1:20" ht="18.75" customHeight="1">
      <c r="A182" s="165" t="s">
        <v>789</v>
      </c>
      <c r="B182" s="165"/>
      <c r="C182" s="165"/>
      <c r="D182" s="165"/>
      <c r="E182" s="165"/>
      <c r="F182" s="2"/>
      <c r="G182" s="165" t="s">
        <v>1356</v>
      </c>
      <c r="H182" s="165"/>
      <c r="I182" s="165"/>
      <c r="J182" s="165"/>
      <c r="K182" s="165"/>
      <c r="L182" s="165"/>
      <c r="M182" s="165"/>
      <c r="N182" s="165"/>
      <c r="O182" s="165"/>
      <c r="P182" s="165"/>
      <c r="Q182" s="165"/>
      <c r="R182" s="134"/>
      <c r="S182" s="2"/>
    </row>
    <row r="183" spans="1:20" ht="19.5" customHeight="1">
      <c r="A183" s="165" t="s">
        <v>1023</v>
      </c>
      <c r="B183" s="165"/>
      <c r="C183" s="165"/>
      <c r="D183" s="165"/>
      <c r="E183" s="165"/>
      <c r="F183" s="2"/>
      <c r="G183" s="1460" t="s">
        <v>1463</v>
      </c>
      <c r="H183" s="1461"/>
      <c r="I183" s="1461"/>
      <c r="J183" s="1461"/>
      <c r="K183" s="1461"/>
      <c r="L183" s="1461"/>
      <c r="M183" s="1461"/>
      <c r="N183" s="1461"/>
      <c r="O183" s="1461"/>
      <c r="P183" s="1461"/>
      <c r="Q183" s="1461"/>
      <c r="R183" s="1461"/>
      <c r="S183" s="1461"/>
      <c r="T183" s="1461"/>
    </row>
    <row r="184" spans="1:20" ht="18" customHeight="1">
      <c r="A184" s="165" t="s">
        <v>382</v>
      </c>
      <c r="B184" s="167"/>
      <c r="C184" s="165"/>
      <c r="D184" s="165"/>
      <c r="E184" s="165"/>
      <c r="F184" s="2"/>
      <c r="G184" s="165" t="s">
        <v>760</v>
      </c>
      <c r="H184" s="165"/>
      <c r="I184" s="165"/>
      <c r="J184" s="165"/>
      <c r="K184" s="165"/>
      <c r="L184" s="165"/>
      <c r="M184" s="165"/>
      <c r="N184" s="165"/>
      <c r="O184" s="165"/>
      <c r="P184" s="165"/>
      <c r="Q184" s="165"/>
      <c r="R184" s="134"/>
      <c r="S184" s="2"/>
    </row>
    <row r="185" spans="1:20" ht="18" customHeight="1">
      <c r="A185" s="165" t="s">
        <v>384</v>
      </c>
      <c r="B185" s="167"/>
      <c r="C185" s="165"/>
      <c r="D185" s="165"/>
      <c r="E185" s="165"/>
      <c r="F185" s="2"/>
      <c r="G185" s="165" t="s">
        <v>385</v>
      </c>
      <c r="H185" s="165"/>
      <c r="I185" s="165"/>
      <c r="J185" s="165"/>
      <c r="K185" s="165"/>
      <c r="L185" s="165"/>
      <c r="M185" s="165"/>
      <c r="N185" s="165"/>
      <c r="O185" s="165"/>
      <c r="P185" s="165"/>
      <c r="Q185" s="165"/>
      <c r="R185" s="134"/>
      <c r="S185" s="2"/>
    </row>
    <row r="186" spans="1:20" ht="18" customHeight="1">
      <c r="A186" s="382" t="s">
        <v>1459</v>
      </c>
      <c r="B186" s="167"/>
      <c r="C186" s="165"/>
      <c r="D186" s="165"/>
      <c r="E186" s="165"/>
      <c r="F186" s="2"/>
      <c r="G186" s="165" t="str">
        <f>G26</f>
        <v>0</v>
      </c>
      <c r="H186" s="165"/>
      <c r="I186" s="165"/>
      <c r="J186" s="165"/>
      <c r="K186" s="165"/>
      <c r="L186" s="165"/>
      <c r="M186" s="165"/>
      <c r="N186" s="165"/>
      <c r="O186" s="165"/>
      <c r="P186" s="165"/>
      <c r="Q186" s="165"/>
      <c r="R186" s="134"/>
      <c r="S186" s="2"/>
    </row>
    <row r="187" spans="1:20" ht="18" customHeight="1">
      <c r="A187" s="165"/>
      <c r="B187" s="167"/>
      <c r="C187" s="165"/>
      <c r="D187" s="165"/>
      <c r="E187" s="165"/>
      <c r="F187" s="2"/>
      <c r="G187" s="166"/>
      <c r="H187" s="165"/>
      <c r="I187" s="165"/>
      <c r="J187" s="165"/>
      <c r="K187" s="165"/>
      <c r="L187" s="165"/>
      <c r="M187" s="165"/>
      <c r="N187" s="165"/>
      <c r="O187" s="165"/>
      <c r="P187" s="165"/>
      <c r="Q187" s="165"/>
      <c r="R187" s="134"/>
      <c r="S187" s="2"/>
    </row>
    <row r="188" spans="1:20" ht="18" customHeight="1">
      <c r="A188" s="163" t="s">
        <v>387</v>
      </c>
      <c r="B188" s="162"/>
      <c r="C188" s="91"/>
      <c r="D188" s="91"/>
      <c r="E188" s="91"/>
      <c r="F188" s="91"/>
      <c r="G188" s="91"/>
      <c r="H188" s="91"/>
      <c r="I188" s="91"/>
      <c r="J188" s="91"/>
      <c r="K188" s="91"/>
      <c r="L188" s="91"/>
      <c r="M188" s="91"/>
      <c r="N188" s="91"/>
      <c r="O188" s="91"/>
      <c r="P188" s="91"/>
      <c r="Q188" s="91"/>
      <c r="R188" s="97"/>
    </row>
    <row r="189" spans="1:20" ht="18" customHeight="1">
      <c r="A189" s="163"/>
      <c r="B189" s="162"/>
      <c r="C189" s="91"/>
      <c r="D189" s="91"/>
      <c r="E189" s="91"/>
      <c r="F189" s="91"/>
      <c r="G189" s="91"/>
      <c r="H189" s="91"/>
      <c r="I189" s="91"/>
      <c r="J189" s="91"/>
      <c r="K189" s="91"/>
      <c r="L189" s="91"/>
      <c r="M189" s="91"/>
      <c r="N189" s="91"/>
      <c r="O189" s="91"/>
      <c r="P189" s="91"/>
      <c r="Q189" s="91"/>
      <c r="R189" s="97"/>
    </row>
    <row r="190" spans="1:20" ht="15">
      <c r="A190" s="91"/>
      <c r="B190" s="91"/>
      <c r="C190" s="91"/>
      <c r="D190" s="91"/>
      <c r="E190" s="91"/>
      <c r="F190" s="91"/>
      <c r="G190" s="91"/>
      <c r="H190" s="91"/>
      <c r="I190" s="91"/>
      <c r="J190" s="91"/>
      <c r="K190" s="91"/>
      <c r="L190" s="91"/>
      <c r="M190" s="91"/>
      <c r="N190" s="91"/>
      <c r="O190" s="91"/>
      <c r="P190" s="91"/>
      <c r="Q190" s="91"/>
      <c r="R190" s="97"/>
    </row>
    <row r="191" spans="1:20" ht="15">
      <c r="C191" s="1468" t="s">
        <v>994</v>
      </c>
      <c r="D191" s="1468"/>
      <c r="E191" s="1468"/>
      <c r="F191" s="1468"/>
      <c r="G191" s="1468"/>
      <c r="H191" s="1468"/>
      <c r="I191" s="1468"/>
      <c r="J191" s="1468"/>
      <c r="K191" s="1468"/>
      <c r="L191" s="1468"/>
      <c r="M191" s="1468"/>
      <c r="N191" s="1468"/>
      <c r="O191" s="1468"/>
      <c r="P191" s="1468"/>
      <c r="Q191" s="1468"/>
      <c r="R191" s="1468"/>
    </row>
    <row r="192" spans="1:20" ht="96" customHeight="1">
      <c r="C192" s="1462" t="s">
        <v>763</v>
      </c>
      <c r="D192" s="1463"/>
      <c r="E192" s="1463"/>
      <c r="F192" s="1464"/>
      <c r="G192" s="1462" t="s">
        <v>1285</v>
      </c>
      <c r="H192" s="1463"/>
      <c r="I192" s="1463"/>
      <c r="J192" s="1464"/>
      <c r="K192" s="1462" t="s">
        <v>1286</v>
      </c>
      <c r="L192" s="1463"/>
      <c r="M192" s="1463"/>
      <c r="N192" s="1464"/>
      <c r="O192" s="1462" t="s">
        <v>1267</v>
      </c>
      <c r="P192" s="1463"/>
      <c r="Q192" s="1463"/>
      <c r="R192" s="1464"/>
    </row>
    <row r="193" spans="1:20" ht="22.5" customHeight="1">
      <c r="C193" s="1348"/>
      <c r="D193" s="1407"/>
      <c r="E193" s="1407"/>
      <c r="F193" s="1349"/>
      <c r="G193" s="1348" t="s">
        <v>1284</v>
      </c>
      <c r="H193" s="1407"/>
      <c r="I193" s="1407"/>
      <c r="J193" s="1349"/>
      <c r="K193" s="1348" t="s">
        <v>7</v>
      </c>
      <c r="L193" s="1407"/>
      <c r="M193" s="1407"/>
      <c r="N193" s="1349"/>
      <c r="O193" s="1348" t="s">
        <v>140</v>
      </c>
      <c r="P193" s="1407"/>
      <c r="Q193" s="1407"/>
      <c r="R193" s="1349"/>
    </row>
    <row r="194" spans="1:20" ht="38.25" customHeight="1">
      <c r="C194" s="1183" t="s">
        <v>1350</v>
      </c>
      <c r="D194" s="1184"/>
      <c r="E194" s="1184"/>
      <c r="F194" s="1185"/>
      <c r="G194" s="1183" t="s">
        <v>1347</v>
      </c>
      <c r="H194" s="1184"/>
      <c r="I194" s="1184"/>
      <c r="J194" s="1185"/>
      <c r="K194" s="1418" t="e">
        <f>'MV-E'!J15</f>
        <v>#DIV/0!</v>
      </c>
      <c r="L194" s="1419"/>
      <c r="M194" s="1419"/>
      <c r="N194" s="1420"/>
      <c r="O194" s="1183">
        <v>2.9</v>
      </c>
      <c r="P194" s="1184"/>
      <c r="Q194" s="1184"/>
      <c r="R194" s="1185"/>
    </row>
    <row r="195" spans="1:20" ht="18" customHeight="1">
      <c r="C195" s="369"/>
      <c r="D195" s="364"/>
      <c r="E195" s="364"/>
      <c r="F195" s="364"/>
      <c r="G195" s="364"/>
      <c r="H195" s="364"/>
      <c r="I195" s="364"/>
      <c r="J195" s="364"/>
      <c r="K195" s="365"/>
      <c r="L195" s="364"/>
      <c r="M195" s="364"/>
      <c r="N195" s="364"/>
      <c r="O195" s="364"/>
      <c r="P195" s="364"/>
      <c r="Q195" s="364"/>
      <c r="R195" s="364"/>
    </row>
    <row r="196" spans="1:20" ht="18" customHeight="1">
      <c r="C196" s="366"/>
      <c r="D196" s="364"/>
      <c r="E196" s="364"/>
      <c r="F196" s="364"/>
      <c r="G196" s="364"/>
      <c r="H196" s="364"/>
      <c r="I196" s="364"/>
      <c r="J196" s="364"/>
      <c r="K196" s="365"/>
      <c r="L196" s="364"/>
      <c r="M196" s="364"/>
      <c r="N196" s="364"/>
      <c r="O196" s="364"/>
      <c r="P196" s="364"/>
      <c r="Q196" s="364"/>
      <c r="R196" s="364"/>
    </row>
    <row r="197" spans="1:20" ht="18" customHeight="1">
      <c r="C197" s="366"/>
      <c r="D197" s="364"/>
      <c r="E197" s="364"/>
      <c r="F197" s="364"/>
      <c r="G197" s="364"/>
      <c r="H197" s="364"/>
      <c r="I197" s="364"/>
      <c r="J197" s="364"/>
      <c r="K197" s="365"/>
      <c r="L197" s="364"/>
      <c r="M197" s="364"/>
      <c r="N197" s="364"/>
      <c r="O197" s="364"/>
      <c r="P197" s="364"/>
      <c r="Q197" s="364"/>
      <c r="R197" s="364"/>
    </row>
    <row r="198" spans="1:20" ht="18" customHeight="1">
      <c r="C198" s="366"/>
      <c r="D198" s="364"/>
      <c r="E198" s="364"/>
      <c r="F198" s="364"/>
      <c r="G198" s="364"/>
      <c r="H198" s="364"/>
      <c r="I198" s="364"/>
      <c r="J198" s="364"/>
      <c r="K198" s="365"/>
      <c r="L198" s="364"/>
      <c r="M198" s="364"/>
      <c r="N198" s="364"/>
      <c r="O198" s="364"/>
      <c r="P198" s="364"/>
      <c r="Q198" s="364"/>
      <c r="R198" s="364"/>
    </row>
    <row r="199" spans="1:20" ht="18" customHeight="1">
      <c r="C199" s="366"/>
      <c r="D199" s="364"/>
      <c r="E199" s="364"/>
      <c r="F199" s="364"/>
      <c r="G199" s="364"/>
      <c r="H199" s="364"/>
      <c r="I199" s="364"/>
      <c r="J199" s="364"/>
      <c r="K199" s="365"/>
      <c r="L199" s="364"/>
      <c r="M199" s="364"/>
      <c r="N199" s="364"/>
      <c r="O199" s="364"/>
      <c r="P199" s="364"/>
      <c r="Q199" s="364"/>
      <c r="R199" s="364"/>
    </row>
    <row r="200" spans="1:20" ht="9.6" customHeight="1">
      <c r="C200" s="366"/>
      <c r="D200" s="364"/>
      <c r="E200" s="364"/>
      <c r="F200" s="364"/>
      <c r="G200" s="364"/>
      <c r="H200" s="364"/>
      <c r="I200" s="364"/>
      <c r="J200" s="364"/>
      <c r="K200" s="365"/>
      <c r="L200" s="364"/>
      <c r="M200" s="364"/>
      <c r="N200" s="364"/>
      <c r="O200" s="364"/>
      <c r="P200" s="364"/>
      <c r="Q200" s="364"/>
      <c r="R200" s="364"/>
    </row>
    <row r="201" spans="1:20" ht="18" customHeight="1"/>
    <row r="202" spans="1:20" ht="18" customHeight="1">
      <c r="A202" s="91"/>
      <c r="K202" s="91"/>
      <c r="L202" s="467" t="str">
        <f>"Calibrated by "&amp;"       " &amp;Client!B103</f>
        <v xml:space="preserve">Calibrated by        </v>
      </c>
      <c r="M202" s="467"/>
      <c r="N202" s="467"/>
      <c r="O202" s="467"/>
      <c r="P202" s="383"/>
      <c r="Q202" s="467"/>
      <c r="R202" s="117"/>
      <c r="S202" s="48"/>
      <c r="T202" s="48"/>
    </row>
    <row r="203" spans="1:20" ht="15" customHeight="1">
      <c r="A203" s="91"/>
      <c r="B203" s="91"/>
      <c r="C203" s="91"/>
      <c r="D203" s="91"/>
      <c r="E203" s="91"/>
      <c r="F203" s="91"/>
      <c r="G203" s="91"/>
      <c r="H203" s="91"/>
      <c r="I203" s="91"/>
      <c r="J203" s="91"/>
    </row>
    <row r="204" spans="1:20" ht="13.5" customHeight="1">
      <c r="A204" s="91"/>
      <c r="B204" s="91"/>
      <c r="C204" s="91"/>
      <c r="D204" s="91"/>
      <c r="E204" s="91"/>
      <c r="F204" s="91"/>
      <c r="G204" s="91"/>
      <c r="H204" s="91"/>
      <c r="I204" s="91"/>
      <c r="J204" s="91"/>
      <c r="K204" s="91"/>
      <c r="L204" s="91"/>
      <c r="M204" s="91"/>
      <c r="N204" s="91"/>
      <c r="O204" s="91"/>
      <c r="P204" s="91"/>
      <c r="Q204" s="91"/>
      <c r="R204" s="97"/>
    </row>
    <row r="205" spans="1:20">
      <c r="A205" s="420" t="str">
        <f>"Calibration No.: "&amp;$T$12</f>
        <v>Calibration No.: CAL11957/00</v>
      </c>
      <c r="B205" s="421"/>
      <c r="C205" s="421"/>
      <c r="D205" s="421"/>
      <c r="E205" s="421"/>
      <c r="F205" s="421"/>
      <c r="G205" s="421"/>
      <c r="H205" s="421"/>
      <c r="I205" s="422" t="str">
        <f>$G$32</f>
        <v>0</v>
      </c>
      <c r="J205" s="421"/>
      <c r="K205" s="421"/>
      <c r="L205" s="421"/>
      <c r="M205" s="421"/>
      <c r="N205" s="420" t="s">
        <v>360</v>
      </c>
      <c r="O205" s="423"/>
      <c r="P205" s="423"/>
      <c r="Q205" s="423"/>
      <c r="R205" s="423"/>
      <c r="S205" s="423"/>
      <c r="T205" s="423" t="s">
        <v>583</v>
      </c>
    </row>
    <row r="206" spans="1:20" ht="15.75">
      <c r="A206" s="713"/>
      <c r="B206" s="727"/>
      <c r="C206" s="714"/>
      <c r="D206" s="714"/>
      <c r="E206" s="714"/>
      <c r="F206" s="714"/>
      <c r="G206" s="714"/>
      <c r="H206" s="714"/>
      <c r="I206" s="715"/>
      <c r="J206" s="726"/>
      <c r="K206" s="718"/>
      <c r="L206" s="714"/>
      <c r="M206" s="714"/>
      <c r="N206" s="713"/>
      <c r="O206" s="716"/>
      <c r="P206" s="716"/>
      <c r="Q206" s="716"/>
      <c r="R206" s="716"/>
      <c r="S206" s="716"/>
      <c r="T206" s="716"/>
    </row>
    <row r="207" spans="1:20" ht="15.75">
      <c r="A207" s="718"/>
      <c r="B207" s="718"/>
      <c r="C207" s="718"/>
      <c r="D207" s="718"/>
      <c r="E207" s="718"/>
      <c r="F207" s="718"/>
      <c r="G207" s="718"/>
      <c r="H207" s="718"/>
      <c r="I207" s="718"/>
      <c r="J207" s="712"/>
      <c r="K207" s="718"/>
      <c r="L207" s="718"/>
      <c r="M207" s="718"/>
      <c r="N207" s="718"/>
      <c r="O207" s="718"/>
      <c r="P207" s="718"/>
      <c r="Q207" s="718"/>
      <c r="R207" s="718"/>
      <c r="S207" s="709"/>
      <c r="T207" s="709"/>
    </row>
    <row r="208" spans="1:20" ht="15.75">
      <c r="A208" s="1458" t="s">
        <v>558</v>
      </c>
      <c r="B208" s="1458"/>
      <c r="C208" s="1458"/>
      <c r="D208" s="1458"/>
      <c r="E208" s="1458"/>
      <c r="F208" s="1458"/>
      <c r="G208" s="1458"/>
      <c r="H208" s="1458"/>
      <c r="I208" s="1458"/>
      <c r="J208" s="1458"/>
      <c r="K208" s="1458"/>
      <c r="L208" s="1458"/>
      <c r="M208" s="1458"/>
      <c r="N208" s="1458"/>
      <c r="O208" s="1458"/>
      <c r="P208" s="1458"/>
      <c r="Q208" s="1458"/>
      <c r="R208" s="1458"/>
      <c r="S208" s="1458"/>
      <c r="T208" s="1458"/>
    </row>
    <row r="209" spans="1:20" ht="15.75">
      <c r="A209" s="719"/>
      <c r="B209" s="719"/>
      <c r="C209" s="719"/>
      <c r="D209" s="719"/>
      <c r="E209" s="719"/>
      <c r="F209" s="719"/>
      <c r="G209" s="719"/>
      <c r="H209" s="719"/>
      <c r="I209" s="719"/>
      <c r="J209" s="719"/>
      <c r="K209" s="719"/>
      <c r="L209" s="719"/>
      <c r="M209" s="719"/>
      <c r="N209" s="719"/>
      <c r="O209" s="719"/>
      <c r="P209" s="719"/>
      <c r="Q209" s="719"/>
      <c r="R209" s="719"/>
      <c r="S209" s="720"/>
      <c r="T209" s="720"/>
    </row>
    <row r="210" spans="1:20" ht="15.75">
      <c r="A210" s="1458" t="s">
        <v>1047</v>
      </c>
      <c r="B210" s="1458"/>
      <c r="C210" s="1458"/>
      <c r="D210" s="1458"/>
      <c r="E210" s="1458"/>
      <c r="F210" s="1458"/>
      <c r="G210" s="1458"/>
      <c r="H210" s="1458"/>
      <c r="I210" s="1458"/>
      <c r="J210" s="1458"/>
      <c r="K210" s="1458"/>
      <c r="L210" s="1458"/>
      <c r="M210" s="1458"/>
      <c r="N210" s="1458"/>
      <c r="O210" s="1458"/>
      <c r="P210" s="1458"/>
      <c r="Q210" s="1458"/>
      <c r="R210" s="1458"/>
      <c r="S210" s="1458"/>
      <c r="T210" s="1458"/>
    </row>
    <row r="211" spans="1:20" ht="15.75">
      <c r="A211" s="718"/>
      <c r="B211" s="718"/>
      <c r="C211" s="718"/>
      <c r="D211" s="718"/>
      <c r="E211" s="718"/>
      <c r="F211" s="718"/>
      <c r="G211" s="718"/>
      <c r="H211" s="718"/>
      <c r="I211" s="718"/>
      <c r="J211" s="718"/>
      <c r="K211" s="718"/>
      <c r="L211" s="718"/>
      <c r="M211" s="718"/>
      <c r="N211" s="718"/>
      <c r="O211" s="718"/>
      <c r="P211" s="718"/>
      <c r="Q211" s="718"/>
      <c r="R211" s="718"/>
      <c r="S211" s="709"/>
      <c r="T211" s="709"/>
    </row>
    <row r="212" spans="1:20" ht="39" customHeight="1">
      <c r="A212" s="1456" t="s">
        <v>1227</v>
      </c>
      <c r="B212" s="1456"/>
      <c r="C212" s="1456"/>
      <c r="D212" s="1456"/>
      <c r="E212" s="1456"/>
      <c r="F212" s="1456"/>
      <c r="G212" s="1456"/>
      <c r="H212" s="1456"/>
      <c r="I212" s="1456"/>
      <c r="J212" s="1456"/>
      <c r="K212" s="1456"/>
      <c r="L212" s="1456"/>
      <c r="M212" s="1456"/>
      <c r="N212" s="1456"/>
      <c r="O212" s="1456"/>
      <c r="P212" s="1456"/>
      <c r="Q212" s="1456"/>
      <c r="R212" s="1456"/>
      <c r="S212" s="1456"/>
      <c r="T212" s="1456"/>
    </row>
    <row r="213" spans="1:20" ht="15.75">
      <c r="A213" s="718"/>
      <c r="B213" s="718"/>
      <c r="C213" s="718"/>
      <c r="D213" s="718"/>
      <c r="E213" s="718"/>
      <c r="F213" s="718"/>
      <c r="G213" s="718"/>
      <c r="H213" s="718"/>
      <c r="I213" s="718"/>
      <c r="J213" s="718"/>
      <c r="K213" s="718"/>
      <c r="L213" s="718"/>
      <c r="M213" s="718"/>
      <c r="N213" s="718"/>
      <c r="O213" s="718"/>
      <c r="P213" s="718"/>
      <c r="Q213" s="718"/>
      <c r="R213" s="718"/>
      <c r="S213" s="709"/>
      <c r="T213" s="709"/>
    </row>
    <row r="214" spans="1:20" ht="15.75">
      <c r="A214" s="718"/>
      <c r="B214" s="718"/>
      <c r="C214" s="718"/>
      <c r="D214" s="718"/>
      <c r="E214" s="718"/>
      <c r="F214" s="721"/>
      <c r="G214" s="718"/>
      <c r="H214" s="718"/>
      <c r="I214" s="718"/>
      <c r="J214" s="718"/>
      <c r="K214" s="718"/>
      <c r="L214" s="718"/>
      <c r="M214" s="718"/>
      <c r="N214" s="718"/>
      <c r="O214" s="718"/>
      <c r="P214" s="718"/>
      <c r="Q214" s="718"/>
      <c r="R214" s="718"/>
      <c r="S214" s="709"/>
      <c r="T214" s="717" t="s">
        <v>995</v>
      </c>
    </row>
    <row r="215" spans="1:20" ht="15.75">
      <c r="A215" s="718"/>
      <c r="B215" s="718"/>
      <c r="C215" s="718"/>
      <c r="D215" s="718"/>
      <c r="E215" s="718"/>
      <c r="F215" s="712"/>
      <c r="G215" s="718"/>
      <c r="H215" s="718"/>
      <c r="I215" s="712"/>
      <c r="J215" s="718"/>
      <c r="K215" s="718"/>
      <c r="L215" s="718"/>
      <c r="M215" s="718"/>
      <c r="N215" s="718"/>
      <c r="O215" s="718"/>
      <c r="P215" s="718"/>
      <c r="Q215" s="718"/>
      <c r="R215" s="718"/>
      <c r="S215" s="709"/>
      <c r="T215" s="717"/>
    </row>
    <row r="216" spans="1:20" ht="15.75">
      <c r="A216" s="718" t="s">
        <v>560</v>
      </c>
      <c r="B216" s="718"/>
      <c r="C216" s="718"/>
      <c r="D216" s="718"/>
      <c r="E216" s="718"/>
      <c r="F216" s="718"/>
      <c r="G216" s="718"/>
      <c r="H216" s="718"/>
      <c r="I216" s="718"/>
      <c r="J216" s="718"/>
      <c r="K216" s="718"/>
      <c r="L216" s="712"/>
      <c r="M216" s="718"/>
      <c r="N216" s="718"/>
      <c r="O216" s="718"/>
      <c r="P216" s="718"/>
      <c r="Q216" s="718"/>
      <c r="R216" s="718"/>
      <c r="S216" s="709"/>
      <c r="T216" s="709"/>
    </row>
    <row r="217" spans="1:20" ht="33.75" customHeight="1">
      <c r="A217" s="718"/>
      <c r="B217" s="718"/>
      <c r="C217" s="721"/>
      <c r="D217" s="718"/>
      <c r="E217" s="718"/>
      <c r="F217" s="1445" t="s">
        <v>996</v>
      </c>
      <c r="G217" s="1445"/>
      <c r="H217" s="1445"/>
      <c r="I217" s="1445"/>
      <c r="J217" s="1445"/>
      <c r="K217" s="1445"/>
      <c r="L217" s="1445"/>
      <c r="M217" s="1445"/>
      <c r="N217" s="1445"/>
      <c r="O217" s="1445"/>
      <c r="P217" s="1445"/>
      <c r="Q217" s="1445"/>
      <c r="R217" s="1445"/>
      <c r="S217" s="1445"/>
      <c r="T217" s="1445"/>
    </row>
    <row r="218" spans="1:20" ht="18.75" customHeight="1">
      <c r="A218" s="718"/>
      <c r="B218" s="718"/>
      <c r="C218" s="724"/>
      <c r="D218" s="718"/>
      <c r="E218" s="718"/>
      <c r="F218" s="1459" t="s">
        <v>997</v>
      </c>
      <c r="G218" s="1459"/>
      <c r="H218" s="1459"/>
      <c r="I218" s="1459"/>
      <c r="J218" s="1459"/>
      <c r="K218" s="1459"/>
      <c r="L218" s="1459"/>
      <c r="M218" s="1459"/>
      <c r="N218" s="1459"/>
      <c r="O218" s="1459"/>
      <c r="P218" s="1459"/>
      <c r="Q218" s="1459"/>
      <c r="R218" s="1459"/>
      <c r="S218" s="1459"/>
      <c r="T218" s="1459"/>
    </row>
    <row r="219" spans="1:20" ht="33.75" customHeight="1">
      <c r="A219" s="718"/>
      <c r="B219" s="718"/>
      <c r="C219" s="722"/>
      <c r="D219" s="718"/>
      <c r="E219" s="718"/>
      <c r="F219" s="1457" t="s">
        <v>778</v>
      </c>
      <c r="G219" s="1457"/>
      <c r="H219" s="1457"/>
      <c r="I219" s="1457"/>
      <c r="J219" s="1457"/>
      <c r="K219" s="1457"/>
      <c r="L219" s="1457"/>
      <c r="M219" s="1457"/>
      <c r="N219" s="1457"/>
      <c r="O219" s="1457"/>
      <c r="P219" s="1457"/>
      <c r="Q219" s="1457"/>
      <c r="R219" s="1457"/>
      <c r="S219" s="1457"/>
      <c r="T219" s="1457"/>
    </row>
    <row r="220" spans="1:20" ht="33.75" customHeight="1">
      <c r="A220" s="718"/>
      <c r="B220" s="718"/>
      <c r="C220" s="722"/>
      <c r="D220" s="718"/>
      <c r="E220" s="718"/>
      <c r="F220" s="1445" t="s">
        <v>905</v>
      </c>
      <c r="G220" s="1445"/>
      <c r="H220" s="1445"/>
      <c r="I220" s="1445"/>
      <c r="J220" s="1445"/>
      <c r="K220" s="1445"/>
      <c r="L220" s="1445"/>
      <c r="M220" s="1445"/>
      <c r="N220" s="1445"/>
      <c r="O220" s="1445"/>
      <c r="P220" s="1445"/>
      <c r="Q220" s="1445"/>
      <c r="R220" s="1445"/>
      <c r="S220" s="1445"/>
      <c r="T220" s="1445"/>
    </row>
    <row r="221" spans="1:20" ht="24" customHeight="1">
      <c r="A221" s="718"/>
      <c r="B221" s="718"/>
      <c r="C221" s="725"/>
      <c r="D221" s="718"/>
      <c r="E221" s="718"/>
      <c r="F221" s="1457" t="s">
        <v>575</v>
      </c>
      <c r="G221" s="1457"/>
      <c r="H221" s="1457"/>
      <c r="I221" s="1457"/>
      <c r="J221" s="1457"/>
      <c r="K221" s="1457"/>
      <c r="L221" s="1457"/>
      <c r="M221" s="1457"/>
      <c r="N221" s="1457"/>
      <c r="O221" s="1457"/>
      <c r="P221" s="1457"/>
      <c r="Q221" s="1457"/>
      <c r="R221" s="1457"/>
      <c r="S221" s="1457"/>
      <c r="T221" s="1457"/>
    </row>
    <row r="222" spans="1:20" ht="33.75" customHeight="1">
      <c r="A222" s="718"/>
      <c r="B222" s="718"/>
      <c r="C222" s="725"/>
      <c r="D222" s="718"/>
      <c r="E222" s="718"/>
      <c r="F222" s="1457" t="s">
        <v>998</v>
      </c>
      <c r="G222" s="1457"/>
      <c r="H222" s="1457"/>
      <c r="I222" s="1457"/>
      <c r="J222" s="1457"/>
      <c r="K222" s="1457"/>
      <c r="L222" s="1457"/>
      <c r="M222" s="1457"/>
      <c r="N222" s="1457"/>
      <c r="O222" s="1457"/>
      <c r="P222" s="1457"/>
      <c r="Q222" s="1457"/>
      <c r="R222" s="1457"/>
      <c r="S222" s="1457"/>
      <c r="T222" s="1457"/>
    </row>
    <row r="223" spans="1:20" ht="33.75" customHeight="1">
      <c r="A223" s="718"/>
      <c r="B223" s="718"/>
      <c r="C223" s="725"/>
      <c r="D223" s="718"/>
      <c r="E223" s="718"/>
      <c r="F223" s="1457" t="s">
        <v>999</v>
      </c>
      <c r="G223" s="1457"/>
      <c r="H223" s="1457"/>
      <c r="I223" s="1457"/>
      <c r="J223" s="1457"/>
      <c r="K223" s="1457"/>
      <c r="L223" s="1457"/>
      <c r="M223" s="1457"/>
      <c r="N223" s="1457"/>
      <c r="O223" s="1457"/>
      <c r="P223" s="1457"/>
      <c r="Q223" s="1457"/>
      <c r="R223" s="1457"/>
      <c r="S223" s="1457"/>
      <c r="T223" s="1457"/>
    </row>
    <row r="224" spans="1:20" ht="70.5" customHeight="1">
      <c r="A224" s="718"/>
      <c r="B224" s="718"/>
      <c r="C224" s="722"/>
      <c r="D224" s="718"/>
      <c r="E224" s="718"/>
      <c r="F224" s="1457" t="s">
        <v>1000</v>
      </c>
      <c r="G224" s="1457"/>
      <c r="H224" s="1457"/>
      <c r="I224" s="1457"/>
      <c r="J224" s="1457"/>
      <c r="K224" s="1457"/>
      <c r="L224" s="1457"/>
      <c r="M224" s="1457"/>
      <c r="N224" s="1457"/>
      <c r="O224" s="1457"/>
      <c r="P224" s="1457"/>
      <c r="Q224" s="1457"/>
      <c r="R224" s="1457"/>
      <c r="S224" s="1457"/>
      <c r="T224" s="1457"/>
    </row>
    <row r="225" spans="1:20" ht="54.75" customHeight="1">
      <c r="A225" s="718"/>
      <c r="B225" s="718"/>
      <c r="C225" s="722"/>
      <c r="D225" s="718"/>
      <c r="E225" s="718"/>
      <c r="F225" s="1445" t="s">
        <v>1351</v>
      </c>
      <c r="G225" s="1445"/>
      <c r="H225" s="1445"/>
      <c r="I225" s="1445"/>
      <c r="J225" s="1445"/>
      <c r="K225" s="1445"/>
      <c r="L225" s="1445"/>
      <c r="M225" s="1445"/>
      <c r="N225" s="1445"/>
      <c r="O225" s="1445"/>
      <c r="P225" s="1445"/>
      <c r="Q225" s="1445"/>
      <c r="R225" s="1445"/>
      <c r="S225" s="1445"/>
      <c r="T225" s="1445"/>
    </row>
    <row r="226" spans="1:20" ht="34.5" customHeight="1">
      <c r="A226" s="718"/>
      <c r="B226" s="718"/>
      <c r="C226" s="725"/>
      <c r="D226" s="718"/>
      <c r="E226" s="712"/>
      <c r="F226" s="1457" t="s">
        <v>1001</v>
      </c>
      <c r="G226" s="1457"/>
      <c r="H226" s="1457"/>
      <c r="I226" s="1457"/>
      <c r="J226" s="1457"/>
      <c r="K226" s="1457"/>
      <c r="L226" s="1457"/>
      <c r="M226" s="1457"/>
      <c r="N226" s="1457"/>
      <c r="O226" s="1457"/>
      <c r="P226" s="1457"/>
      <c r="Q226" s="1457"/>
      <c r="R226" s="1457"/>
      <c r="S226" s="1457"/>
      <c r="T226" s="1457"/>
    </row>
    <row r="227" spans="1:20" ht="15.75" customHeight="1">
      <c r="A227" s="718"/>
      <c r="B227" s="718"/>
      <c r="C227" s="718"/>
      <c r="D227" s="718"/>
      <c r="E227" s="718"/>
      <c r="F227" s="718"/>
      <c r="G227" s="718"/>
      <c r="H227" s="718"/>
      <c r="I227" s="718"/>
      <c r="J227" s="718"/>
      <c r="K227" s="718"/>
      <c r="L227" s="718"/>
      <c r="M227" s="718"/>
      <c r="N227" s="718"/>
      <c r="O227" s="718"/>
      <c r="P227" s="718"/>
      <c r="Q227" s="718"/>
      <c r="R227" s="718"/>
      <c r="S227" s="709"/>
      <c r="T227" s="709"/>
    </row>
    <row r="228" spans="1:20" ht="15.75">
      <c r="A228" s="723" t="s">
        <v>753</v>
      </c>
      <c r="B228" s="727"/>
      <c r="C228" s="727"/>
      <c r="D228" s="727"/>
      <c r="E228" s="727"/>
      <c r="F228" s="727"/>
      <c r="G228" s="727" t="s">
        <v>560</v>
      </c>
      <c r="H228" s="727"/>
      <c r="I228" s="712"/>
      <c r="J228" s="727"/>
      <c r="K228" s="727" t="s">
        <v>790</v>
      </c>
      <c r="L228" s="712"/>
      <c r="M228" s="727"/>
      <c r="N228" s="727"/>
      <c r="O228" s="727" t="s">
        <v>1002</v>
      </c>
      <c r="P228" s="727"/>
      <c r="Q228" s="727"/>
      <c r="R228" s="712"/>
      <c r="S228" s="727"/>
      <c r="T228" s="727"/>
    </row>
    <row r="229" spans="1:20" ht="14.25" customHeight="1">
      <c r="A229" s="723"/>
      <c r="B229" s="727"/>
      <c r="C229" s="727"/>
      <c r="D229" s="727"/>
      <c r="E229" s="727"/>
      <c r="F229" s="727"/>
      <c r="G229" s="727"/>
      <c r="H229" s="727"/>
      <c r="I229" s="712"/>
      <c r="J229" s="727"/>
      <c r="K229" s="727"/>
      <c r="L229" s="727"/>
      <c r="M229" s="727"/>
      <c r="N229" s="727"/>
      <c r="O229" s="727"/>
      <c r="P229" s="727"/>
      <c r="Q229" s="727"/>
      <c r="R229" s="727"/>
      <c r="S229" s="727"/>
      <c r="T229" s="727"/>
    </row>
    <row r="230" spans="1:20" ht="26.25" customHeight="1">
      <c r="A230" s="728"/>
      <c r="B230" s="1465" t="s">
        <v>1352</v>
      </c>
      <c r="C230" s="1465"/>
      <c r="D230" s="1465"/>
      <c r="E230" s="1465"/>
      <c r="F230" s="1465"/>
      <c r="G230" s="1465"/>
      <c r="H230" s="1465"/>
      <c r="I230" s="1465"/>
      <c r="J230" s="1465"/>
      <c r="K230" s="1465"/>
      <c r="L230" s="1465"/>
      <c r="M230" s="1465"/>
      <c r="N230" s="1465"/>
      <c r="O230" s="1465"/>
      <c r="P230" s="1465"/>
      <c r="Q230" s="1465"/>
      <c r="R230" s="1465"/>
      <c r="S230" s="1465"/>
      <c r="T230" s="1465"/>
    </row>
    <row r="231" spans="1:20" ht="20.25">
      <c r="A231" s="718"/>
      <c r="B231" s="718" t="s">
        <v>1353</v>
      </c>
      <c r="C231" s="718"/>
      <c r="D231" s="718"/>
      <c r="E231" s="718"/>
      <c r="F231" s="718"/>
      <c r="H231" s="718"/>
      <c r="I231" s="718"/>
      <c r="J231" s="718"/>
      <c r="K231" s="1"/>
      <c r="L231" s="777" t="s">
        <v>1354</v>
      </c>
      <c r="M231" s="718"/>
      <c r="N231" s="718"/>
      <c r="O231" s="718"/>
      <c r="P231" s="718"/>
      <c r="Q231" s="718"/>
      <c r="R231" s="718"/>
      <c r="S231" s="709"/>
      <c r="T231" s="709"/>
    </row>
    <row r="232" spans="1:20" ht="15.75">
      <c r="A232" s="718"/>
      <c r="B232" s="718"/>
      <c r="C232" s="718"/>
      <c r="D232" s="718"/>
      <c r="E232" s="718"/>
      <c r="F232" s="718"/>
      <c r="G232" s="718"/>
      <c r="H232" s="718"/>
      <c r="I232" s="718"/>
      <c r="J232" s="718"/>
      <c r="K232" s="718"/>
      <c r="L232" s="718"/>
      <c r="M232" s="718"/>
      <c r="N232" s="718"/>
      <c r="O232" s="718"/>
      <c r="P232" s="718"/>
      <c r="Q232" s="718"/>
      <c r="R232" s="718"/>
      <c r="S232" s="709"/>
      <c r="T232" s="709"/>
    </row>
    <row r="233" spans="1:20" ht="15.75">
      <c r="A233" s="718"/>
      <c r="B233" s="718"/>
      <c r="C233" s="718"/>
      <c r="D233" s="718"/>
      <c r="E233" s="718"/>
      <c r="F233" s="718"/>
      <c r="G233" s="718"/>
      <c r="H233" s="718"/>
      <c r="I233" s="718"/>
      <c r="J233" s="718"/>
      <c r="K233" s="718"/>
      <c r="L233" s="718"/>
      <c r="M233" s="718"/>
      <c r="N233" s="718"/>
      <c r="O233" s="718"/>
      <c r="P233" s="718"/>
      <c r="Q233" s="718"/>
      <c r="R233" s="718"/>
      <c r="S233" s="709"/>
      <c r="T233" s="709"/>
    </row>
    <row r="234" spans="1:20" ht="15.75">
      <c r="A234" s="718"/>
      <c r="B234" s="718"/>
      <c r="C234" s="718"/>
      <c r="D234" s="718"/>
      <c r="E234" s="718"/>
      <c r="F234" s="718"/>
      <c r="G234" s="718"/>
      <c r="H234" s="718"/>
      <c r="I234" s="718"/>
      <c r="J234" s="718"/>
      <c r="K234" s="718"/>
      <c r="L234" s="718"/>
      <c r="M234" s="718"/>
      <c r="N234" s="718"/>
      <c r="O234" s="718"/>
      <c r="Q234" s="718"/>
      <c r="R234" s="718"/>
      <c r="S234" s="709"/>
      <c r="T234" s="709"/>
    </row>
    <row r="235" spans="1:20" ht="15.75">
      <c r="A235" s="718"/>
      <c r="B235" s="718"/>
      <c r="C235" s="718"/>
      <c r="D235" s="718"/>
      <c r="E235" s="718"/>
      <c r="F235" s="718"/>
      <c r="G235" s="718"/>
      <c r="H235" s="718"/>
      <c r="I235" s="718"/>
      <c r="J235" s="718"/>
      <c r="K235" s="718"/>
      <c r="L235" s="718"/>
      <c r="M235" s="718"/>
      <c r="N235" s="718"/>
      <c r="O235" s="718"/>
      <c r="P235" s="718"/>
      <c r="Q235" s="718"/>
      <c r="R235" s="718"/>
      <c r="S235" s="709"/>
      <c r="T235" s="709"/>
    </row>
    <row r="236" spans="1:20" ht="15.75">
      <c r="A236" s="718"/>
      <c r="B236" s="718"/>
      <c r="C236" s="718"/>
      <c r="D236" s="718"/>
      <c r="E236" s="718"/>
      <c r="F236" s="718"/>
      <c r="G236" s="718"/>
      <c r="H236" s="718"/>
      <c r="I236" s="718"/>
      <c r="J236" s="718"/>
      <c r="K236" s="718"/>
      <c r="L236" s="718"/>
      <c r="M236" s="718"/>
      <c r="N236" s="718"/>
      <c r="O236" s="718"/>
      <c r="P236" s="718"/>
      <c r="Q236" s="718"/>
      <c r="R236" s="718"/>
      <c r="S236" s="709"/>
      <c r="T236" s="709"/>
    </row>
    <row r="237" spans="1:20" ht="18.600000000000001" customHeight="1">
      <c r="A237" s="718"/>
      <c r="B237" s="718"/>
      <c r="C237" s="718"/>
      <c r="D237" s="718"/>
      <c r="E237" s="718"/>
      <c r="F237" s="718"/>
      <c r="G237" s="718"/>
      <c r="H237" s="718"/>
      <c r="I237" s="718"/>
      <c r="J237" s="718"/>
      <c r="K237" s="718"/>
      <c r="L237" s="718"/>
      <c r="M237" s="718"/>
      <c r="N237" s="718"/>
      <c r="O237" s="718"/>
      <c r="P237" s="718"/>
      <c r="Q237" s="718"/>
      <c r="R237" s="718"/>
      <c r="S237" s="709"/>
      <c r="T237" s="709"/>
    </row>
    <row r="238" spans="1:20" ht="15.75">
      <c r="A238" s="197"/>
      <c r="B238" s="197"/>
      <c r="C238" s="197"/>
      <c r="D238" s="197"/>
      <c r="E238" s="197"/>
      <c r="F238" s="197"/>
      <c r="G238" s="197"/>
      <c r="H238" s="197"/>
      <c r="I238" s="197"/>
      <c r="J238" s="197"/>
      <c r="K238" s="197"/>
      <c r="L238" s="197"/>
      <c r="M238" s="197"/>
      <c r="N238" s="197"/>
      <c r="O238" s="197"/>
      <c r="P238" s="197"/>
      <c r="Q238" s="197"/>
      <c r="R238" s="197"/>
      <c r="S238" s="158"/>
      <c r="T238" s="158"/>
    </row>
    <row r="239" spans="1:20" ht="15.75">
      <c r="A239" s="197"/>
      <c r="B239" s="197"/>
      <c r="C239" s="197"/>
      <c r="D239" s="197"/>
      <c r="E239" s="197"/>
      <c r="F239" s="197"/>
      <c r="G239" s="197"/>
      <c r="H239" s="197"/>
      <c r="I239" s="197"/>
      <c r="J239" s="197"/>
      <c r="K239" s="197"/>
      <c r="L239" s="197"/>
      <c r="M239" s="197"/>
      <c r="N239" s="197"/>
      <c r="O239" s="197"/>
      <c r="P239" s="197"/>
      <c r="Q239" s="197"/>
      <c r="R239" s="197"/>
      <c r="S239" s="158"/>
      <c r="T239" s="158"/>
    </row>
    <row r="240" spans="1:20">
      <c r="A240" s="420" t="str">
        <f>"Calibration No.: "&amp;$T$12</f>
        <v>Calibration No.: CAL11957/00</v>
      </c>
      <c r="B240" s="421"/>
      <c r="C240" s="421"/>
      <c r="D240" s="421"/>
      <c r="E240" s="421"/>
      <c r="F240" s="421"/>
      <c r="G240" s="421"/>
      <c r="H240" s="421"/>
      <c r="I240" s="422" t="str">
        <f>$G$32</f>
        <v>0</v>
      </c>
      <c r="J240" s="421"/>
      <c r="K240" s="421"/>
      <c r="L240" s="421"/>
      <c r="M240" s="421"/>
      <c r="N240" s="420" t="s">
        <v>360</v>
      </c>
      <c r="O240" s="423"/>
      <c r="P240" s="423"/>
      <c r="Q240" s="423"/>
      <c r="R240" s="423"/>
      <c r="S240" s="423"/>
      <c r="T240" s="423" t="s">
        <v>1053</v>
      </c>
    </row>
    <row r="241" spans="1:20" ht="15.75">
      <c r="A241" s="197"/>
      <c r="B241" s="197"/>
      <c r="C241" s="197"/>
      <c r="D241" s="197"/>
      <c r="E241" s="197"/>
      <c r="F241" s="197"/>
      <c r="G241" s="197"/>
      <c r="H241" s="197"/>
      <c r="I241" s="197"/>
      <c r="J241" s="197"/>
      <c r="K241" s="197"/>
      <c r="L241" s="197"/>
      <c r="M241" s="197"/>
      <c r="N241" s="197"/>
      <c r="O241" s="197"/>
      <c r="P241" s="197"/>
      <c r="Q241" s="197"/>
      <c r="R241" s="197"/>
      <c r="S241" s="158"/>
      <c r="T241" s="158"/>
    </row>
    <row r="242" spans="1:20" ht="15.75">
      <c r="A242" s="197"/>
      <c r="B242" s="197"/>
      <c r="C242" s="197"/>
      <c r="D242" s="197"/>
      <c r="E242" s="197"/>
      <c r="F242" s="197"/>
      <c r="G242" s="197"/>
      <c r="H242" s="197"/>
      <c r="I242" s="197"/>
      <c r="J242" s="197"/>
      <c r="K242" s="197"/>
      <c r="L242" s="197"/>
      <c r="M242" s="197"/>
      <c r="N242" s="197"/>
      <c r="O242" s="197"/>
      <c r="P242" s="197"/>
      <c r="Q242" s="197"/>
      <c r="R242" s="197"/>
      <c r="S242" s="158"/>
      <c r="T242" s="158"/>
    </row>
    <row r="243" spans="1:20" ht="15.75">
      <c r="A243" s="197"/>
      <c r="K243" s="197"/>
      <c r="L243" s="197"/>
      <c r="M243" s="197"/>
      <c r="N243" s="197"/>
      <c r="O243" s="197"/>
      <c r="P243" s="197"/>
      <c r="Q243" s="197"/>
      <c r="R243" s="197"/>
      <c r="S243" s="158"/>
      <c r="T243" s="158"/>
    </row>
    <row r="244" spans="1:20">
      <c r="A244" s="97"/>
      <c r="B244" s="97"/>
      <c r="K244" s="97"/>
      <c r="L244" s="97"/>
      <c r="M244" s="97"/>
      <c r="N244" s="97"/>
      <c r="O244" s="97"/>
      <c r="P244" s="97"/>
      <c r="R244" s="97"/>
    </row>
    <row r="245" spans="1:20">
      <c r="A245" s="97"/>
      <c r="B245" s="97"/>
      <c r="K245" s="97"/>
      <c r="L245" s="97"/>
      <c r="M245" s="97"/>
      <c r="N245" s="97"/>
      <c r="O245" s="97"/>
      <c r="P245" s="97"/>
      <c r="Q245" s="97"/>
      <c r="R245" s="97"/>
    </row>
    <row r="246" spans="1:20">
      <c r="A246" s="97"/>
      <c r="B246" s="97"/>
      <c r="C246" s="97"/>
      <c r="D246" s="97"/>
      <c r="E246" s="97"/>
      <c r="F246" s="97"/>
      <c r="G246" s="97"/>
      <c r="H246" s="97"/>
      <c r="I246" s="97"/>
      <c r="J246" s="97"/>
      <c r="K246" s="97"/>
      <c r="L246" s="97"/>
      <c r="M246" s="97"/>
      <c r="N246" s="97"/>
      <c r="O246" s="97"/>
      <c r="P246" s="97"/>
      <c r="Q246" s="97"/>
      <c r="R246" s="97"/>
    </row>
    <row r="247" spans="1:20">
      <c r="A247" s="97"/>
      <c r="B247" s="97"/>
      <c r="C247" s="97"/>
      <c r="D247" s="97"/>
      <c r="E247" s="97"/>
      <c r="F247" s="97"/>
      <c r="G247" s="97"/>
      <c r="H247" s="97"/>
      <c r="I247" s="97"/>
      <c r="J247" s="97"/>
      <c r="K247" s="97"/>
      <c r="L247" s="97"/>
      <c r="M247" s="97"/>
      <c r="N247" s="97"/>
      <c r="O247" s="97"/>
      <c r="P247" s="97"/>
      <c r="Q247" s="97"/>
      <c r="R247" s="97"/>
    </row>
    <row r="248" spans="1:20">
      <c r="A248" s="97"/>
      <c r="B248" s="97"/>
      <c r="C248" s="97"/>
      <c r="D248" s="97"/>
      <c r="E248" s="97"/>
      <c r="F248" s="97"/>
      <c r="G248" s="97"/>
      <c r="H248" s="97"/>
      <c r="I248" s="97"/>
      <c r="J248" s="97"/>
      <c r="K248" s="97"/>
      <c r="L248" s="97"/>
      <c r="M248" s="97"/>
      <c r="N248" s="97"/>
      <c r="O248" s="97"/>
      <c r="P248" s="97"/>
      <c r="Q248" s="97"/>
      <c r="R248" s="97"/>
    </row>
    <row r="249" spans="1:20">
      <c r="A249" s="97"/>
      <c r="B249" s="97"/>
      <c r="C249" s="97"/>
      <c r="D249" s="97"/>
      <c r="E249" s="97"/>
      <c r="F249" s="97"/>
      <c r="G249" s="97"/>
      <c r="H249" s="97"/>
      <c r="I249" s="97"/>
      <c r="J249" s="97"/>
      <c r="K249" s="97"/>
      <c r="L249" s="97"/>
      <c r="M249" s="97"/>
      <c r="N249" s="97"/>
      <c r="O249" s="97"/>
      <c r="P249" s="97"/>
      <c r="Q249" s="97"/>
      <c r="R249" s="97"/>
    </row>
    <row r="250" spans="1:20">
      <c r="A250" s="97"/>
      <c r="B250" s="97"/>
      <c r="C250" s="97"/>
      <c r="D250" s="97"/>
      <c r="E250" s="97"/>
      <c r="F250" s="97"/>
      <c r="G250" s="97"/>
      <c r="H250" s="97"/>
      <c r="I250" s="97"/>
      <c r="J250" s="97"/>
      <c r="K250" s="97"/>
      <c r="L250" s="97"/>
      <c r="M250" s="97"/>
      <c r="N250" s="97"/>
      <c r="O250" s="97"/>
      <c r="P250" s="97"/>
      <c r="Q250" s="97"/>
      <c r="R250" s="97"/>
    </row>
    <row r="251" spans="1:20">
      <c r="A251" s="97"/>
      <c r="B251" s="97"/>
      <c r="C251" s="97"/>
      <c r="D251" s="97"/>
      <c r="E251" s="97"/>
      <c r="F251" s="97"/>
      <c r="G251" s="97"/>
      <c r="H251" s="97"/>
      <c r="I251" s="97"/>
      <c r="J251" s="97"/>
      <c r="K251" s="97"/>
      <c r="L251" s="97"/>
      <c r="M251" s="97"/>
      <c r="N251" s="97"/>
      <c r="O251" s="97"/>
      <c r="P251" s="97"/>
      <c r="Q251" s="97"/>
      <c r="R251" s="97"/>
    </row>
    <row r="252" spans="1:20">
      <c r="A252" s="97"/>
      <c r="B252" s="97"/>
      <c r="C252" s="97"/>
      <c r="D252" s="97"/>
      <c r="E252" s="97"/>
      <c r="F252" s="97"/>
      <c r="G252" s="97"/>
      <c r="H252" s="97"/>
      <c r="I252" s="97"/>
      <c r="J252" s="97"/>
      <c r="K252" s="97"/>
      <c r="L252" s="97"/>
      <c r="M252" s="97"/>
      <c r="N252" s="97"/>
      <c r="O252" s="97"/>
      <c r="P252" s="97"/>
      <c r="Q252" s="97"/>
      <c r="R252" s="97"/>
    </row>
    <row r="253" spans="1:20">
      <c r="A253" s="97"/>
      <c r="B253" s="97"/>
      <c r="C253" s="97"/>
      <c r="D253" s="97"/>
      <c r="E253" s="97"/>
      <c r="F253" s="97"/>
      <c r="G253" s="97"/>
      <c r="H253" s="97"/>
      <c r="I253" s="97"/>
      <c r="J253" s="97"/>
      <c r="K253" s="97"/>
      <c r="L253" s="97"/>
      <c r="M253" s="97"/>
      <c r="N253" s="97"/>
      <c r="O253" s="97"/>
      <c r="P253" s="97"/>
      <c r="Q253" s="97"/>
      <c r="R253" s="97"/>
    </row>
    <row r="254" spans="1:20">
      <c r="A254" s="97"/>
      <c r="B254" s="97"/>
      <c r="C254" s="97"/>
      <c r="D254" s="97"/>
      <c r="E254" s="97"/>
      <c r="F254" s="97"/>
      <c r="G254" s="97"/>
      <c r="H254" s="97"/>
      <c r="I254" s="97"/>
      <c r="J254" s="97"/>
      <c r="K254" s="97"/>
      <c r="L254" s="97"/>
      <c r="M254" s="97"/>
      <c r="N254" s="97"/>
      <c r="O254" s="97"/>
      <c r="P254" s="97"/>
      <c r="Q254" s="97"/>
      <c r="R254" s="97"/>
    </row>
    <row r="255" spans="1:20">
      <c r="A255" s="97"/>
      <c r="B255" s="97"/>
      <c r="C255" s="97"/>
      <c r="D255" s="97"/>
      <c r="E255" s="97"/>
      <c r="F255" s="97"/>
      <c r="G255" s="97"/>
      <c r="H255" s="97"/>
      <c r="I255" s="97"/>
      <c r="J255" s="97"/>
      <c r="K255" s="97"/>
      <c r="L255" s="97"/>
      <c r="M255" s="97"/>
      <c r="N255" s="97"/>
      <c r="O255" s="97"/>
      <c r="P255" s="97"/>
      <c r="Q255" s="97"/>
      <c r="R255" s="97"/>
    </row>
    <row r="256" spans="1:20">
      <c r="A256" s="97"/>
      <c r="B256" s="97"/>
      <c r="C256" s="97"/>
      <c r="D256" s="97"/>
      <c r="E256" s="97"/>
      <c r="F256" s="97"/>
      <c r="G256" s="97"/>
      <c r="H256" s="97"/>
      <c r="I256" s="97"/>
      <c r="J256" s="97"/>
      <c r="K256" s="97"/>
      <c r="L256" s="97"/>
      <c r="M256" s="97"/>
      <c r="N256" s="97"/>
      <c r="O256" s="97"/>
      <c r="P256" s="97"/>
      <c r="Q256" s="97"/>
      <c r="R256" s="97"/>
    </row>
    <row r="257" spans="1:18">
      <c r="A257" s="97"/>
      <c r="B257" s="97"/>
      <c r="C257" s="97"/>
      <c r="D257" s="97"/>
      <c r="E257" s="97"/>
      <c r="F257" s="97"/>
      <c r="G257" s="97"/>
      <c r="H257" s="97"/>
      <c r="I257" s="97"/>
      <c r="J257" s="97"/>
      <c r="K257" s="97"/>
      <c r="L257" s="97"/>
      <c r="M257" s="97"/>
      <c r="N257" s="97"/>
      <c r="O257" s="97"/>
      <c r="P257" s="97"/>
      <c r="Q257" s="97"/>
      <c r="R257" s="97"/>
    </row>
    <row r="258" spans="1:18">
      <c r="A258" s="97"/>
      <c r="B258" s="97"/>
      <c r="C258" s="97"/>
      <c r="D258" s="97"/>
      <c r="E258" s="97"/>
      <c r="F258" s="97"/>
      <c r="G258" s="97"/>
      <c r="H258" s="97"/>
      <c r="I258" s="97"/>
      <c r="J258" s="97"/>
      <c r="K258" s="97"/>
      <c r="L258" s="97"/>
      <c r="M258" s="97"/>
      <c r="N258" s="97"/>
      <c r="O258" s="97"/>
      <c r="P258" s="97"/>
      <c r="Q258" s="97"/>
      <c r="R258" s="97"/>
    </row>
    <row r="259" spans="1:18">
      <c r="A259" s="97"/>
      <c r="B259" s="97"/>
      <c r="C259" s="97"/>
      <c r="D259" s="97"/>
      <c r="E259" s="97"/>
      <c r="F259" s="97"/>
      <c r="G259" s="97"/>
      <c r="H259" s="97"/>
      <c r="I259" s="97"/>
      <c r="J259" s="97"/>
      <c r="K259" s="97"/>
      <c r="L259" s="97"/>
      <c r="M259" s="97"/>
      <c r="N259" s="97"/>
      <c r="O259" s="97"/>
      <c r="P259" s="97"/>
      <c r="Q259" s="97"/>
      <c r="R259" s="97"/>
    </row>
    <row r="260" spans="1:18">
      <c r="A260" s="97"/>
      <c r="B260" s="97"/>
      <c r="C260" s="97"/>
      <c r="D260" s="97"/>
      <c r="E260" s="97"/>
      <c r="F260" s="97"/>
      <c r="G260" s="97"/>
      <c r="H260" s="97"/>
      <c r="I260" s="97"/>
      <c r="J260" s="97"/>
      <c r="K260" s="97"/>
      <c r="L260" s="97"/>
      <c r="M260" s="97"/>
      <c r="N260" s="97"/>
      <c r="O260" s="97"/>
      <c r="P260" s="97"/>
      <c r="Q260" s="97"/>
      <c r="R260" s="97"/>
    </row>
    <row r="261" spans="1:18">
      <c r="A261" s="97"/>
      <c r="B261" s="97"/>
      <c r="C261" s="97"/>
      <c r="D261" s="97"/>
      <c r="E261" s="97"/>
      <c r="F261" s="97"/>
      <c r="G261" s="97"/>
      <c r="H261" s="97"/>
      <c r="I261" s="97"/>
      <c r="J261" s="97"/>
      <c r="K261" s="97"/>
      <c r="L261" s="97"/>
      <c r="M261" s="97"/>
      <c r="N261" s="97"/>
      <c r="O261" s="97"/>
      <c r="P261" s="97"/>
      <c r="Q261" s="97"/>
      <c r="R261" s="97"/>
    </row>
    <row r="262" spans="1:18">
      <c r="A262" s="97"/>
      <c r="B262" s="97"/>
      <c r="C262" s="97"/>
      <c r="D262" s="97"/>
      <c r="E262" s="97"/>
      <c r="F262" s="97"/>
      <c r="G262" s="97"/>
      <c r="H262" s="97"/>
      <c r="I262" s="97"/>
      <c r="J262" s="97"/>
      <c r="K262" s="97"/>
      <c r="L262" s="97"/>
      <c r="M262" s="97"/>
      <c r="N262" s="97"/>
      <c r="O262" s="97"/>
      <c r="P262" s="97"/>
      <c r="Q262" s="97"/>
      <c r="R262" s="97"/>
    </row>
    <row r="263" spans="1:18">
      <c r="A263" s="97"/>
      <c r="B263" s="97"/>
      <c r="C263" s="97"/>
      <c r="D263" s="97"/>
      <c r="E263" s="97"/>
      <c r="F263" s="97"/>
      <c r="G263" s="97"/>
      <c r="H263" s="97"/>
      <c r="I263" s="97"/>
      <c r="J263" s="97"/>
      <c r="K263" s="97"/>
      <c r="L263" s="97"/>
      <c r="M263" s="97"/>
      <c r="N263" s="97"/>
      <c r="O263" s="97"/>
      <c r="P263" s="97"/>
      <c r="Q263" s="97"/>
      <c r="R263" s="97"/>
    </row>
    <row r="264" spans="1:18">
      <c r="A264" s="97"/>
      <c r="B264" s="97"/>
      <c r="C264" s="97"/>
      <c r="D264" s="97"/>
      <c r="E264" s="97"/>
      <c r="F264" s="97"/>
      <c r="G264" s="97"/>
      <c r="H264" s="97"/>
      <c r="I264" s="97"/>
      <c r="J264" s="97"/>
      <c r="K264" s="97"/>
      <c r="L264" s="97"/>
      <c r="M264" s="97"/>
      <c r="N264" s="97"/>
      <c r="O264" s="97"/>
      <c r="P264" s="97"/>
      <c r="Q264" s="97"/>
      <c r="R264" s="97"/>
    </row>
    <row r="265" spans="1:18">
      <c r="A265" s="97"/>
      <c r="B265" s="97"/>
      <c r="C265" s="97"/>
      <c r="D265" s="97"/>
      <c r="E265" s="97"/>
      <c r="F265" s="97"/>
      <c r="G265" s="97"/>
      <c r="H265" s="97"/>
      <c r="I265" s="97"/>
      <c r="J265" s="97"/>
      <c r="K265" s="97"/>
      <c r="L265" s="97"/>
      <c r="M265" s="97"/>
      <c r="N265" s="97"/>
      <c r="O265" s="97"/>
      <c r="P265" s="97"/>
      <c r="Q265" s="97"/>
      <c r="R265" s="97"/>
    </row>
    <row r="266" spans="1:18">
      <c r="A266" s="97"/>
      <c r="B266" s="97"/>
      <c r="C266" s="97"/>
      <c r="D266" s="97"/>
      <c r="E266" s="97"/>
      <c r="F266" s="97"/>
      <c r="G266" s="97"/>
      <c r="H266" s="97"/>
      <c r="I266" s="97"/>
      <c r="J266" s="97"/>
      <c r="K266" s="97"/>
      <c r="L266" s="97"/>
      <c r="M266" s="97"/>
      <c r="N266" s="97"/>
      <c r="O266" s="97"/>
      <c r="P266" s="97"/>
      <c r="Q266" s="97"/>
      <c r="R266" s="97"/>
    </row>
    <row r="267" spans="1:18">
      <c r="A267" s="97"/>
      <c r="B267" s="97"/>
      <c r="C267" s="97"/>
      <c r="D267" s="97"/>
      <c r="E267" s="97"/>
      <c r="F267" s="97"/>
      <c r="G267" s="97"/>
      <c r="H267" s="97"/>
      <c r="I267" s="97"/>
      <c r="J267" s="97"/>
      <c r="K267" s="97"/>
      <c r="L267" s="97"/>
      <c r="M267" s="97"/>
      <c r="N267" s="97"/>
      <c r="O267" s="97"/>
      <c r="P267" s="97"/>
      <c r="Q267" s="97"/>
      <c r="R267" s="97"/>
    </row>
    <row r="269" spans="1:18">
      <c r="A269" s="97"/>
      <c r="B269" s="97"/>
      <c r="C269" s="97"/>
      <c r="D269" s="97"/>
      <c r="E269" s="97"/>
      <c r="F269" s="97"/>
      <c r="G269" s="97"/>
      <c r="H269" s="97"/>
      <c r="I269" s="97"/>
      <c r="J269" s="97"/>
      <c r="K269" s="97"/>
      <c r="L269" s="97"/>
      <c r="M269" s="97"/>
      <c r="N269" s="97"/>
      <c r="O269" s="97"/>
      <c r="P269" s="97"/>
      <c r="Q269" s="97"/>
      <c r="R269" s="97"/>
    </row>
    <row r="270" spans="1:18">
      <c r="A270" s="97"/>
      <c r="B270" s="97"/>
      <c r="C270" s="97"/>
      <c r="D270" s="97"/>
      <c r="E270" s="97"/>
      <c r="F270" s="97"/>
      <c r="G270" s="97"/>
      <c r="H270" s="97"/>
      <c r="I270" s="97"/>
      <c r="J270" s="97"/>
      <c r="K270" s="97"/>
      <c r="L270" s="97"/>
      <c r="M270" s="97"/>
      <c r="N270" s="97"/>
      <c r="O270" s="97"/>
      <c r="P270" s="97"/>
      <c r="Q270" s="97"/>
      <c r="R270" s="97"/>
    </row>
    <row r="271" spans="1:18">
      <c r="A271" s="97"/>
      <c r="B271" s="97"/>
      <c r="C271" s="97"/>
      <c r="D271" s="97"/>
      <c r="E271" s="97"/>
      <c r="F271" s="97"/>
      <c r="G271" s="97"/>
      <c r="H271" s="97"/>
      <c r="I271" s="97"/>
      <c r="J271" s="97"/>
      <c r="K271" s="97"/>
      <c r="L271" s="97"/>
      <c r="M271" s="97"/>
      <c r="N271" s="97"/>
      <c r="O271" s="97"/>
      <c r="P271" s="97"/>
      <c r="Q271" s="97"/>
      <c r="R271" s="97"/>
    </row>
    <row r="272" spans="1:18">
      <c r="A272" s="97"/>
      <c r="B272" s="97"/>
      <c r="C272" s="97"/>
      <c r="D272" s="97"/>
      <c r="E272" s="97"/>
      <c r="F272" s="97"/>
      <c r="G272" s="97"/>
      <c r="H272" s="97"/>
      <c r="I272" s="97"/>
      <c r="J272" s="97"/>
      <c r="K272" s="97"/>
      <c r="L272" s="97"/>
      <c r="M272" s="97"/>
      <c r="N272" s="97"/>
      <c r="O272" s="97"/>
      <c r="P272" s="97"/>
      <c r="Q272" s="97"/>
      <c r="R272" s="97"/>
    </row>
    <row r="273" spans="1:18">
      <c r="A273" s="97"/>
      <c r="B273" s="97"/>
      <c r="C273" s="97"/>
      <c r="D273" s="97"/>
      <c r="E273" s="97"/>
      <c r="F273" s="97"/>
      <c r="G273" s="97"/>
      <c r="H273" s="97"/>
      <c r="I273" s="97"/>
      <c r="J273" s="97"/>
      <c r="K273" s="97"/>
      <c r="L273" s="97"/>
      <c r="M273" s="97"/>
      <c r="N273" s="97"/>
      <c r="O273" s="97"/>
      <c r="P273" s="97"/>
      <c r="Q273" s="97"/>
      <c r="R273" s="97"/>
    </row>
    <row r="274" spans="1:18">
      <c r="A274" s="97"/>
      <c r="B274" s="97"/>
      <c r="C274" s="97"/>
      <c r="D274" s="97"/>
      <c r="E274" s="97"/>
      <c r="F274" s="97"/>
      <c r="G274" s="97"/>
      <c r="H274" s="97"/>
      <c r="I274" s="97"/>
      <c r="J274" s="97"/>
      <c r="K274" s="97"/>
      <c r="L274" s="97"/>
      <c r="M274" s="97"/>
      <c r="N274" s="97"/>
      <c r="O274" s="97"/>
      <c r="P274" s="97"/>
      <c r="Q274" s="97"/>
      <c r="R274" s="97"/>
    </row>
    <row r="275" spans="1:18">
      <c r="A275" s="97"/>
      <c r="B275" s="97"/>
      <c r="C275" s="97"/>
      <c r="D275" s="97"/>
      <c r="E275" s="97"/>
      <c r="F275" s="97"/>
      <c r="G275" s="97"/>
      <c r="H275" s="97"/>
      <c r="I275" s="97"/>
      <c r="J275" s="97"/>
      <c r="K275" s="97"/>
      <c r="L275" s="97"/>
      <c r="M275" s="97"/>
      <c r="N275" s="97"/>
      <c r="O275" s="97"/>
      <c r="P275" s="97"/>
      <c r="Q275" s="97"/>
      <c r="R275" s="97"/>
    </row>
    <row r="276" spans="1:18">
      <c r="A276" s="97"/>
      <c r="B276" s="97"/>
      <c r="C276" s="97"/>
      <c r="D276" s="97"/>
      <c r="E276" s="97"/>
      <c r="F276" s="97"/>
      <c r="G276" s="97"/>
      <c r="H276" s="97"/>
      <c r="I276" s="97"/>
      <c r="J276" s="97"/>
      <c r="K276" s="97"/>
      <c r="L276" s="97"/>
      <c r="M276" s="97"/>
      <c r="N276" s="97"/>
      <c r="O276" s="97"/>
      <c r="P276" s="97"/>
      <c r="Q276" s="97"/>
      <c r="R276" s="97"/>
    </row>
    <row r="277" spans="1:18">
      <c r="A277" s="97"/>
      <c r="B277" s="97"/>
      <c r="C277" s="97"/>
      <c r="D277" s="97"/>
      <c r="E277" s="97"/>
      <c r="F277" s="97"/>
      <c r="G277" s="97"/>
      <c r="H277" s="97"/>
      <c r="I277" s="97"/>
      <c r="J277" s="97"/>
      <c r="K277" s="97"/>
      <c r="L277" s="97"/>
      <c r="M277" s="97"/>
      <c r="N277" s="97"/>
      <c r="O277" s="97"/>
      <c r="P277" s="97"/>
      <c r="Q277" s="97"/>
      <c r="R277" s="97"/>
    </row>
    <row r="278" spans="1:18">
      <c r="A278" s="97"/>
      <c r="B278" s="97"/>
      <c r="C278" s="97"/>
      <c r="D278" s="97"/>
      <c r="E278" s="97"/>
      <c r="F278" s="97"/>
      <c r="G278" s="97"/>
      <c r="H278" s="97"/>
      <c r="I278" s="97"/>
      <c r="J278" s="97"/>
      <c r="K278" s="97"/>
      <c r="L278" s="97"/>
      <c r="M278" s="97"/>
      <c r="N278" s="97"/>
      <c r="O278" s="97"/>
      <c r="P278" s="97"/>
      <c r="Q278" s="97"/>
      <c r="R278" s="97"/>
    </row>
    <row r="279" spans="1:18">
      <c r="A279" s="97"/>
      <c r="B279" s="97"/>
      <c r="C279" s="97"/>
      <c r="D279" s="97"/>
      <c r="E279" s="97"/>
      <c r="F279" s="97"/>
      <c r="G279" s="97"/>
      <c r="H279" s="97"/>
      <c r="I279" s="97"/>
      <c r="J279" s="97"/>
      <c r="K279" s="97"/>
      <c r="L279" s="97"/>
      <c r="M279" s="97"/>
      <c r="N279" s="97"/>
      <c r="O279" s="97"/>
      <c r="P279" s="97"/>
      <c r="Q279" s="97"/>
      <c r="R279" s="97"/>
    </row>
    <row r="280" spans="1:18">
      <c r="A280" s="97"/>
      <c r="B280" s="97"/>
      <c r="C280" s="97"/>
      <c r="D280" s="97"/>
      <c r="E280" s="97"/>
      <c r="F280" s="97"/>
      <c r="G280" s="97"/>
      <c r="H280" s="97"/>
      <c r="I280" s="97"/>
      <c r="J280" s="97"/>
      <c r="K280" s="97"/>
      <c r="L280" s="97"/>
      <c r="M280" s="97"/>
      <c r="N280" s="97"/>
      <c r="O280" s="97"/>
      <c r="P280" s="97"/>
      <c r="Q280" s="97"/>
      <c r="R280" s="97"/>
    </row>
    <row r="281" spans="1:18">
      <c r="A281" s="97"/>
      <c r="B281" s="97"/>
      <c r="C281" s="97"/>
      <c r="D281" s="97"/>
      <c r="E281" s="97"/>
      <c r="F281" s="97"/>
      <c r="G281" s="97"/>
      <c r="H281" s="97"/>
      <c r="I281" s="97"/>
      <c r="J281" s="97"/>
      <c r="K281" s="97"/>
      <c r="L281" s="97"/>
      <c r="M281" s="97"/>
      <c r="N281" s="97"/>
      <c r="O281" s="97"/>
      <c r="P281" s="97"/>
      <c r="Q281" s="97"/>
      <c r="R281" s="97"/>
    </row>
    <row r="282" spans="1:18">
      <c r="A282" s="97"/>
      <c r="B282" s="97"/>
      <c r="C282" s="97"/>
      <c r="D282" s="97"/>
      <c r="E282" s="97"/>
      <c r="F282" s="97"/>
      <c r="G282" s="97"/>
      <c r="H282" s="97"/>
      <c r="I282" s="97"/>
      <c r="J282" s="97"/>
      <c r="K282" s="97"/>
      <c r="L282" s="97"/>
      <c r="M282" s="97"/>
      <c r="N282" s="97"/>
      <c r="O282" s="97"/>
      <c r="P282" s="97"/>
      <c r="Q282" s="97"/>
      <c r="R282" s="97"/>
    </row>
    <row r="283" spans="1:18">
      <c r="A283" s="97"/>
      <c r="B283" s="97"/>
      <c r="C283" s="97"/>
      <c r="D283" s="97"/>
      <c r="E283" s="97"/>
      <c r="F283" s="97"/>
      <c r="G283" s="97"/>
      <c r="H283" s="97"/>
      <c r="I283" s="97"/>
      <c r="J283" s="97"/>
      <c r="K283" s="97"/>
      <c r="L283" s="97"/>
      <c r="M283" s="97"/>
      <c r="N283" s="97"/>
      <c r="O283" s="97"/>
      <c r="P283" s="97"/>
      <c r="Q283" s="97"/>
      <c r="R283" s="97"/>
    </row>
    <row r="284" spans="1:18">
      <c r="A284" s="97"/>
      <c r="B284" s="97"/>
      <c r="C284" s="97"/>
      <c r="D284" s="97"/>
      <c r="E284" s="97"/>
      <c r="F284" s="97"/>
      <c r="G284" s="97"/>
      <c r="H284" s="97"/>
      <c r="I284" s="97"/>
      <c r="J284" s="97"/>
      <c r="K284" s="97"/>
      <c r="L284" s="97"/>
      <c r="M284" s="97"/>
      <c r="N284" s="97"/>
      <c r="O284" s="97"/>
      <c r="P284" s="97"/>
      <c r="Q284" s="97"/>
      <c r="R284" s="97"/>
    </row>
    <row r="285" spans="1:18">
      <c r="A285" s="97"/>
      <c r="B285" s="97"/>
      <c r="C285" s="97"/>
      <c r="D285" s="97"/>
      <c r="E285" s="97"/>
      <c r="F285" s="97"/>
      <c r="G285" s="97"/>
      <c r="H285" s="97"/>
      <c r="I285" s="97"/>
      <c r="J285" s="97"/>
      <c r="K285" s="97"/>
      <c r="L285" s="97"/>
      <c r="M285" s="97"/>
      <c r="N285" s="97"/>
      <c r="O285" s="97"/>
      <c r="P285" s="97"/>
      <c r="Q285" s="97"/>
      <c r="R285" s="97"/>
    </row>
    <row r="286" spans="1:18">
      <c r="A286" s="97"/>
      <c r="B286" s="97"/>
      <c r="C286" s="97"/>
      <c r="D286" s="97"/>
      <c r="E286" s="97"/>
      <c r="F286" s="97"/>
      <c r="G286" s="97"/>
      <c r="H286" s="97"/>
      <c r="I286" s="97"/>
      <c r="J286" s="97"/>
      <c r="K286" s="97"/>
      <c r="L286" s="97"/>
      <c r="M286" s="97"/>
      <c r="N286" s="97"/>
      <c r="O286" s="97"/>
      <c r="P286" s="97"/>
      <c r="Q286" s="97"/>
      <c r="R286" s="97"/>
    </row>
    <row r="287" spans="1:18">
      <c r="A287" s="97"/>
      <c r="B287" s="97"/>
      <c r="C287" s="97"/>
      <c r="D287" s="97"/>
      <c r="E287" s="97"/>
      <c r="F287" s="97"/>
      <c r="G287" s="97"/>
      <c r="H287" s="97"/>
      <c r="I287" s="97"/>
      <c r="J287" s="97"/>
      <c r="K287" s="97"/>
      <c r="L287" s="97"/>
      <c r="M287" s="97"/>
      <c r="N287" s="97"/>
      <c r="O287" s="97"/>
      <c r="P287" s="97"/>
      <c r="Q287" s="97"/>
      <c r="R287" s="97"/>
    </row>
    <row r="288" spans="1:18">
      <c r="A288" s="97"/>
      <c r="B288" s="97"/>
      <c r="C288" s="97"/>
      <c r="D288" s="97"/>
      <c r="E288" s="97"/>
      <c r="F288" s="97"/>
      <c r="G288" s="97"/>
      <c r="H288" s="97"/>
      <c r="I288" s="97"/>
      <c r="J288" s="97"/>
      <c r="K288" s="97"/>
      <c r="L288" s="97"/>
      <c r="M288" s="97"/>
      <c r="N288" s="97"/>
      <c r="O288" s="97"/>
      <c r="P288" s="97"/>
      <c r="Q288" s="97"/>
      <c r="R288" s="97"/>
    </row>
    <row r="289" spans="1:18">
      <c r="A289" s="97"/>
      <c r="B289" s="97"/>
      <c r="C289" s="97"/>
      <c r="D289" s="97"/>
      <c r="E289" s="97"/>
      <c r="F289" s="97"/>
      <c r="G289" s="97"/>
      <c r="H289" s="97"/>
      <c r="I289" s="97"/>
      <c r="J289" s="97"/>
      <c r="K289" s="97"/>
      <c r="L289" s="97"/>
      <c r="M289" s="97"/>
      <c r="N289" s="97"/>
      <c r="O289" s="97"/>
      <c r="P289" s="97"/>
      <c r="Q289" s="97"/>
      <c r="R289" s="97"/>
    </row>
    <row r="290" spans="1:18">
      <c r="A290" s="97"/>
      <c r="B290" s="97"/>
      <c r="C290" s="97"/>
      <c r="D290" s="97"/>
      <c r="E290" s="97"/>
      <c r="F290" s="97"/>
      <c r="G290" s="97"/>
      <c r="H290" s="97"/>
      <c r="I290" s="97"/>
      <c r="J290" s="97"/>
      <c r="K290" s="97"/>
      <c r="L290" s="97"/>
      <c r="M290" s="97"/>
      <c r="N290" s="97"/>
      <c r="O290" s="97"/>
      <c r="P290" s="97"/>
      <c r="Q290" s="97"/>
      <c r="R290" s="97"/>
    </row>
    <row r="291" spans="1:18">
      <c r="A291" s="97"/>
      <c r="B291" s="97"/>
      <c r="C291" s="97"/>
      <c r="D291" s="97"/>
      <c r="E291" s="97"/>
      <c r="F291" s="97"/>
      <c r="G291" s="97"/>
      <c r="H291" s="97"/>
      <c r="I291" s="97"/>
      <c r="J291" s="97"/>
      <c r="K291" s="97"/>
      <c r="L291" s="97"/>
      <c r="M291" s="97"/>
      <c r="N291" s="97"/>
      <c r="O291" s="97"/>
      <c r="P291" s="97"/>
      <c r="Q291" s="97"/>
      <c r="R291" s="97"/>
    </row>
    <row r="292" spans="1:18">
      <c r="A292" s="97"/>
      <c r="B292" s="97"/>
      <c r="C292" s="97"/>
      <c r="D292" s="97"/>
      <c r="E292" s="97"/>
      <c r="F292" s="97"/>
      <c r="G292" s="97"/>
      <c r="H292" s="97"/>
      <c r="I292" s="97"/>
      <c r="J292" s="97"/>
      <c r="K292" s="97"/>
      <c r="L292" s="97"/>
      <c r="M292" s="97"/>
      <c r="N292" s="97"/>
      <c r="O292" s="97"/>
      <c r="P292" s="97"/>
      <c r="Q292" s="97"/>
      <c r="R292" s="97"/>
    </row>
    <row r="293" spans="1:18">
      <c r="A293" s="97"/>
      <c r="B293" s="97"/>
      <c r="C293" s="97"/>
      <c r="D293" s="97"/>
      <c r="E293" s="97"/>
      <c r="F293" s="97"/>
      <c r="G293" s="97"/>
      <c r="H293" s="97"/>
      <c r="I293" s="97"/>
      <c r="J293" s="97"/>
      <c r="K293" s="97"/>
      <c r="L293" s="97"/>
      <c r="M293" s="97"/>
      <c r="N293" s="97"/>
      <c r="O293" s="97"/>
      <c r="P293" s="97"/>
      <c r="Q293" s="97"/>
      <c r="R293" s="97"/>
    </row>
    <row r="294" spans="1:18">
      <c r="A294" s="97"/>
      <c r="B294" s="97"/>
      <c r="C294" s="97"/>
      <c r="D294" s="97"/>
      <c r="E294" s="97"/>
      <c r="F294" s="97"/>
      <c r="G294" s="97"/>
      <c r="H294" s="97"/>
      <c r="I294" s="97"/>
      <c r="J294" s="97"/>
      <c r="K294" s="97"/>
      <c r="L294" s="97"/>
      <c r="M294" s="97"/>
      <c r="N294" s="97"/>
      <c r="O294" s="97"/>
      <c r="P294" s="97"/>
      <c r="Q294" s="97"/>
      <c r="R294" s="97"/>
    </row>
    <row r="295" spans="1:18">
      <c r="A295" s="97"/>
      <c r="B295" s="97"/>
      <c r="C295" s="97"/>
      <c r="D295" s="97"/>
      <c r="E295" s="97"/>
      <c r="F295" s="97"/>
      <c r="G295" s="97"/>
      <c r="H295" s="97"/>
      <c r="I295" s="97"/>
      <c r="J295" s="97"/>
      <c r="K295" s="97"/>
      <c r="L295" s="97"/>
      <c r="M295" s="97"/>
      <c r="N295" s="97"/>
      <c r="O295" s="97"/>
      <c r="P295" s="97"/>
      <c r="Q295" s="97"/>
      <c r="R295" s="97"/>
    </row>
    <row r="296" spans="1:18">
      <c r="A296" s="97"/>
      <c r="B296" s="97"/>
      <c r="C296" s="97"/>
      <c r="D296" s="97"/>
      <c r="E296" s="97"/>
      <c r="F296" s="97"/>
      <c r="G296" s="97"/>
      <c r="H296" s="97"/>
      <c r="I296" s="97"/>
      <c r="J296" s="97"/>
      <c r="K296" s="97"/>
      <c r="L296" s="97"/>
      <c r="M296" s="97"/>
      <c r="N296" s="97"/>
      <c r="O296" s="97"/>
      <c r="P296" s="97"/>
      <c r="Q296" s="97"/>
      <c r="R296" s="97"/>
    </row>
    <row r="297" spans="1:18">
      <c r="A297" s="97"/>
      <c r="B297" s="97"/>
      <c r="C297" s="97"/>
      <c r="D297" s="97"/>
      <c r="E297" s="97"/>
      <c r="F297" s="97"/>
      <c r="G297" s="97"/>
      <c r="H297" s="97"/>
      <c r="I297" s="97"/>
      <c r="J297" s="97"/>
      <c r="K297" s="97"/>
      <c r="L297" s="97"/>
      <c r="M297" s="97"/>
      <c r="N297" s="97"/>
      <c r="O297" s="97"/>
      <c r="P297" s="97"/>
      <c r="Q297" s="97"/>
      <c r="R297" s="97"/>
    </row>
    <row r="298" spans="1:18">
      <c r="A298" s="97"/>
      <c r="B298" s="97"/>
      <c r="C298" s="97"/>
      <c r="D298" s="97"/>
      <c r="E298" s="97"/>
      <c r="F298" s="97"/>
      <c r="G298" s="97"/>
      <c r="H298" s="97"/>
      <c r="I298" s="97"/>
      <c r="J298" s="97"/>
      <c r="K298" s="97"/>
      <c r="L298" s="97"/>
      <c r="M298" s="97"/>
      <c r="N298" s="97"/>
      <c r="O298" s="97"/>
      <c r="P298" s="97"/>
      <c r="Q298" s="97"/>
      <c r="R298" s="97"/>
    </row>
    <row r="299" spans="1:18">
      <c r="A299" s="97"/>
      <c r="B299" s="97"/>
      <c r="C299" s="97"/>
      <c r="D299" s="97"/>
      <c r="E299" s="97"/>
      <c r="F299" s="97"/>
      <c r="G299" s="97"/>
      <c r="H299" s="97"/>
      <c r="I299" s="97"/>
      <c r="J299" s="97"/>
      <c r="K299" s="97"/>
      <c r="L299" s="97"/>
      <c r="M299" s="97"/>
      <c r="N299" s="97"/>
      <c r="O299" s="97"/>
      <c r="P299" s="97"/>
      <c r="Q299" s="97"/>
      <c r="R299" s="97"/>
    </row>
    <row r="300" spans="1:18">
      <c r="A300" s="97"/>
      <c r="B300" s="97"/>
      <c r="C300" s="97"/>
      <c r="D300" s="97"/>
      <c r="E300" s="97"/>
      <c r="F300" s="97"/>
      <c r="G300" s="97"/>
      <c r="H300" s="97"/>
      <c r="I300" s="97"/>
      <c r="J300" s="97"/>
      <c r="K300" s="97"/>
      <c r="L300" s="97"/>
      <c r="M300" s="97"/>
      <c r="N300" s="97"/>
      <c r="O300" s="97"/>
      <c r="P300" s="97"/>
      <c r="Q300" s="97"/>
      <c r="R300" s="97"/>
    </row>
    <row r="301" spans="1:18">
      <c r="A301" s="97"/>
      <c r="B301" s="97"/>
      <c r="C301" s="97"/>
      <c r="D301" s="97"/>
      <c r="E301" s="97"/>
      <c r="F301" s="97"/>
      <c r="G301" s="97"/>
      <c r="H301" s="97"/>
      <c r="I301" s="97"/>
      <c r="J301" s="97"/>
      <c r="K301" s="97"/>
      <c r="L301" s="97"/>
      <c r="M301" s="97"/>
      <c r="N301" s="97"/>
      <c r="O301" s="97"/>
      <c r="P301" s="97"/>
      <c r="Q301" s="97"/>
      <c r="R301" s="97"/>
    </row>
    <row r="302" spans="1:18">
      <c r="A302" s="97"/>
      <c r="B302" s="97"/>
      <c r="C302" s="97"/>
      <c r="D302" s="97"/>
      <c r="E302" s="97"/>
      <c r="F302" s="97"/>
      <c r="G302" s="97"/>
      <c r="H302" s="97"/>
      <c r="I302" s="97"/>
      <c r="J302" s="97"/>
      <c r="K302" s="97"/>
      <c r="L302" s="97"/>
      <c r="M302" s="97"/>
      <c r="N302" s="97"/>
      <c r="O302" s="97"/>
      <c r="P302" s="97"/>
      <c r="Q302" s="97"/>
      <c r="R302" s="97"/>
    </row>
    <row r="303" spans="1:18">
      <c r="A303" s="97"/>
      <c r="B303" s="97"/>
      <c r="C303" s="97"/>
      <c r="D303" s="97"/>
      <c r="E303" s="97"/>
      <c r="F303" s="97"/>
      <c r="G303" s="97"/>
      <c r="H303" s="97"/>
      <c r="I303" s="97"/>
      <c r="J303" s="97"/>
      <c r="K303" s="97"/>
      <c r="L303" s="97"/>
      <c r="M303" s="97"/>
      <c r="N303" s="97"/>
      <c r="O303" s="97"/>
      <c r="P303" s="97"/>
      <c r="Q303" s="97"/>
      <c r="R303" s="97"/>
    </row>
    <row r="304" spans="1:18">
      <c r="A304" s="97"/>
      <c r="B304" s="97"/>
      <c r="C304" s="97"/>
      <c r="D304" s="97"/>
      <c r="E304" s="97"/>
      <c r="F304" s="97"/>
      <c r="G304" s="97"/>
      <c r="H304" s="97"/>
      <c r="I304" s="97"/>
      <c r="J304" s="97"/>
      <c r="K304" s="97"/>
      <c r="L304" s="97"/>
      <c r="M304" s="97"/>
      <c r="N304" s="97"/>
      <c r="O304" s="97"/>
      <c r="P304" s="97"/>
      <c r="Q304" s="97"/>
      <c r="R304" s="97"/>
    </row>
    <row r="305" spans="1:18">
      <c r="A305" s="97"/>
      <c r="B305" s="97"/>
      <c r="C305" s="97"/>
      <c r="D305" s="97"/>
      <c r="E305" s="97"/>
      <c r="F305" s="97"/>
      <c r="G305" s="97"/>
      <c r="H305" s="97"/>
      <c r="I305" s="97"/>
      <c r="J305" s="97"/>
      <c r="K305" s="97"/>
      <c r="L305" s="97"/>
      <c r="M305" s="97"/>
      <c r="N305" s="97"/>
      <c r="O305" s="97"/>
      <c r="P305" s="97"/>
      <c r="Q305" s="97"/>
      <c r="R305" s="97"/>
    </row>
    <row r="306" spans="1:18">
      <c r="A306" s="97"/>
      <c r="B306" s="97"/>
      <c r="C306" s="97"/>
      <c r="D306" s="97"/>
      <c r="E306" s="97"/>
      <c r="F306" s="97"/>
      <c r="G306" s="97"/>
      <c r="H306" s="97"/>
      <c r="I306" s="97"/>
      <c r="J306" s="97"/>
      <c r="K306" s="97"/>
      <c r="L306" s="97"/>
      <c r="M306" s="97"/>
      <c r="N306" s="97"/>
      <c r="O306" s="97"/>
      <c r="P306" s="97"/>
      <c r="Q306" s="97"/>
      <c r="R306" s="97"/>
    </row>
    <row r="307" spans="1:18">
      <c r="A307" s="97"/>
      <c r="B307" s="97"/>
      <c r="C307" s="97"/>
      <c r="D307" s="97"/>
      <c r="E307" s="97"/>
      <c r="F307" s="97"/>
      <c r="G307" s="97"/>
      <c r="H307" s="97"/>
      <c r="I307" s="97"/>
      <c r="J307" s="97"/>
      <c r="K307" s="97"/>
      <c r="L307" s="97"/>
      <c r="M307" s="97"/>
      <c r="N307" s="97"/>
      <c r="O307" s="97"/>
      <c r="P307" s="97"/>
      <c r="Q307" s="97"/>
      <c r="R307" s="97"/>
    </row>
    <row r="308" spans="1:18">
      <c r="A308" s="97"/>
      <c r="B308" s="97"/>
      <c r="C308" s="97"/>
      <c r="D308" s="97"/>
      <c r="E308" s="97"/>
      <c r="F308" s="97"/>
      <c r="G308" s="97"/>
      <c r="H308" s="97"/>
      <c r="I308" s="97"/>
      <c r="J308" s="97"/>
      <c r="K308" s="97"/>
      <c r="L308" s="97"/>
      <c r="M308" s="97"/>
      <c r="N308" s="97"/>
      <c r="O308" s="97"/>
      <c r="P308" s="97"/>
      <c r="Q308" s="97"/>
      <c r="R308" s="97"/>
    </row>
    <row r="309" spans="1:18">
      <c r="A309" s="97"/>
      <c r="B309" s="97"/>
      <c r="C309" s="97"/>
      <c r="D309" s="97"/>
      <c r="E309" s="97"/>
      <c r="F309" s="97"/>
      <c r="G309" s="97"/>
      <c r="H309" s="97"/>
      <c r="I309" s="97"/>
      <c r="J309" s="97"/>
      <c r="K309" s="97"/>
      <c r="L309" s="97"/>
      <c r="M309" s="97"/>
      <c r="N309" s="97"/>
      <c r="O309" s="97"/>
      <c r="P309" s="97"/>
      <c r="Q309" s="97"/>
      <c r="R309" s="97"/>
    </row>
    <row r="310" spans="1:18">
      <c r="A310" s="97"/>
      <c r="B310" s="97"/>
      <c r="C310" s="97"/>
      <c r="D310" s="97"/>
      <c r="E310" s="97"/>
      <c r="F310" s="97"/>
      <c r="G310" s="97"/>
      <c r="H310" s="97"/>
      <c r="I310" s="97"/>
      <c r="J310" s="97"/>
      <c r="K310" s="97"/>
      <c r="L310" s="97"/>
      <c r="M310" s="97"/>
      <c r="N310" s="97"/>
      <c r="O310" s="97"/>
      <c r="P310" s="97"/>
      <c r="Q310" s="97"/>
      <c r="R310" s="97"/>
    </row>
    <row r="311" spans="1:18">
      <c r="A311" s="97"/>
      <c r="B311" s="97"/>
      <c r="C311" s="97"/>
      <c r="D311" s="97"/>
      <c r="E311" s="97"/>
      <c r="F311" s="97"/>
      <c r="G311" s="97"/>
      <c r="H311" s="97"/>
      <c r="I311" s="97"/>
      <c r="J311" s="97"/>
      <c r="K311" s="97"/>
      <c r="L311" s="97"/>
      <c r="M311" s="97"/>
      <c r="N311" s="97"/>
      <c r="O311" s="97"/>
      <c r="P311" s="97"/>
      <c r="Q311" s="97"/>
      <c r="R311" s="97"/>
    </row>
    <row r="312" spans="1:18">
      <c r="A312" s="97"/>
      <c r="B312" s="97"/>
      <c r="C312" s="97"/>
      <c r="D312" s="97"/>
      <c r="E312" s="97"/>
      <c r="F312" s="97"/>
      <c r="G312" s="97"/>
      <c r="H312" s="97"/>
      <c r="I312" s="97"/>
      <c r="J312" s="97"/>
      <c r="K312" s="97"/>
      <c r="L312" s="97"/>
      <c r="M312" s="97"/>
      <c r="N312" s="97"/>
      <c r="O312" s="97"/>
      <c r="P312" s="97"/>
      <c r="Q312" s="97"/>
      <c r="R312" s="97"/>
    </row>
    <row r="313" spans="1:18">
      <c r="A313" s="97"/>
      <c r="B313" s="97"/>
      <c r="C313" s="97"/>
      <c r="D313" s="97"/>
      <c r="E313" s="97"/>
      <c r="F313" s="97"/>
      <c r="G313" s="97"/>
      <c r="H313" s="97"/>
      <c r="I313" s="97"/>
      <c r="J313" s="97"/>
      <c r="K313" s="97"/>
      <c r="L313" s="97"/>
      <c r="M313" s="97"/>
      <c r="N313" s="97"/>
      <c r="O313" s="97"/>
      <c r="P313" s="97"/>
      <c r="Q313" s="97"/>
      <c r="R313" s="97"/>
    </row>
    <row r="314" spans="1:18">
      <c r="A314" s="97"/>
      <c r="B314" s="97"/>
      <c r="C314" s="97"/>
      <c r="D314" s="97"/>
      <c r="E314" s="97"/>
      <c r="F314" s="97"/>
      <c r="G314" s="97"/>
      <c r="H314" s="97"/>
      <c r="I314" s="97"/>
      <c r="J314" s="97"/>
      <c r="K314" s="97"/>
      <c r="L314" s="97"/>
      <c r="M314" s="97"/>
      <c r="N314" s="97"/>
      <c r="O314" s="97"/>
      <c r="P314" s="97"/>
      <c r="Q314" s="97"/>
      <c r="R314" s="97"/>
    </row>
    <row r="315" spans="1:18">
      <c r="A315" s="97"/>
      <c r="B315" s="97"/>
      <c r="C315" s="97"/>
      <c r="D315" s="97"/>
      <c r="E315" s="97"/>
      <c r="F315" s="97"/>
      <c r="G315" s="97"/>
      <c r="H315" s="97"/>
      <c r="I315" s="97"/>
      <c r="J315" s="97"/>
      <c r="K315" s="97"/>
      <c r="L315" s="97"/>
      <c r="M315" s="97"/>
      <c r="N315" s="97"/>
      <c r="O315" s="97"/>
      <c r="P315" s="97"/>
      <c r="Q315" s="97"/>
      <c r="R315" s="97"/>
    </row>
    <row r="316" spans="1:18">
      <c r="A316" s="97"/>
      <c r="B316" s="97"/>
      <c r="C316" s="97"/>
      <c r="D316" s="97"/>
      <c r="E316" s="97"/>
      <c r="F316" s="97"/>
      <c r="G316" s="97"/>
      <c r="H316" s="97"/>
      <c r="I316" s="97"/>
      <c r="J316" s="97"/>
      <c r="K316" s="97"/>
      <c r="L316" s="97"/>
      <c r="M316" s="97"/>
      <c r="N316" s="97"/>
      <c r="O316" s="97"/>
      <c r="P316" s="97"/>
      <c r="Q316" s="97"/>
      <c r="R316" s="97"/>
    </row>
    <row r="317" spans="1:18">
      <c r="A317" s="97"/>
      <c r="B317" s="97"/>
      <c r="C317" s="97"/>
      <c r="D317" s="97"/>
      <c r="E317" s="97"/>
      <c r="F317" s="97"/>
      <c r="G317" s="97"/>
      <c r="H317" s="97"/>
      <c r="I317" s="97"/>
      <c r="J317" s="97"/>
      <c r="K317" s="97"/>
      <c r="L317" s="97"/>
      <c r="M317" s="97"/>
      <c r="N317" s="97"/>
      <c r="O317" s="97"/>
      <c r="P317" s="97"/>
      <c r="Q317" s="97"/>
      <c r="R317" s="97"/>
    </row>
    <row r="318" spans="1:18">
      <c r="A318" s="97"/>
      <c r="B318" s="97"/>
      <c r="C318" s="97"/>
      <c r="D318" s="97"/>
      <c r="E318" s="97"/>
      <c r="F318" s="97"/>
      <c r="G318" s="97"/>
      <c r="H318" s="97"/>
      <c r="I318" s="97"/>
      <c r="J318" s="97"/>
      <c r="K318" s="97"/>
      <c r="L318" s="97"/>
      <c r="M318" s="97"/>
      <c r="N318" s="97"/>
      <c r="O318" s="97"/>
      <c r="P318" s="97"/>
      <c r="Q318" s="97"/>
      <c r="R318" s="97"/>
    </row>
    <row r="319" spans="1:18">
      <c r="A319" s="97"/>
      <c r="B319" s="97"/>
      <c r="C319" s="97"/>
      <c r="D319" s="97"/>
      <c r="E319" s="97"/>
      <c r="F319" s="97"/>
      <c r="G319" s="97"/>
      <c r="H319" s="97"/>
      <c r="I319" s="97"/>
      <c r="J319" s="97"/>
      <c r="K319" s="97"/>
      <c r="L319" s="97"/>
      <c r="M319" s="97"/>
      <c r="N319" s="97"/>
      <c r="O319" s="97"/>
      <c r="P319" s="97"/>
      <c r="Q319" s="97"/>
      <c r="R319" s="97"/>
    </row>
    <row r="320" spans="1:18">
      <c r="A320" s="97"/>
      <c r="B320" s="97"/>
      <c r="C320" s="97"/>
      <c r="D320" s="97"/>
      <c r="E320" s="97"/>
      <c r="F320" s="97"/>
      <c r="G320" s="97"/>
      <c r="H320" s="97"/>
      <c r="I320" s="97"/>
      <c r="J320" s="97"/>
      <c r="K320" s="97"/>
      <c r="L320" s="97"/>
      <c r="M320" s="97"/>
      <c r="N320" s="97"/>
      <c r="O320" s="97"/>
      <c r="P320" s="97"/>
      <c r="Q320" s="97"/>
      <c r="R320" s="97"/>
    </row>
    <row r="321" spans="1:18">
      <c r="A321" s="97"/>
      <c r="B321" s="97"/>
      <c r="C321" s="97"/>
      <c r="D321" s="97"/>
      <c r="E321" s="97"/>
      <c r="F321" s="97"/>
      <c r="G321" s="97"/>
      <c r="H321" s="97"/>
      <c r="I321" s="97"/>
      <c r="J321" s="97"/>
      <c r="K321" s="97"/>
      <c r="L321" s="97"/>
      <c r="M321" s="97"/>
      <c r="N321" s="97"/>
      <c r="O321" s="97"/>
      <c r="P321" s="97"/>
      <c r="Q321" s="97"/>
      <c r="R321" s="97"/>
    </row>
    <row r="322" spans="1:18">
      <c r="A322" s="97"/>
      <c r="B322" s="97"/>
      <c r="C322" s="97"/>
      <c r="D322" s="97"/>
      <c r="E322" s="97"/>
      <c r="F322" s="97"/>
      <c r="G322" s="97"/>
      <c r="H322" s="97"/>
      <c r="I322" s="97"/>
      <c r="J322" s="97"/>
      <c r="K322" s="97"/>
      <c r="L322" s="97"/>
      <c r="M322" s="97"/>
      <c r="N322" s="97"/>
      <c r="O322" s="97"/>
      <c r="P322" s="97"/>
      <c r="Q322" s="97"/>
      <c r="R322" s="97"/>
    </row>
    <row r="323" spans="1:18">
      <c r="A323" s="97"/>
      <c r="B323" s="97"/>
      <c r="C323" s="97"/>
      <c r="D323" s="97"/>
      <c r="E323" s="97"/>
      <c r="F323" s="97"/>
      <c r="G323" s="97"/>
      <c r="H323" s="97"/>
      <c r="I323" s="97"/>
      <c r="J323" s="97"/>
      <c r="K323" s="97"/>
      <c r="L323" s="97"/>
      <c r="M323" s="97"/>
      <c r="N323" s="97"/>
      <c r="O323" s="97"/>
      <c r="P323" s="97"/>
      <c r="Q323" s="97"/>
      <c r="R323" s="97"/>
    </row>
    <row r="324" spans="1:18">
      <c r="A324" s="97"/>
      <c r="B324" s="97"/>
      <c r="C324" s="97"/>
      <c r="D324" s="97"/>
      <c r="E324" s="97"/>
      <c r="F324" s="97"/>
      <c r="G324" s="97"/>
      <c r="H324" s="97"/>
      <c r="I324" s="97"/>
      <c r="J324" s="97"/>
      <c r="K324" s="97"/>
      <c r="L324" s="97"/>
      <c r="M324" s="97"/>
      <c r="N324" s="97"/>
      <c r="O324" s="97"/>
      <c r="P324" s="97"/>
      <c r="Q324" s="97"/>
      <c r="R324" s="97"/>
    </row>
    <row r="325" spans="1:18">
      <c r="A325" s="97"/>
      <c r="B325" s="97"/>
      <c r="C325" s="97"/>
      <c r="D325" s="97"/>
      <c r="E325" s="97"/>
      <c r="F325" s="97"/>
      <c r="G325" s="97"/>
      <c r="H325" s="97"/>
      <c r="I325" s="97"/>
      <c r="J325" s="97"/>
      <c r="K325" s="97"/>
      <c r="L325" s="97"/>
      <c r="M325" s="97"/>
      <c r="N325" s="97"/>
      <c r="O325" s="97"/>
      <c r="P325" s="97"/>
      <c r="Q325" s="97"/>
      <c r="R325" s="97"/>
    </row>
    <row r="326" spans="1:18">
      <c r="A326" s="97"/>
      <c r="B326" s="97"/>
      <c r="C326" s="97"/>
      <c r="D326" s="97"/>
      <c r="E326" s="97"/>
      <c r="F326" s="97"/>
      <c r="G326" s="97"/>
      <c r="H326" s="97"/>
      <c r="I326" s="97"/>
      <c r="J326" s="97"/>
      <c r="K326" s="97"/>
      <c r="L326" s="97"/>
      <c r="M326" s="97"/>
      <c r="N326" s="97"/>
      <c r="O326" s="97"/>
      <c r="P326" s="97"/>
      <c r="Q326" s="97"/>
      <c r="R326" s="97"/>
    </row>
    <row r="327" spans="1:18">
      <c r="A327" s="97"/>
      <c r="B327" s="97"/>
      <c r="C327" s="97"/>
      <c r="D327" s="97"/>
      <c r="E327" s="97"/>
      <c r="F327" s="97"/>
      <c r="G327" s="97"/>
      <c r="H327" s="97"/>
      <c r="I327" s="97"/>
      <c r="J327" s="97"/>
      <c r="K327" s="97"/>
      <c r="L327" s="97"/>
      <c r="M327" s="97"/>
      <c r="N327" s="97"/>
      <c r="O327" s="97"/>
      <c r="P327" s="97"/>
      <c r="Q327" s="97"/>
      <c r="R327" s="97"/>
    </row>
    <row r="328" spans="1:18">
      <c r="A328" s="97"/>
      <c r="B328" s="97"/>
      <c r="C328" s="97"/>
      <c r="D328" s="97"/>
      <c r="E328" s="97"/>
      <c r="F328" s="97"/>
      <c r="G328" s="97"/>
      <c r="H328" s="97"/>
      <c r="I328" s="97"/>
      <c r="J328" s="97"/>
      <c r="K328" s="97"/>
      <c r="L328" s="97"/>
      <c r="M328" s="97"/>
      <c r="N328" s="97"/>
      <c r="O328" s="97"/>
      <c r="P328" s="97"/>
      <c r="Q328" s="97"/>
      <c r="R328" s="97"/>
    </row>
    <row r="329" spans="1:18">
      <c r="A329" s="97"/>
      <c r="B329" s="97"/>
      <c r="C329" s="97"/>
      <c r="D329" s="97"/>
      <c r="E329" s="97"/>
      <c r="F329" s="97"/>
      <c r="G329" s="97"/>
      <c r="H329" s="97"/>
      <c r="I329" s="97"/>
      <c r="J329" s="97"/>
      <c r="K329" s="97"/>
      <c r="L329" s="97"/>
      <c r="M329" s="97"/>
      <c r="N329" s="97"/>
      <c r="O329" s="97"/>
      <c r="P329" s="97"/>
      <c r="Q329" s="97"/>
      <c r="R329" s="97"/>
    </row>
    <row r="330" spans="1:18">
      <c r="A330" s="97"/>
      <c r="B330" s="97"/>
      <c r="C330" s="97"/>
      <c r="D330" s="97"/>
      <c r="E330" s="97"/>
      <c r="F330" s="97"/>
      <c r="G330" s="97"/>
      <c r="H330" s="97"/>
      <c r="I330" s="97"/>
      <c r="J330" s="97"/>
      <c r="K330" s="97"/>
      <c r="L330" s="97"/>
      <c r="M330" s="97"/>
      <c r="N330" s="97"/>
      <c r="O330" s="97"/>
      <c r="P330" s="97"/>
      <c r="Q330" s="97"/>
      <c r="R330" s="97"/>
    </row>
    <row r="331" spans="1:18">
      <c r="A331" s="97"/>
      <c r="B331" s="97"/>
      <c r="C331" s="97"/>
      <c r="D331" s="97"/>
      <c r="E331" s="97"/>
      <c r="F331" s="97"/>
      <c r="G331" s="97"/>
      <c r="H331" s="97"/>
      <c r="I331" s="97"/>
      <c r="J331" s="97"/>
      <c r="K331" s="97"/>
      <c r="L331" s="97"/>
      <c r="M331" s="97"/>
      <c r="N331" s="97"/>
      <c r="O331" s="97"/>
      <c r="P331" s="97"/>
      <c r="Q331" s="97"/>
      <c r="R331" s="97"/>
    </row>
    <row r="332" spans="1:18">
      <c r="A332" s="97"/>
      <c r="B332" s="97"/>
      <c r="C332" s="97"/>
      <c r="D332" s="97"/>
      <c r="E332" s="97"/>
      <c r="F332" s="97"/>
      <c r="G332" s="97"/>
      <c r="H332" s="97"/>
      <c r="I332" s="97"/>
      <c r="J332" s="97"/>
      <c r="K332" s="97"/>
      <c r="L332" s="97"/>
      <c r="M332" s="97"/>
      <c r="N332" s="97"/>
      <c r="O332" s="97"/>
      <c r="P332" s="97"/>
      <c r="Q332" s="97"/>
      <c r="R332" s="97"/>
    </row>
    <row r="333" spans="1:18">
      <c r="A333" s="97"/>
      <c r="B333" s="97"/>
      <c r="C333" s="97"/>
      <c r="D333" s="97"/>
      <c r="E333" s="97"/>
      <c r="F333" s="97"/>
      <c r="G333" s="97"/>
      <c r="H333" s="97"/>
      <c r="I333" s="97"/>
      <c r="J333" s="97"/>
      <c r="K333" s="97"/>
      <c r="L333" s="97"/>
      <c r="M333" s="97"/>
      <c r="N333" s="97"/>
      <c r="O333" s="97"/>
      <c r="P333" s="97"/>
      <c r="Q333" s="97"/>
      <c r="R333" s="97"/>
    </row>
    <row r="334" spans="1:18">
      <c r="A334" s="97"/>
      <c r="B334" s="97"/>
      <c r="C334" s="97"/>
      <c r="D334" s="97"/>
      <c r="E334" s="97"/>
      <c r="F334" s="97"/>
      <c r="G334" s="97"/>
      <c r="H334" s="97"/>
      <c r="I334" s="97"/>
      <c r="J334" s="97"/>
      <c r="K334" s="97"/>
      <c r="L334" s="97"/>
      <c r="M334" s="97"/>
      <c r="N334" s="97"/>
      <c r="O334" s="97"/>
      <c r="P334" s="97"/>
      <c r="Q334" s="97"/>
      <c r="R334" s="97"/>
    </row>
    <row r="335" spans="1:18">
      <c r="A335" s="97"/>
      <c r="B335" s="97"/>
      <c r="C335" s="97"/>
      <c r="D335" s="97"/>
      <c r="E335" s="97"/>
      <c r="F335" s="97"/>
      <c r="G335" s="97"/>
      <c r="H335" s="97"/>
      <c r="I335" s="97"/>
      <c r="J335" s="97"/>
      <c r="K335" s="97"/>
      <c r="L335" s="97"/>
      <c r="M335" s="97"/>
      <c r="N335" s="97"/>
      <c r="O335" s="97"/>
      <c r="P335" s="97"/>
      <c r="Q335" s="97"/>
      <c r="R335" s="97"/>
    </row>
  </sheetData>
  <mergeCells count="82">
    <mergeCell ref="A171:T171"/>
    <mergeCell ref="C191:R191"/>
    <mergeCell ref="G194:J194"/>
    <mergeCell ref="K194:N194"/>
    <mergeCell ref="O194:R194"/>
    <mergeCell ref="O192:R192"/>
    <mergeCell ref="C192:F192"/>
    <mergeCell ref="G192:J192"/>
    <mergeCell ref="O193:R193"/>
    <mergeCell ref="K193:N193"/>
    <mergeCell ref="G193:J193"/>
    <mergeCell ref="C193:F193"/>
    <mergeCell ref="B125:K125"/>
    <mergeCell ref="L125:Q125"/>
    <mergeCell ref="B115:T115"/>
    <mergeCell ref="B120:T120"/>
    <mergeCell ref="B144:T144"/>
    <mergeCell ref="B119:T119"/>
    <mergeCell ref="B121:Q121"/>
    <mergeCell ref="B126:K126"/>
    <mergeCell ref="L126:Q126"/>
    <mergeCell ref="B127:K127"/>
    <mergeCell ref="L127:Q127"/>
    <mergeCell ref="B230:T230"/>
    <mergeCell ref="F224:T224"/>
    <mergeCell ref="F221:T221"/>
    <mergeCell ref="F223:T223"/>
    <mergeCell ref="F222:T222"/>
    <mergeCell ref="F225:T225"/>
    <mergeCell ref="A212:T212"/>
    <mergeCell ref="F226:T226"/>
    <mergeCell ref="F220:T220"/>
    <mergeCell ref="A208:T208"/>
    <mergeCell ref="B110:K110"/>
    <mergeCell ref="L110:Q110"/>
    <mergeCell ref="L123:Q123"/>
    <mergeCell ref="F217:T217"/>
    <mergeCell ref="F218:T218"/>
    <mergeCell ref="F219:T219"/>
    <mergeCell ref="B140:T140"/>
    <mergeCell ref="C194:F194"/>
    <mergeCell ref="A210:T210"/>
    <mergeCell ref="G183:T183"/>
    <mergeCell ref="K192:N192"/>
    <mergeCell ref="B129:T129"/>
    <mergeCell ref="B108:K108"/>
    <mergeCell ref="L108:Q108"/>
    <mergeCell ref="B109:K109"/>
    <mergeCell ref="L109:Q109"/>
    <mergeCell ref="B124:K124"/>
    <mergeCell ref="L124:Q124"/>
    <mergeCell ref="L122:Q122"/>
    <mergeCell ref="B123:K123"/>
    <mergeCell ref="B122:K122"/>
    <mergeCell ref="B112:T112"/>
    <mergeCell ref="A15:T15"/>
    <mergeCell ref="A16:T16"/>
    <mergeCell ref="B98:T98"/>
    <mergeCell ref="B107:K107"/>
    <mergeCell ref="L107:Q107"/>
    <mergeCell ref="B106:K106"/>
    <mergeCell ref="L106:Q106"/>
    <mergeCell ref="B99:T99"/>
    <mergeCell ref="B105:K105"/>
    <mergeCell ref="L105:Q105"/>
    <mergeCell ref="B90:T90"/>
    <mergeCell ref="B104:Q104"/>
    <mergeCell ref="D84:T84"/>
    <mergeCell ref="A58:T58"/>
    <mergeCell ref="B74:T74"/>
    <mergeCell ref="O38:R38"/>
    <mergeCell ref="A6:T6"/>
    <mergeCell ref="A7:T7"/>
    <mergeCell ref="A8:T8"/>
    <mergeCell ref="A9:T9"/>
    <mergeCell ref="A14:T14"/>
    <mergeCell ref="T25:T40"/>
    <mergeCell ref="D86:T86"/>
    <mergeCell ref="B77:T77"/>
    <mergeCell ref="B78:T78"/>
    <mergeCell ref="B79:T79"/>
    <mergeCell ref="D85:T85"/>
  </mergeCells>
  <pageMargins left="0.62992125984251968" right="0.62992125984251968" top="0.35433070866141736" bottom="0.35433070866141736" header="0.31496062992125984" footer="0.31496062992125984"/>
  <pageSetup paperSize="9" orientation="portrait" r:id="rId1"/>
  <drawing r:id="rId2"/>
  <legacyDrawing r:id="rId3"/>
  <oleObjects>
    <mc:AlternateContent xmlns:mc="http://schemas.openxmlformats.org/markup-compatibility/2006">
      <mc:Choice Requires="x14">
        <oleObject progId="Equation.3" shapeId="7282133" r:id="rId4">
          <objectPr defaultSize="0" autoPict="0" r:id="rId5">
            <anchor moveWithCells="1" sizeWithCells="1">
              <from>
                <xdr:col>5</xdr:col>
                <xdr:colOff>266700</xdr:colOff>
                <xdr:row>99</xdr:row>
                <xdr:rowOff>19050</xdr:rowOff>
              </from>
              <to>
                <xdr:col>12</xdr:col>
                <xdr:colOff>19050</xdr:colOff>
                <xdr:row>101</xdr:row>
                <xdr:rowOff>152400</xdr:rowOff>
              </to>
            </anchor>
          </objectPr>
        </oleObject>
      </mc:Choice>
      <mc:Fallback>
        <oleObject progId="Equation.3" shapeId="7282133" r:id="rId4"/>
      </mc:Fallback>
    </mc:AlternateContent>
    <mc:AlternateContent xmlns:mc="http://schemas.openxmlformats.org/markup-compatibility/2006">
      <mc:Choice Requires="x14">
        <oleObject progId="Equation.3" shapeId="7282154" r:id="rId6">
          <objectPr defaultSize="0" autoPict="0" r:id="rId7">
            <anchor moveWithCells="1" sizeWithCells="1">
              <from>
                <xdr:col>6</xdr:col>
                <xdr:colOff>180975</xdr:colOff>
                <xdr:row>115</xdr:row>
                <xdr:rowOff>47625</xdr:rowOff>
              </from>
              <to>
                <xdr:col>10</xdr:col>
                <xdr:colOff>219075</xdr:colOff>
                <xdr:row>117</xdr:row>
                <xdr:rowOff>152400</xdr:rowOff>
              </to>
            </anchor>
          </objectPr>
        </oleObject>
      </mc:Choice>
      <mc:Fallback>
        <oleObject progId="Equation.3" shapeId="7282154" r:id="rId6"/>
      </mc:Fallback>
    </mc:AlternateContent>
  </oleObjec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4"/>
  <dimension ref="A1:G30"/>
  <sheetViews>
    <sheetView showGridLines="0" workbookViewId="0">
      <selection activeCell="C13" sqref="C13"/>
    </sheetView>
  </sheetViews>
  <sheetFormatPr defaultColWidth="9.140625" defaultRowHeight="12.75"/>
  <cols>
    <col min="1" max="1" width="25.85546875" style="323" customWidth="1"/>
    <col min="2" max="2" width="9.140625" style="56"/>
    <col min="3" max="4" width="10" style="56" customWidth="1"/>
    <col min="5" max="16384" width="9.140625" style="56"/>
  </cols>
  <sheetData>
    <row r="1" spans="1:7" s="511" customFormat="1" ht="18.75">
      <c r="A1" s="594" t="s">
        <v>49</v>
      </c>
      <c r="B1" s="595"/>
      <c r="C1" s="595"/>
      <c r="D1" s="595"/>
      <c r="E1" s="596"/>
      <c r="F1" s="595"/>
      <c r="G1" s="595"/>
    </row>
    <row r="2" spans="1:7" s="511" customFormat="1" ht="18.75">
      <c r="A2" s="513"/>
      <c r="D2" s="57" t="str">
        <f>Intro!D4</f>
        <v>IRC-FORM-2100J (ARPANSA-FORM-1856)</v>
      </c>
      <c r="E2" s="56"/>
    </row>
    <row r="3" spans="1:7" s="69" customFormat="1" ht="15.75">
      <c r="A3" s="510" t="s">
        <v>67</v>
      </c>
      <c r="D3" s="59" t="str">
        <f>Intro!D5</f>
        <v>23-Production</v>
      </c>
      <c r="E3" s="56"/>
    </row>
    <row r="4" spans="1:7" s="69" customFormat="1" ht="14.25">
      <c r="A4" s="597"/>
      <c r="D4" s="59" t="str">
        <f>Intro!B10</f>
        <v>Validated: Note yet</v>
      </c>
      <c r="E4" s="60"/>
    </row>
    <row r="6" spans="1:7">
      <c r="A6" s="598" t="str">
        <f>Client!B5</f>
        <v>CAL11957</v>
      </c>
      <c r="B6" s="599" t="str">
        <f>Client!B6</f>
        <v>De-identified for distribution</v>
      </c>
      <c r="C6" s="574"/>
      <c r="D6" s="574"/>
      <c r="E6" s="574"/>
      <c r="F6" s="600"/>
    </row>
    <row r="7" spans="1:7">
      <c r="A7" s="188" t="s">
        <v>27</v>
      </c>
      <c r="B7" s="1169" t="str">
        <f>Client!B29</f>
        <v>IBA FC65-G</v>
      </c>
      <c r="C7" s="1170"/>
      <c r="E7" s="70"/>
    </row>
    <row r="8" spans="1:7">
      <c r="A8" s="56" t="s">
        <v>28</v>
      </c>
      <c r="B8" s="1169" t="str">
        <f>Client!B30</f>
        <v>457</v>
      </c>
      <c r="C8" s="1170"/>
      <c r="D8" s="70"/>
      <c r="E8" s="70"/>
    </row>
    <row r="10" spans="1:7">
      <c r="A10" s="307" t="s">
        <v>29</v>
      </c>
    </row>
    <row r="11" spans="1:7">
      <c r="B11" s="70"/>
      <c r="C11" s="288" t="s">
        <v>1</v>
      </c>
      <c r="D11" s="288" t="s">
        <v>2</v>
      </c>
      <c r="E11" s="288" t="s">
        <v>3</v>
      </c>
    </row>
    <row r="12" spans="1:7">
      <c r="B12" s="70"/>
      <c r="C12" s="289" t="s">
        <v>4</v>
      </c>
      <c r="D12" s="289" t="s">
        <v>4</v>
      </c>
      <c r="E12" s="289">
        <f>C13</f>
        <v>0</v>
      </c>
    </row>
    <row r="13" spans="1:7">
      <c r="B13" s="593" t="s">
        <v>34</v>
      </c>
      <c r="C13" s="28"/>
      <c r="D13" s="190" t="str">
        <f>B8</f>
        <v>457</v>
      </c>
      <c r="E13" s="289" t="s">
        <v>5</v>
      </c>
    </row>
    <row r="14" spans="1:7">
      <c r="B14" s="70"/>
      <c r="C14" s="334" t="s">
        <v>0</v>
      </c>
      <c r="D14" s="334" t="s">
        <v>0</v>
      </c>
      <c r="E14" s="289" t="str">
        <f>D13</f>
        <v>457</v>
      </c>
    </row>
    <row r="15" spans="1:7" ht="18" customHeight="1">
      <c r="A15" s="601" t="s">
        <v>50</v>
      </c>
      <c r="B15" s="302" t="s">
        <v>51</v>
      </c>
      <c r="C15" s="27"/>
      <c r="D15" s="27"/>
      <c r="E15" s="290" t="e">
        <f>C15/D15</f>
        <v>#DIV/0!</v>
      </c>
    </row>
    <row r="16" spans="1:7" ht="18" customHeight="1" thickBot="1">
      <c r="A16" s="602" t="s">
        <v>30</v>
      </c>
      <c r="B16" s="311" t="s">
        <v>43</v>
      </c>
      <c r="C16" s="33"/>
      <c r="D16" s="33"/>
      <c r="E16" s="603" t="e">
        <f>C16/D16</f>
        <v>#DIV/0!</v>
      </c>
    </row>
    <row r="17" spans="1:5" ht="16.5" thickBot="1">
      <c r="A17" s="604" t="s">
        <v>52</v>
      </c>
      <c r="B17" s="605"/>
      <c r="C17" s="606" t="e">
        <f>C15/C16</f>
        <v>#DIV/0!</v>
      </c>
      <c r="D17" s="606" t="e">
        <f>D15/D16</f>
        <v>#DIV/0!</v>
      </c>
      <c r="E17" s="607" t="e">
        <f>C17/D17</f>
        <v>#DIV/0!</v>
      </c>
    </row>
    <row r="18" spans="1:5" ht="15.75">
      <c r="C18" s="341" t="s">
        <v>72</v>
      </c>
      <c r="D18" s="341" t="s">
        <v>73</v>
      </c>
      <c r="E18" s="341" t="s">
        <v>74</v>
      </c>
    </row>
    <row r="19" spans="1:5">
      <c r="A19" s="343"/>
      <c r="D19" s="608"/>
    </row>
    <row r="20" spans="1:5">
      <c r="A20" s="307" t="s">
        <v>33</v>
      </c>
    </row>
    <row r="21" spans="1:5">
      <c r="B21" s="70"/>
      <c r="C21" s="288" t="s">
        <v>6</v>
      </c>
      <c r="D21" s="288" t="s">
        <v>39</v>
      </c>
      <c r="E21" s="288" t="s">
        <v>3</v>
      </c>
    </row>
    <row r="22" spans="1:5">
      <c r="B22" s="70"/>
      <c r="C22" s="289" t="s">
        <v>8</v>
      </c>
      <c r="D22" s="289" t="s">
        <v>8</v>
      </c>
      <c r="E22" s="289">
        <f>C23</f>
        <v>0</v>
      </c>
    </row>
    <row r="23" spans="1:5">
      <c r="B23" s="593" t="s">
        <v>32</v>
      </c>
      <c r="C23" s="52"/>
      <c r="D23" s="190" t="str">
        <f>A6</f>
        <v>CAL11957</v>
      </c>
      <c r="E23" s="289" t="s">
        <v>5</v>
      </c>
    </row>
    <row r="24" spans="1:5">
      <c r="B24" s="70"/>
      <c r="C24" s="334" t="s">
        <v>0</v>
      </c>
      <c r="D24" s="334" t="s">
        <v>0</v>
      </c>
      <c r="E24" s="289" t="str">
        <f>D23</f>
        <v>CAL11957</v>
      </c>
    </row>
    <row r="25" spans="1:5" ht="18" customHeight="1">
      <c r="A25" s="601" t="s">
        <v>50</v>
      </c>
      <c r="B25" s="302" t="s">
        <v>51</v>
      </c>
      <c r="C25" s="27"/>
      <c r="D25" s="32">
        <f>D15</f>
        <v>0</v>
      </c>
      <c r="E25" s="290" t="e">
        <f>C25/D25</f>
        <v>#DIV/0!</v>
      </c>
    </row>
    <row r="26" spans="1:5" ht="18" customHeight="1" thickBot="1">
      <c r="A26" s="609" t="s">
        <v>30</v>
      </c>
      <c r="B26" s="311" t="s">
        <v>43</v>
      </c>
      <c r="C26" s="33"/>
      <c r="D26" s="34">
        <f>D16</f>
        <v>0</v>
      </c>
      <c r="E26" s="603" t="e">
        <f>C26/D26</f>
        <v>#DIV/0!</v>
      </c>
    </row>
    <row r="27" spans="1:5" ht="16.5" thickBot="1">
      <c r="A27" s="604" t="s">
        <v>52</v>
      </c>
      <c r="B27" s="605"/>
      <c r="C27" s="606" t="e">
        <f>C25/C26</f>
        <v>#DIV/0!</v>
      </c>
      <c r="D27" s="606" t="e">
        <f>D25/D26</f>
        <v>#DIV/0!</v>
      </c>
      <c r="E27" s="607" t="e">
        <f>C27/D27</f>
        <v>#DIV/0!</v>
      </c>
    </row>
    <row r="28" spans="1:5" ht="15.75">
      <c r="A28" s="56"/>
      <c r="C28" s="341" t="s">
        <v>75</v>
      </c>
      <c r="D28" s="341" t="s">
        <v>76</v>
      </c>
      <c r="E28" s="341" t="s">
        <v>77</v>
      </c>
    </row>
    <row r="29" spans="1:5">
      <c r="A29" s="56"/>
    </row>
    <row r="30" spans="1:5">
      <c r="A30" s="56"/>
    </row>
  </sheetData>
  <sheetProtection sheet="1" objects="1" scenarios="1"/>
  <mergeCells count="2">
    <mergeCell ref="B7:C7"/>
    <mergeCell ref="B8:C8"/>
  </mergeCells>
  <phoneticPr fontId="2" type="noConversion"/>
  <pageMargins left="0.75" right="0.75" top="1" bottom="1" header="0.5" footer="0.5"/>
  <pageSetup paperSize="9" orientation="portrait" verticalDpi="2" r:id="rId1"/>
  <headerFooter alignWithMargins="0">
    <oddFooter>&amp;L&amp;D  &amp;A
&amp;Z&amp;F</oddFooter>
  </headerFooter>
  <ignoredErrors>
    <ignoredError sqref="B7:B8" unlocked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pageSetUpPr fitToPage="1"/>
  </sheetPr>
  <dimension ref="A1:T81"/>
  <sheetViews>
    <sheetView showGridLines="0" topLeftCell="A28" workbookViewId="0">
      <selection activeCell="J23" sqref="J23"/>
    </sheetView>
  </sheetViews>
  <sheetFormatPr defaultColWidth="9.140625" defaultRowHeight="12.75"/>
  <cols>
    <col min="1" max="1" width="5.5703125" style="70" customWidth="1"/>
    <col min="2" max="2" width="17.7109375" style="188" customWidth="1"/>
    <col min="3" max="3" width="12.28515625" style="188" customWidth="1"/>
    <col min="4" max="4" width="23" style="188" customWidth="1"/>
    <col min="5" max="5" width="14.28515625" style="188" customWidth="1"/>
    <col min="6" max="10" width="9.140625" style="70"/>
    <col min="11" max="11" width="10.5703125" style="70" customWidth="1"/>
    <col min="12" max="12" width="10" style="70" customWidth="1"/>
    <col min="13" max="13" width="9.85546875" style="70" customWidth="1"/>
    <col min="14" max="20" width="11.28515625" style="70" customWidth="1"/>
    <col min="21" max="16384" width="9.140625" style="70"/>
  </cols>
  <sheetData>
    <row r="1" spans="1:20" ht="15.75">
      <c r="A1" s="510" t="s">
        <v>109</v>
      </c>
      <c r="D1" s="70"/>
      <c r="E1" s="70"/>
    </row>
    <row r="2" spans="1:20">
      <c r="D2" s="70"/>
      <c r="E2" s="70"/>
    </row>
    <row r="3" spans="1:20">
      <c r="A3" s="188" t="s">
        <v>116</v>
      </c>
      <c r="D3" s="70"/>
      <c r="E3" s="70"/>
      <c r="F3" s="60" t="s">
        <v>163</v>
      </c>
      <c r="G3" s="767">
        <v>5</v>
      </c>
    </row>
    <row r="4" spans="1:20">
      <c r="A4" s="552" t="s">
        <v>159</v>
      </c>
    </row>
    <row r="6" spans="1:20" ht="14.25">
      <c r="A6" s="827" t="s">
        <v>134</v>
      </c>
      <c r="B6" s="828"/>
      <c r="C6" s="828"/>
      <c r="D6" s="828"/>
      <c r="E6" s="828"/>
      <c r="F6" s="829"/>
      <c r="G6" s="829"/>
      <c r="H6" s="829"/>
      <c r="I6" s="829"/>
      <c r="J6" s="829"/>
      <c r="K6" s="830"/>
      <c r="M6" s="276" t="s">
        <v>695</v>
      </c>
      <c r="N6" s="275"/>
      <c r="O6" s="275"/>
      <c r="P6" s="275"/>
      <c r="Q6" s="275"/>
      <c r="R6" s="275"/>
      <c r="S6" s="275"/>
      <c r="T6" s="275"/>
    </row>
    <row r="7" spans="1:20" ht="14.25">
      <c r="A7" s="553" t="s">
        <v>119</v>
      </c>
      <c r="B7" s="553" t="s">
        <v>98</v>
      </c>
      <c r="C7" s="553" t="s">
        <v>110</v>
      </c>
      <c r="D7" s="554" t="s">
        <v>117</v>
      </c>
      <c r="E7" s="554" t="s">
        <v>147</v>
      </c>
      <c r="F7" s="1469" t="s">
        <v>113</v>
      </c>
      <c r="G7" s="1470"/>
      <c r="H7" s="1469" t="s">
        <v>114</v>
      </c>
      <c r="I7" s="1470"/>
      <c r="J7" s="1471" t="s">
        <v>115</v>
      </c>
      <c r="K7" s="1472"/>
      <c r="M7" s="277" t="s">
        <v>690</v>
      </c>
      <c r="N7" s="556">
        <v>2571</v>
      </c>
      <c r="O7" s="556">
        <v>30013</v>
      </c>
      <c r="P7" s="556" t="s">
        <v>1098</v>
      </c>
      <c r="Q7" s="924" t="s">
        <v>1094</v>
      </c>
      <c r="R7" s="556" t="s">
        <v>685</v>
      </c>
      <c r="S7" s="557" t="s">
        <v>696</v>
      </c>
      <c r="T7" s="556" t="s">
        <v>649</v>
      </c>
    </row>
    <row r="8" spans="1:20" ht="15.75">
      <c r="A8" s="555"/>
      <c r="B8" s="555"/>
      <c r="C8" s="555"/>
      <c r="D8" s="555"/>
      <c r="E8" s="555" t="s">
        <v>148</v>
      </c>
      <c r="F8" s="555" t="s">
        <v>111</v>
      </c>
      <c r="G8" s="555" t="s">
        <v>112</v>
      </c>
      <c r="H8" s="555" t="s">
        <v>111</v>
      </c>
      <c r="I8" s="555" t="s">
        <v>112</v>
      </c>
      <c r="J8" s="555" t="s">
        <v>111</v>
      </c>
      <c r="K8" s="555" t="s">
        <v>112</v>
      </c>
      <c r="M8" s="279" t="s">
        <v>697</v>
      </c>
      <c r="N8" s="280" t="s">
        <v>693</v>
      </c>
      <c r="O8" s="280" t="s">
        <v>693</v>
      </c>
      <c r="P8" s="280" t="s">
        <v>693</v>
      </c>
      <c r="Q8" s="280" t="s">
        <v>693</v>
      </c>
      <c r="R8" s="280" t="s">
        <v>693</v>
      </c>
      <c r="S8" s="280" t="s">
        <v>693</v>
      </c>
      <c r="T8" s="280" t="s">
        <v>693</v>
      </c>
    </row>
    <row r="9" spans="1:20">
      <c r="A9" s="558"/>
      <c r="B9" s="558"/>
      <c r="C9" s="558"/>
      <c r="D9" s="558"/>
      <c r="E9" s="558" t="s">
        <v>149</v>
      </c>
      <c r="F9" s="558" t="s">
        <v>0</v>
      </c>
      <c r="G9" s="558" t="s">
        <v>38</v>
      </c>
      <c r="H9" s="558" t="s">
        <v>0</v>
      </c>
      <c r="I9" s="558" t="s">
        <v>38</v>
      </c>
      <c r="J9" s="558"/>
      <c r="K9" s="558" t="s">
        <v>38</v>
      </c>
      <c r="M9" s="562">
        <v>1</v>
      </c>
      <c r="N9" s="563" t="s">
        <v>698</v>
      </c>
      <c r="O9" s="563" t="s">
        <v>698</v>
      </c>
      <c r="P9" s="563">
        <v>1.0780000000000001</v>
      </c>
      <c r="Q9" s="563" t="s">
        <v>698</v>
      </c>
      <c r="R9" s="563" t="s">
        <v>698</v>
      </c>
      <c r="S9" s="564">
        <v>1.0780000000000001</v>
      </c>
      <c r="T9" s="563"/>
    </row>
    <row r="10" spans="1:20">
      <c r="A10" s="559">
        <v>1</v>
      </c>
      <c r="B10" s="536" t="s">
        <v>118</v>
      </c>
      <c r="C10" s="560"/>
      <c r="D10" s="560"/>
      <c r="E10" s="560"/>
      <c r="F10" s="561"/>
      <c r="G10" s="538"/>
      <c r="H10" s="561"/>
      <c r="I10" s="538"/>
      <c r="J10" s="561"/>
      <c r="K10" s="536"/>
      <c r="M10" s="562">
        <v>1.4</v>
      </c>
      <c r="N10" s="563" t="s">
        <v>698</v>
      </c>
      <c r="O10" s="563" t="s">
        <v>698</v>
      </c>
      <c r="P10" s="563">
        <v>1.0680000000000001</v>
      </c>
      <c r="Q10" s="563" t="s">
        <v>698</v>
      </c>
      <c r="R10" s="563" t="s">
        <v>698</v>
      </c>
      <c r="S10" s="563">
        <v>1.0680000000000001</v>
      </c>
      <c r="T10" s="563"/>
    </row>
    <row r="11" spans="1:20">
      <c r="A11" s="559">
        <v>2</v>
      </c>
      <c r="B11" s="536" t="s">
        <v>160</v>
      </c>
      <c r="C11" s="560"/>
      <c r="D11" s="560"/>
      <c r="E11" s="560"/>
      <c r="F11" s="561">
        <v>48</v>
      </c>
      <c r="G11" s="538">
        <v>5</v>
      </c>
      <c r="H11" s="561">
        <v>44</v>
      </c>
      <c r="I11" s="538">
        <v>5</v>
      </c>
      <c r="J11" s="561">
        <v>1.0900000000000001</v>
      </c>
      <c r="K11" s="536">
        <v>0.5</v>
      </c>
      <c r="M11" s="562">
        <v>2</v>
      </c>
      <c r="N11" s="563" t="s">
        <v>698</v>
      </c>
      <c r="O11" s="563" t="s">
        <v>698</v>
      </c>
      <c r="P11" s="563">
        <v>1.0549999999999999</v>
      </c>
      <c r="Q11" s="563">
        <v>1.038</v>
      </c>
      <c r="R11" s="563" t="s">
        <v>698</v>
      </c>
      <c r="S11" s="563">
        <v>1.0549999999999999</v>
      </c>
      <c r="T11" s="563"/>
    </row>
    <row r="12" spans="1:20">
      <c r="A12" s="555">
        <v>3</v>
      </c>
      <c r="B12" s="565">
        <v>2571</v>
      </c>
      <c r="C12" s="566">
        <v>41466</v>
      </c>
      <c r="D12" s="566" t="s">
        <v>158</v>
      </c>
      <c r="E12" s="842">
        <v>25</v>
      </c>
      <c r="F12" s="843">
        <v>45.375033224378186</v>
      </c>
      <c r="G12" s="844">
        <v>0.91137248272477345</v>
      </c>
      <c r="H12" s="843">
        <v>41.685097233520075</v>
      </c>
      <c r="I12" s="844">
        <v>0.97506349550898819</v>
      </c>
      <c r="J12" s="843">
        <v>1.0885224710303962</v>
      </c>
      <c r="K12" s="844">
        <v>0.34948926156536514</v>
      </c>
      <c r="M12" s="562">
        <v>2.5</v>
      </c>
      <c r="N12" s="563" t="s">
        <v>698</v>
      </c>
      <c r="O12" s="563" t="s">
        <v>698</v>
      </c>
      <c r="P12" s="563">
        <v>1.0469999999999999</v>
      </c>
      <c r="Q12" s="563">
        <v>1.032</v>
      </c>
      <c r="R12" s="563" t="s">
        <v>698</v>
      </c>
      <c r="S12" s="563">
        <v>1.0469999999999999</v>
      </c>
      <c r="T12" s="563"/>
    </row>
    <row r="13" spans="1:20">
      <c r="A13" s="555">
        <v>4</v>
      </c>
      <c r="B13" s="565" t="s">
        <v>685</v>
      </c>
      <c r="C13" s="566">
        <v>41466</v>
      </c>
      <c r="D13" s="566" t="s">
        <v>158</v>
      </c>
      <c r="E13" s="842">
        <v>12</v>
      </c>
      <c r="F13" s="843">
        <v>48.052318335916759</v>
      </c>
      <c r="G13" s="844">
        <v>0.90544080340967459</v>
      </c>
      <c r="H13" s="843">
        <v>44.089891775330294</v>
      </c>
      <c r="I13" s="844">
        <v>0.79595455964373985</v>
      </c>
      <c r="J13" s="843">
        <v>1.0898701684399374</v>
      </c>
      <c r="K13" s="844">
        <v>0.27432038650290586</v>
      </c>
      <c r="M13" s="562">
        <v>3</v>
      </c>
      <c r="N13" s="563" t="s">
        <v>698</v>
      </c>
      <c r="O13" s="563" t="s">
        <v>698</v>
      </c>
      <c r="P13" s="563">
        <v>1.04</v>
      </c>
      <c r="Q13" s="563">
        <v>1.028</v>
      </c>
      <c r="R13" s="563" t="s">
        <v>698</v>
      </c>
      <c r="S13" s="563">
        <v>1.04</v>
      </c>
      <c r="T13" s="563"/>
    </row>
    <row r="14" spans="1:20">
      <c r="A14" s="555">
        <v>5</v>
      </c>
      <c r="B14" s="565">
        <v>30013</v>
      </c>
      <c r="C14" s="566">
        <v>41466</v>
      </c>
      <c r="D14" s="566" t="s">
        <v>158</v>
      </c>
      <c r="E14" s="842">
        <v>25</v>
      </c>
      <c r="F14" s="843">
        <v>53.809485665657085</v>
      </c>
      <c r="G14" s="844">
        <v>1.0079526828753211</v>
      </c>
      <c r="H14" s="843">
        <v>49.540733310992287</v>
      </c>
      <c r="I14" s="844">
        <v>1.0599035163387016</v>
      </c>
      <c r="J14" s="843">
        <v>1.086168630919319</v>
      </c>
      <c r="K14" s="844">
        <v>0.23377119723359702</v>
      </c>
      <c r="M14" s="562">
        <v>3.5</v>
      </c>
      <c r="N14" s="563" t="s">
        <v>698</v>
      </c>
      <c r="O14" s="563" t="s">
        <v>698</v>
      </c>
      <c r="P14" s="563">
        <v>1.034</v>
      </c>
      <c r="Q14" s="563">
        <v>1.024</v>
      </c>
      <c r="R14" s="563" t="s">
        <v>698</v>
      </c>
      <c r="S14" s="563">
        <v>1.034</v>
      </c>
      <c r="T14" s="563"/>
    </row>
    <row r="15" spans="1:20">
      <c r="A15" s="555">
        <v>6</v>
      </c>
      <c r="B15" s="565" t="s">
        <v>157</v>
      </c>
      <c r="C15" s="566">
        <v>41466</v>
      </c>
      <c r="D15" s="566" t="s">
        <v>158</v>
      </c>
      <c r="E15" s="842">
        <v>5</v>
      </c>
      <c r="F15" s="843">
        <v>103.58556194350474</v>
      </c>
      <c r="G15" s="844">
        <v>1.1057330412109747</v>
      </c>
      <c r="H15" s="843">
        <v>95.505661164326199</v>
      </c>
      <c r="I15" s="844">
        <v>1.3201488328076418</v>
      </c>
      <c r="J15" s="843">
        <v>1.0848799789899595</v>
      </c>
      <c r="K15" s="844">
        <v>0.58904367458625684</v>
      </c>
      <c r="M15" s="562">
        <v>4</v>
      </c>
      <c r="N15" s="563">
        <v>1.012</v>
      </c>
      <c r="O15" s="563">
        <v>1.0129999999999999</v>
      </c>
      <c r="P15" s="563">
        <v>1.028</v>
      </c>
      <c r="Q15" s="563">
        <v>1.02</v>
      </c>
      <c r="R15" s="563">
        <v>1.012</v>
      </c>
      <c r="S15" s="563">
        <v>1.028</v>
      </c>
      <c r="T15" s="563"/>
    </row>
    <row r="16" spans="1:20">
      <c r="A16" s="555">
        <v>7</v>
      </c>
      <c r="B16" s="839" t="s">
        <v>687</v>
      </c>
      <c r="C16" s="835">
        <v>43221</v>
      </c>
      <c r="D16" s="838" t="s">
        <v>158</v>
      </c>
      <c r="E16" s="845">
        <v>1</v>
      </c>
      <c r="F16" s="846">
        <v>48.78</v>
      </c>
      <c r="G16" s="847">
        <v>2</v>
      </c>
      <c r="H16" s="846">
        <v>44.67</v>
      </c>
      <c r="I16" s="847">
        <v>2</v>
      </c>
      <c r="J16" s="846">
        <f>F16/H16</f>
        <v>1.0920080591000672</v>
      </c>
      <c r="K16" s="847">
        <v>0.5</v>
      </c>
      <c r="M16" s="562">
        <v>4.5</v>
      </c>
      <c r="N16" s="563">
        <v>1.01</v>
      </c>
      <c r="O16" s="563">
        <v>1.01</v>
      </c>
      <c r="P16" s="563">
        <v>1.0229999999999999</v>
      </c>
      <c r="Q16" s="563">
        <v>1.0169999999999999</v>
      </c>
      <c r="R16" s="563">
        <v>1.01</v>
      </c>
      <c r="S16" s="563">
        <v>1.0229999999999999</v>
      </c>
      <c r="T16" s="563"/>
    </row>
    <row r="17" spans="1:20">
      <c r="A17" s="555">
        <v>8</v>
      </c>
      <c r="B17" s="839">
        <v>30012</v>
      </c>
      <c r="C17" s="566">
        <v>42781</v>
      </c>
      <c r="D17" s="565" t="s">
        <v>1024</v>
      </c>
      <c r="E17" s="842">
        <v>1</v>
      </c>
      <c r="F17" s="843">
        <v>52.054299999999998</v>
      </c>
      <c r="G17" s="844">
        <v>1</v>
      </c>
      <c r="H17" s="843">
        <v>48.099400000000003</v>
      </c>
      <c r="I17" s="844">
        <v>1</v>
      </c>
      <c r="J17" s="843">
        <f>F17/H17</f>
        <v>1.0822234788791543</v>
      </c>
      <c r="K17" s="844">
        <v>0.3</v>
      </c>
      <c r="M17" s="562">
        <v>5</v>
      </c>
      <c r="N17" s="563">
        <v>1.008</v>
      </c>
      <c r="O17" s="563">
        <v>1.008</v>
      </c>
      <c r="P17" s="563">
        <v>1.0189999999999999</v>
      </c>
      <c r="Q17" s="563">
        <v>1.014</v>
      </c>
      <c r="R17" s="563">
        <v>1.008</v>
      </c>
      <c r="S17" s="563">
        <v>1.0189999999999999</v>
      </c>
      <c r="T17" s="563"/>
    </row>
    <row r="18" spans="1:20">
      <c r="A18" s="555">
        <v>9</v>
      </c>
      <c r="B18" s="839" t="s">
        <v>691</v>
      </c>
      <c r="C18" s="835">
        <v>43257</v>
      </c>
      <c r="D18" s="838" t="s">
        <v>1143</v>
      </c>
      <c r="E18" s="845">
        <v>10</v>
      </c>
      <c r="F18" s="846">
        <v>268.50890206129588</v>
      </c>
      <c r="G18" s="847">
        <v>1.0407667495729136</v>
      </c>
      <c r="H18" s="846"/>
      <c r="I18" s="847"/>
      <c r="J18" s="846"/>
      <c r="K18" s="847">
        <v>0.5</v>
      </c>
      <c r="M18" s="562">
        <v>5.5</v>
      </c>
      <c r="N18" s="563">
        <v>1.006</v>
      </c>
      <c r="O18" s="563">
        <v>1.0069999999999999</v>
      </c>
      <c r="P18" s="563">
        <v>1.014</v>
      </c>
      <c r="Q18" s="563">
        <v>1.0109999999999999</v>
      </c>
      <c r="R18" s="563">
        <v>1.006</v>
      </c>
      <c r="S18" s="563">
        <v>1.014</v>
      </c>
      <c r="T18" s="563"/>
    </row>
    <row r="19" spans="1:20">
      <c r="A19" s="555">
        <v>10</v>
      </c>
      <c r="B19" s="839" t="s">
        <v>1082</v>
      </c>
      <c r="C19" s="835">
        <v>43257</v>
      </c>
      <c r="D19" s="838" t="s">
        <v>1144</v>
      </c>
      <c r="E19" s="845">
        <v>1</v>
      </c>
      <c r="F19" s="846">
        <v>49.305808547316765</v>
      </c>
      <c r="G19" s="847">
        <v>1</v>
      </c>
      <c r="H19" s="846">
        <v>45.114831186755985</v>
      </c>
      <c r="I19" s="847">
        <v>1</v>
      </c>
      <c r="J19" s="846">
        <f>F19/H19</f>
        <v>1.0928957784018283</v>
      </c>
      <c r="K19" s="847">
        <v>0.5</v>
      </c>
      <c r="M19" s="562">
        <v>6</v>
      </c>
      <c r="N19" s="563">
        <v>1.0049999999999999</v>
      </c>
      <c r="O19" s="563">
        <v>1.0049999999999999</v>
      </c>
      <c r="P19" s="563">
        <v>1.01</v>
      </c>
      <c r="Q19" s="563">
        <v>1.008</v>
      </c>
      <c r="R19" s="563">
        <v>1.0049999999999999</v>
      </c>
      <c r="S19" s="563">
        <v>1.01</v>
      </c>
      <c r="T19" s="563"/>
    </row>
    <row r="20" spans="1:20">
      <c r="A20" s="555">
        <v>11</v>
      </c>
      <c r="B20" s="839" t="s">
        <v>1079</v>
      </c>
      <c r="C20" s="840"/>
      <c r="D20" s="841"/>
      <c r="E20" s="850"/>
      <c r="F20" s="848"/>
      <c r="G20" s="849"/>
      <c r="H20" s="848"/>
      <c r="I20" s="849"/>
      <c r="J20" s="848"/>
      <c r="K20" s="849"/>
      <c r="M20" s="562">
        <v>7</v>
      </c>
      <c r="N20" s="563">
        <v>1.0009999999999999</v>
      </c>
      <c r="O20" s="563">
        <v>1.002</v>
      </c>
      <c r="P20" s="563">
        <v>1.0029999999999999</v>
      </c>
      <c r="Q20" s="563">
        <v>1.0029999999999999</v>
      </c>
      <c r="R20" s="563">
        <v>1.002</v>
      </c>
      <c r="S20" s="563">
        <v>1.0029999999999999</v>
      </c>
      <c r="T20" s="563"/>
    </row>
    <row r="21" spans="1:20">
      <c r="A21" s="555">
        <v>12</v>
      </c>
      <c r="B21" s="565"/>
      <c r="C21" s="565"/>
      <c r="D21" s="565"/>
      <c r="E21" s="567"/>
      <c r="F21" s="568"/>
      <c r="G21" s="569"/>
      <c r="H21" s="568"/>
      <c r="I21" s="569"/>
      <c r="J21" s="568"/>
      <c r="K21" s="569"/>
      <c r="M21" s="562">
        <v>8</v>
      </c>
      <c r="N21" s="563">
        <v>0.999</v>
      </c>
      <c r="O21" s="563">
        <v>0.998</v>
      </c>
      <c r="P21" s="563">
        <v>0.997</v>
      </c>
      <c r="Q21" s="563">
        <v>0.997</v>
      </c>
      <c r="R21" s="563">
        <v>0.998</v>
      </c>
      <c r="S21" s="563">
        <v>0.997</v>
      </c>
      <c r="T21" s="563"/>
    </row>
    <row r="22" spans="1:20">
      <c r="A22" s="555">
        <v>13</v>
      </c>
      <c r="B22" s="565"/>
      <c r="C22" s="565"/>
      <c r="D22" s="565"/>
      <c r="E22" s="567"/>
      <c r="F22" s="568"/>
      <c r="G22" s="569"/>
      <c r="H22" s="568"/>
      <c r="I22" s="569"/>
      <c r="J22" s="568"/>
      <c r="K22" s="569"/>
      <c r="M22" s="562">
        <v>10</v>
      </c>
      <c r="N22" s="563">
        <v>0.99299999999999999</v>
      </c>
      <c r="O22" s="563">
        <v>0.99199999999999999</v>
      </c>
      <c r="P22" s="563">
        <v>0.98599999999999999</v>
      </c>
      <c r="Q22" s="563">
        <v>0.98799999999999999</v>
      </c>
      <c r="R22" s="563">
        <v>0.99299999999999999</v>
      </c>
      <c r="S22" s="563">
        <v>0.98599999999999999</v>
      </c>
      <c r="T22" s="563"/>
    </row>
    <row r="23" spans="1:20">
      <c r="A23" s="555">
        <v>14</v>
      </c>
      <c r="B23" s="565"/>
      <c r="C23" s="565"/>
      <c r="D23" s="565"/>
      <c r="E23" s="567"/>
      <c r="F23" s="568"/>
      <c r="G23" s="569"/>
      <c r="H23" s="568"/>
      <c r="I23" s="569"/>
      <c r="J23" s="568"/>
      <c r="K23" s="569"/>
      <c r="M23" s="562">
        <v>13</v>
      </c>
      <c r="N23" s="563">
        <v>0.98399999999999999</v>
      </c>
      <c r="O23" s="563">
        <v>0.98399999999999999</v>
      </c>
      <c r="P23" s="563">
        <v>0.97199999999999998</v>
      </c>
      <c r="Q23" s="563">
        <v>0.97599999999999998</v>
      </c>
      <c r="R23" s="563">
        <v>0.98399999999999999</v>
      </c>
      <c r="S23" s="563">
        <v>0.97199999999999998</v>
      </c>
      <c r="T23" s="563"/>
    </row>
    <row r="24" spans="1:20">
      <c r="A24" s="555">
        <v>15</v>
      </c>
      <c r="B24" s="565"/>
      <c r="C24" s="565"/>
      <c r="D24" s="565"/>
      <c r="E24" s="567"/>
      <c r="F24" s="568"/>
      <c r="G24" s="569"/>
      <c r="H24" s="568"/>
      <c r="I24" s="569"/>
      <c r="J24" s="568"/>
      <c r="K24" s="569"/>
      <c r="M24" s="562">
        <v>16</v>
      </c>
      <c r="N24" s="563">
        <v>0.97599999999999998</v>
      </c>
      <c r="O24" s="563">
        <v>0.97599999999999998</v>
      </c>
      <c r="P24" s="563">
        <v>0.96099999999999997</v>
      </c>
      <c r="Q24" s="563">
        <v>0.96499999999999997</v>
      </c>
      <c r="R24" s="563">
        <v>0.97599999999999998</v>
      </c>
      <c r="S24" s="563">
        <v>0.96099999999999997</v>
      </c>
      <c r="T24" s="563"/>
    </row>
    <row r="25" spans="1:20">
      <c r="A25" s="558">
        <v>16</v>
      </c>
      <c r="B25" s="570"/>
      <c r="C25" s="570"/>
      <c r="D25" s="570"/>
      <c r="E25" s="571"/>
      <c r="F25" s="572"/>
      <c r="G25" s="573"/>
      <c r="H25" s="572"/>
      <c r="I25" s="573"/>
      <c r="J25" s="572"/>
      <c r="K25" s="573"/>
      <c r="M25" s="562">
        <v>20</v>
      </c>
      <c r="N25" s="563">
        <v>0.96599999999999997</v>
      </c>
      <c r="O25" s="563">
        <v>0.96499999999999997</v>
      </c>
      <c r="P25" s="563">
        <v>0.94799999999999995</v>
      </c>
      <c r="Q25" s="563">
        <v>0.95199999999999996</v>
      </c>
      <c r="R25" s="563">
        <v>0.96499999999999997</v>
      </c>
      <c r="S25" s="563">
        <v>0.94799999999999995</v>
      </c>
      <c r="T25" s="563"/>
    </row>
    <row r="27" spans="1:20">
      <c r="A27" s="820" t="s">
        <v>699</v>
      </c>
      <c r="B27" s="821"/>
      <c r="C27" s="821"/>
      <c r="D27" s="821"/>
      <c r="E27" s="821"/>
      <c r="F27" s="822"/>
      <c r="G27" s="822"/>
      <c r="H27" s="822"/>
      <c r="I27" s="822"/>
      <c r="J27" s="822"/>
      <c r="K27" s="823"/>
      <c r="L27" s="822"/>
      <c r="M27" s="822"/>
      <c r="N27" s="822"/>
      <c r="O27" s="822"/>
      <c r="P27" s="822"/>
      <c r="Q27" s="823"/>
    </row>
    <row r="28" spans="1:20">
      <c r="A28" s="553" t="s">
        <v>119</v>
      </c>
      <c r="B28" s="553" t="s">
        <v>98</v>
      </c>
      <c r="C28" s="553" t="s">
        <v>110</v>
      </c>
      <c r="D28" s="554" t="s">
        <v>117</v>
      </c>
      <c r="E28" s="554" t="s">
        <v>147</v>
      </c>
      <c r="F28" s="1469" t="s">
        <v>943</v>
      </c>
      <c r="G28" s="1470"/>
      <c r="H28" s="1469" t="s">
        <v>943</v>
      </c>
      <c r="I28" s="1470"/>
      <c r="J28" s="1469" t="s">
        <v>943</v>
      </c>
      <c r="K28" s="1470"/>
      <c r="L28" s="1469" t="s">
        <v>1172</v>
      </c>
      <c r="M28" s="1470"/>
      <c r="N28" s="1469" t="s">
        <v>1172</v>
      </c>
      <c r="O28" s="1470"/>
      <c r="P28" s="1469" t="s">
        <v>1172</v>
      </c>
      <c r="Q28" s="1470"/>
    </row>
    <row r="29" spans="1:20">
      <c r="A29" s="555"/>
      <c r="B29" s="555"/>
      <c r="C29" s="555"/>
      <c r="D29" s="555"/>
      <c r="E29" s="555" t="s">
        <v>148</v>
      </c>
      <c r="F29" s="555" t="s">
        <v>111</v>
      </c>
      <c r="G29" s="555" t="s">
        <v>112</v>
      </c>
      <c r="H29" s="555" t="s">
        <v>111</v>
      </c>
      <c r="I29" s="555" t="s">
        <v>112</v>
      </c>
      <c r="J29" s="555" t="s">
        <v>111</v>
      </c>
      <c r="K29" s="555" t="s">
        <v>112</v>
      </c>
      <c r="L29" s="555" t="s">
        <v>111</v>
      </c>
      <c r="M29" s="555" t="s">
        <v>112</v>
      </c>
      <c r="N29" s="555" t="s">
        <v>111</v>
      </c>
      <c r="O29" s="555" t="s">
        <v>112</v>
      </c>
      <c r="P29" s="555" t="s">
        <v>111</v>
      </c>
      <c r="Q29" s="555" t="s">
        <v>112</v>
      </c>
    </row>
    <row r="30" spans="1:20">
      <c r="A30" s="558"/>
      <c r="B30" s="558"/>
      <c r="C30" s="558"/>
      <c r="D30" s="558"/>
      <c r="E30" s="558" t="s">
        <v>149</v>
      </c>
      <c r="F30" s="558"/>
      <c r="G30" s="558" t="s">
        <v>38</v>
      </c>
      <c r="H30" s="558"/>
      <c r="I30" s="558" t="s">
        <v>38</v>
      </c>
      <c r="J30" s="558"/>
      <c r="K30" s="558" t="s">
        <v>38</v>
      </c>
      <c r="L30" s="558" t="s">
        <v>0</v>
      </c>
      <c r="M30" s="558" t="s">
        <v>38</v>
      </c>
      <c r="N30" s="558" t="s">
        <v>0</v>
      </c>
      <c r="O30" s="558" t="s">
        <v>38</v>
      </c>
      <c r="P30" s="558" t="s">
        <v>0</v>
      </c>
      <c r="Q30" s="558" t="s">
        <v>38</v>
      </c>
    </row>
    <row r="31" spans="1:20">
      <c r="A31" s="559">
        <v>1</v>
      </c>
      <c r="B31" s="575" t="s">
        <v>118</v>
      </c>
      <c r="C31" s="560"/>
      <c r="D31" s="560"/>
      <c r="E31" s="560"/>
      <c r="F31" s="561"/>
      <c r="G31" s="538"/>
      <c r="H31" s="561"/>
      <c r="I31" s="538"/>
      <c r="J31" s="561"/>
      <c r="K31" s="536"/>
      <c r="L31" s="561"/>
      <c r="M31" s="538"/>
      <c r="N31" s="561"/>
      <c r="O31" s="538"/>
      <c r="P31" s="561"/>
      <c r="Q31" s="536"/>
    </row>
    <row r="32" spans="1:20">
      <c r="A32" s="555">
        <v>2</v>
      </c>
      <c r="B32" s="864" t="s">
        <v>684</v>
      </c>
      <c r="C32" s="833">
        <v>43235</v>
      </c>
      <c r="D32" s="833" t="s">
        <v>1046</v>
      </c>
      <c r="E32" s="834">
        <v>20</v>
      </c>
      <c r="F32" s="885">
        <v>0.98799999999999999</v>
      </c>
      <c r="G32" s="773">
        <v>0.2</v>
      </c>
      <c r="H32" s="885">
        <v>0.97499999999999998</v>
      </c>
      <c r="I32" s="773">
        <v>0.3</v>
      </c>
      <c r="J32" s="885">
        <v>0.96399999999999997</v>
      </c>
      <c r="K32" s="773">
        <v>0.2</v>
      </c>
      <c r="L32" s="885">
        <v>44.85</v>
      </c>
      <c r="M32" s="773">
        <v>0.9</v>
      </c>
      <c r="N32" s="885">
        <v>44.26</v>
      </c>
      <c r="O32" s="773">
        <v>0.9</v>
      </c>
      <c r="P32" s="885">
        <v>43.75</v>
      </c>
      <c r="Q32" s="773">
        <v>0.9</v>
      </c>
    </row>
    <row r="33" spans="1:17">
      <c r="A33" s="555">
        <v>3</v>
      </c>
      <c r="B33" s="864" t="s">
        <v>685</v>
      </c>
      <c r="C33" s="833">
        <v>43235</v>
      </c>
      <c r="D33" s="833" t="s">
        <v>1046</v>
      </c>
      <c r="E33" s="834">
        <v>10</v>
      </c>
      <c r="F33" s="885">
        <v>0.98799999999999999</v>
      </c>
      <c r="G33" s="773">
        <v>0.5</v>
      </c>
      <c r="H33" s="885">
        <v>0.97499999999999998</v>
      </c>
      <c r="I33" s="773">
        <v>0.4</v>
      </c>
      <c r="J33" s="885">
        <v>0.96299999999999997</v>
      </c>
      <c r="K33" s="773">
        <v>0.4</v>
      </c>
      <c r="L33" s="885" t="s">
        <v>1181</v>
      </c>
      <c r="M33" s="773">
        <v>0.7</v>
      </c>
      <c r="N33" s="885">
        <v>46.89</v>
      </c>
      <c r="O33" s="773">
        <v>0.6</v>
      </c>
      <c r="P33" s="885">
        <v>46.31</v>
      </c>
      <c r="Q33" s="773">
        <v>0.7</v>
      </c>
    </row>
    <row r="34" spans="1:17">
      <c r="A34" s="555">
        <v>4</v>
      </c>
      <c r="B34" s="864" t="s">
        <v>686</v>
      </c>
      <c r="C34" s="833">
        <v>43257</v>
      </c>
      <c r="D34" s="833" t="s">
        <v>1046</v>
      </c>
      <c r="E34" s="834">
        <v>43</v>
      </c>
      <c r="F34" s="885">
        <v>0.98299999999999998</v>
      </c>
      <c r="G34" s="773">
        <v>0.4</v>
      </c>
      <c r="H34" s="885" t="s">
        <v>1178</v>
      </c>
      <c r="I34" s="773">
        <v>0.3</v>
      </c>
      <c r="J34" s="885">
        <v>0.95699999999999996</v>
      </c>
      <c r="K34" s="773">
        <v>0.3</v>
      </c>
      <c r="L34" s="885">
        <v>52.93</v>
      </c>
      <c r="M34" s="773">
        <v>1</v>
      </c>
      <c r="N34" s="885">
        <v>52.21</v>
      </c>
      <c r="O34" s="773">
        <v>1</v>
      </c>
      <c r="P34" s="885">
        <v>51.53</v>
      </c>
      <c r="Q34" s="773">
        <v>1</v>
      </c>
    </row>
    <row r="35" spans="1:17">
      <c r="A35" s="555">
        <v>5</v>
      </c>
      <c r="B35" s="864" t="s">
        <v>687</v>
      </c>
      <c r="C35" s="833">
        <v>43235</v>
      </c>
      <c r="D35" s="833" t="s">
        <v>1046</v>
      </c>
      <c r="E35" s="834">
        <v>1</v>
      </c>
      <c r="F35" s="885">
        <v>0.98899999999999999</v>
      </c>
      <c r="G35" s="773">
        <v>0.4</v>
      </c>
      <c r="H35" s="885">
        <v>0.97699999999999998</v>
      </c>
      <c r="I35" s="773">
        <v>0.4</v>
      </c>
      <c r="J35" s="885">
        <v>0.96599999999999997</v>
      </c>
      <c r="K35" s="773">
        <v>0.4</v>
      </c>
      <c r="L35" s="885">
        <v>48.18</v>
      </c>
      <c r="M35" s="773"/>
      <c r="N35" s="885" t="s">
        <v>1182</v>
      </c>
      <c r="O35" s="773"/>
      <c r="P35" s="885">
        <v>47.08</v>
      </c>
      <c r="Q35" s="773"/>
    </row>
    <row r="36" spans="1:17">
      <c r="A36" s="555">
        <v>6</v>
      </c>
      <c r="B36" s="864">
        <v>2561</v>
      </c>
      <c r="C36" s="833">
        <v>43235</v>
      </c>
      <c r="D36" s="833" t="s">
        <v>1046</v>
      </c>
      <c r="E36" s="834">
        <v>1</v>
      </c>
      <c r="F36" s="885" t="s">
        <v>1179</v>
      </c>
      <c r="G36" s="773">
        <v>0.4</v>
      </c>
      <c r="H36" s="885" t="s">
        <v>1187</v>
      </c>
      <c r="I36" s="773">
        <v>0.4</v>
      </c>
      <c r="J36" s="885" t="s">
        <v>1188</v>
      </c>
      <c r="K36" s="773">
        <v>0.4</v>
      </c>
      <c r="L36" s="885" t="s">
        <v>1189</v>
      </c>
      <c r="M36" s="773">
        <v>3.5</v>
      </c>
      <c r="N36" s="885">
        <v>99.65</v>
      </c>
      <c r="O36" s="773">
        <v>3.7</v>
      </c>
      <c r="P36" s="885">
        <v>98.29</v>
      </c>
      <c r="Q36" s="773">
        <v>3.3</v>
      </c>
    </row>
    <row r="37" spans="1:17">
      <c r="A37" s="555">
        <v>7</v>
      </c>
      <c r="B37" s="864" t="s">
        <v>754</v>
      </c>
      <c r="C37" s="835">
        <v>43257</v>
      </c>
      <c r="D37" s="833" t="s">
        <v>1046</v>
      </c>
      <c r="E37" s="834">
        <v>2</v>
      </c>
      <c r="F37" s="885" t="s">
        <v>1179</v>
      </c>
      <c r="G37" s="773">
        <v>0.4</v>
      </c>
      <c r="H37" s="885">
        <v>0.97899999999999998</v>
      </c>
      <c r="I37" s="773">
        <v>0.4</v>
      </c>
      <c r="J37" s="885">
        <v>0.96599999999999997</v>
      </c>
      <c r="K37" s="773">
        <v>0.4</v>
      </c>
      <c r="L37" s="885" t="s">
        <v>1189</v>
      </c>
      <c r="M37" s="773">
        <v>3.5</v>
      </c>
      <c r="N37" s="885">
        <v>99.65</v>
      </c>
      <c r="O37" s="773">
        <v>3.7</v>
      </c>
      <c r="P37" s="885">
        <v>98.29</v>
      </c>
      <c r="Q37" s="773">
        <v>3.3</v>
      </c>
    </row>
    <row r="38" spans="1:17">
      <c r="A38" s="555">
        <v>8</v>
      </c>
      <c r="B38" s="864" t="s">
        <v>691</v>
      </c>
      <c r="C38" s="835">
        <v>43257</v>
      </c>
      <c r="D38" s="833" t="s">
        <v>1046</v>
      </c>
      <c r="E38" s="836">
        <v>10</v>
      </c>
      <c r="F38" s="886">
        <v>0.98499999999999999</v>
      </c>
      <c r="G38" s="837">
        <v>0.3</v>
      </c>
      <c r="H38" s="886">
        <v>0.97699999999999998</v>
      </c>
      <c r="I38" s="837">
        <v>0.3</v>
      </c>
      <c r="J38" s="886">
        <v>0.96299999999999997</v>
      </c>
      <c r="K38" s="837">
        <v>0.3</v>
      </c>
      <c r="L38" s="886" t="s">
        <v>1185</v>
      </c>
      <c r="M38" s="837">
        <v>0.7</v>
      </c>
      <c r="N38" s="886" t="s">
        <v>1183</v>
      </c>
      <c r="O38" s="837">
        <v>0.6</v>
      </c>
      <c r="P38" s="886">
        <v>258.3</v>
      </c>
      <c r="Q38" s="837">
        <v>0.7</v>
      </c>
    </row>
    <row r="39" spans="1:17">
      <c r="A39" s="555">
        <v>9</v>
      </c>
      <c r="B39" s="864">
        <v>30012</v>
      </c>
      <c r="C39" s="835">
        <v>43257</v>
      </c>
      <c r="D39" s="833" t="s">
        <v>1046</v>
      </c>
      <c r="E39" s="834">
        <v>2</v>
      </c>
      <c r="F39" s="885">
        <v>0.98899999999999999</v>
      </c>
      <c r="G39" s="837">
        <v>0.4</v>
      </c>
      <c r="H39" s="885">
        <v>0.97599999999999998</v>
      </c>
      <c r="I39" s="837">
        <v>0.4</v>
      </c>
      <c r="J39" s="885">
        <v>0.96499999999999997</v>
      </c>
      <c r="K39" s="837">
        <v>0.4</v>
      </c>
      <c r="L39" s="885" t="s">
        <v>1184</v>
      </c>
      <c r="M39" s="837">
        <v>2.5</v>
      </c>
      <c r="N39" s="885">
        <v>51.38</v>
      </c>
      <c r="O39" s="837">
        <v>2.2000000000000002</v>
      </c>
      <c r="P39" s="885">
        <v>50.79</v>
      </c>
      <c r="Q39" s="837">
        <v>2.2999999999999998</v>
      </c>
    </row>
    <row r="40" spans="1:17">
      <c r="A40" s="555">
        <v>10</v>
      </c>
      <c r="B40" s="864" t="s">
        <v>1082</v>
      </c>
      <c r="C40" s="835">
        <v>43257</v>
      </c>
      <c r="D40" s="833" t="s">
        <v>1046</v>
      </c>
      <c r="E40" s="836">
        <v>1</v>
      </c>
      <c r="F40" s="886">
        <v>0.98399999999999999</v>
      </c>
      <c r="G40" s="837">
        <v>0.4</v>
      </c>
      <c r="H40" s="886">
        <v>0.97299999999999998</v>
      </c>
      <c r="I40" s="837">
        <v>0.4</v>
      </c>
      <c r="J40" s="886" t="s">
        <v>1180</v>
      </c>
      <c r="K40" s="837">
        <v>0.4</v>
      </c>
      <c r="L40" s="886">
        <v>48.49</v>
      </c>
      <c r="M40" s="837"/>
      <c r="N40" s="886">
        <v>47.96</v>
      </c>
      <c r="O40" s="837"/>
      <c r="P40" s="886" t="s">
        <v>1186</v>
      </c>
      <c r="Q40" s="837"/>
    </row>
    <row r="41" spans="1:17">
      <c r="A41" s="555">
        <v>11</v>
      </c>
      <c r="B41" s="864" t="s">
        <v>1079</v>
      </c>
      <c r="C41" s="835"/>
      <c r="D41" s="838"/>
      <c r="E41" s="836"/>
      <c r="F41" s="886"/>
      <c r="G41" s="837"/>
      <c r="H41" s="886"/>
      <c r="I41" s="837"/>
      <c r="J41" s="886"/>
      <c r="K41" s="837"/>
      <c r="L41" s="886"/>
      <c r="M41" s="837"/>
      <c r="N41" s="886"/>
      <c r="O41" s="837"/>
      <c r="P41" s="886"/>
      <c r="Q41" s="837"/>
    </row>
    <row r="42" spans="1:17">
      <c r="A42" s="555">
        <v>12</v>
      </c>
      <c r="B42" s="883"/>
      <c r="C42" s="565"/>
      <c r="D42" s="565"/>
      <c r="E42" s="567"/>
      <c r="F42" s="883"/>
      <c r="G42" s="569"/>
      <c r="H42" s="883"/>
      <c r="I42" s="569"/>
      <c r="J42" s="883"/>
      <c r="K42" s="569"/>
      <c r="L42" s="885"/>
      <c r="M42" s="569"/>
      <c r="N42" s="885"/>
      <c r="O42" s="569"/>
      <c r="P42" s="885"/>
      <c r="Q42" s="569"/>
    </row>
    <row r="43" spans="1:17">
      <c r="A43" s="555">
        <v>13</v>
      </c>
      <c r="B43" s="883"/>
      <c r="C43" s="565"/>
      <c r="D43" s="565"/>
      <c r="E43" s="567"/>
      <c r="F43" s="883"/>
      <c r="G43" s="569"/>
      <c r="H43" s="883"/>
      <c r="I43" s="569"/>
      <c r="J43" s="883"/>
      <c r="K43" s="569"/>
      <c r="L43" s="885"/>
      <c r="M43" s="569"/>
      <c r="N43" s="885"/>
      <c r="O43" s="569"/>
      <c r="P43" s="885"/>
      <c r="Q43" s="569"/>
    </row>
    <row r="44" spans="1:17">
      <c r="A44" s="558">
        <v>14</v>
      </c>
      <c r="B44" s="884"/>
      <c r="C44" s="570"/>
      <c r="D44" s="570"/>
      <c r="E44" s="571"/>
      <c r="F44" s="884"/>
      <c r="G44" s="573"/>
      <c r="H44" s="884"/>
      <c r="I44" s="573"/>
      <c r="J44" s="884"/>
      <c r="K44" s="573"/>
      <c r="L44" s="887"/>
      <c r="M44" s="573"/>
      <c r="N44" s="887"/>
      <c r="O44" s="573"/>
      <c r="P44" s="887"/>
      <c r="Q44" s="573"/>
    </row>
    <row r="46" spans="1:17">
      <c r="A46" s="824" t="s">
        <v>700</v>
      </c>
      <c r="B46" s="825"/>
      <c r="C46" s="825"/>
      <c r="D46" s="825"/>
      <c r="E46" s="825"/>
      <c r="F46" s="826"/>
      <c r="G46" s="826"/>
      <c r="H46" s="576"/>
      <c r="I46" s="681" t="s">
        <v>965</v>
      </c>
      <c r="J46" s="673"/>
      <c r="K46" s="673"/>
      <c r="L46" s="673"/>
      <c r="M46" s="673"/>
      <c r="N46" s="1477"/>
      <c r="O46" s="1478"/>
    </row>
    <row r="47" spans="1:17" ht="14.25">
      <c r="A47" s="553" t="s">
        <v>119</v>
      </c>
      <c r="B47" s="553" t="s">
        <v>98</v>
      </c>
      <c r="C47" s="553" t="s">
        <v>110</v>
      </c>
      <c r="D47" s="554" t="s">
        <v>117</v>
      </c>
      <c r="E47" s="554" t="s">
        <v>147</v>
      </c>
      <c r="F47" s="1469" t="s">
        <v>701</v>
      </c>
      <c r="G47" s="1470"/>
      <c r="H47" s="672"/>
      <c r="I47" s="674"/>
      <c r="J47" s="675" t="s">
        <v>964</v>
      </c>
      <c r="K47" s="682"/>
      <c r="L47" s="697" t="s">
        <v>701</v>
      </c>
      <c r="M47" s="675" t="s">
        <v>110</v>
      </c>
      <c r="N47" s="1475" t="s">
        <v>117</v>
      </c>
      <c r="O47" s="1476"/>
    </row>
    <row r="48" spans="1:17">
      <c r="A48" s="555"/>
      <c r="B48" s="555"/>
      <c r="C48" s="555"/>
      <c r="D48" s="555"/>
      <c r="E48" s="555" t="s">
        <v>148</v>
      </c>
      <c r="F48" s="555" t="s">
        <v>111</v>
      </c>
      <c r="G48" s="555" t="s">
        <v>112</v>
      </c>
      <c r="H48" s="577"/>
      <c r="I48" s="676"/>
      <c r="J48" s="695"/>
      <c r="K48" s="696"/>
      <c r="L48" s="698" t="s">
        <v>969</v>
      </c>
      <c r="M48" s="698"/>
      <c r="N48" s="1479"/>
      <c r="O48" s="1480"/>
    </row>
    <row r="49" spans="1:15">
      <c r="A49" s="558"/>
      <c r="B49" s="558"/>
      <c r="C49" s="558"/>
      <c r="D49" s="558"/>
      <c r="E49" s="558" t="s">
        <v>149</v>
      </c>
      <c r="F49" s="558" t="s">
        <v>0</v>
      </c>
      <c r="G49" s="558" t="s">
        <v>38</v>
      </c>
      <c r="H49" s="577"/>
      <c r="I49" s="677"/>
      <c r="J49" s="683"/>
      <c r="K49" s="684"/>
      <c r="L49" s="692" t="s">
        <v>0</v>
      </c>
      <c r="M49" s="692"/>
      <c r="N49" s="1479"/>
      <c r="O49" s="1480"/>
    </row>
    <row r="50" spans="1:15">
      <c r="A50" s="559">
        <v>1</v>
      </c>
      <c r="B50" s="575" t="s">
        <v>118</v>
      </c>
      <c r="C50" s="560"/>
      <c r="D50" s="560"/>
      <c r="E50" s="560"/>
      <c r="F50" s="561"/>
      <c r="G50" s="538"/>
      <c r="H50" s="578"/>
      <c r="I50" s="678">
        <v>1</v>
      </c>
      <c r="J50" s="679" t="s">
        <v>118</v>
      </c>
      <c r="K50" s="680"/>
      <c r="L50" s="693"/>
      <c r="M50" s="693"/>
      <c r="N50" s="1481"/>
      <c r="O50" s="1482"/>
    </row>
    <row r="51" spans="1:15">
      <c r="A51" s="555">
        <v>2</v>
      </c>
      <c r="B51" s="567" t="s">
        <v>1098</v>
      </c>
      <c r="C51" s="566">
        <v>43264</v>
      </c>
      <c r="D51" s="566" t="s">
        <v>1043</v>
      </c>
      <c r="E51" s="567">
        <v>29</v>
      </c>
      <c r="F51" s="748">
        <v>74.966643153568597</v>
      </c>
      <c r="G51" s="569">
        <v>2</v>
      </c>
      <c r="H51" s="578"/>
      <c r="I51" s="676">
        <v>2</v>
      </c>
      <c r="J51" s="685" t="s">
        <v>967</v>
      </c>
      <c r="K51" s="686"/>
      <c r="L51" s="747">
        <v>75.973260361509787</v>
      </c>
      <c r="M51" s="774">
        <v>42803</v>
      </c>
      <c r="N51" s="1473" t="s">
        <v>1042</v>
      </c>
      <c r="O51" s="1474"/>
    </row>
    <row r="52" spans="1:15">
      <c r="A52" s="555">
        <v>3</v>
      </c>
      <c r="B52" s="567" t="s">
        <v>1094</v>
      </c>
      <c r="C52" s="566">
        <v>42803</v>
      </c>
      <c r="D52" s="566" t="s">
        <v>1043</v>
      </c>
      <c r="E52" s="567">
        <v>1</v>
      </c>
      <c r="F52" s="855">
        <v>1284.9742995081349</v>
      </c>
      <c r="G52" s="569">
        <v>2</v>
      </c>
      <c r="H52" s="578"/>
      <c r="I52" s="676">
        <v>3</v>
      </c>
      <c r="J52" s="687" t="s">
        <v>966</v>
      </c>
      <c r="K52" s="688"/>
      <c r="L52" s="748">
        <v>75.095821204383284</v>
      </c>
      <c r="M52" s="774">
        <v>42803</v>
      </c>
      <c r="N52" s="1473" t="s">
        <v>1042</v>
      </c>
      <c r="O52" s="1474"/>
    </row>
    <row r="53" spans="1:15">
      <c r="A53" s="555">
        <v>4</v>
      </c>
      <c r="B53" s="842" t="s">
        <v>1097</v>
      </c>
      <c r="C53" s="566">
        <v>43264</v>
      </c>
      <c r="D53" s="566" t="s">
        <v>1043</v>
      </c>
      <c r="E53" s="567">
        <v>2</v>
      </c>
      <c r="F53" s="748">
        <v>76.007716010717289</v>
      </c>
      <c r="G53" s="569">
        <v>2</v>
      </c>
      <c r="H53" s="578"/>
      <c r="I53" s="676">
        <v>4</v>
      </c>
      <c r="J53" s="687" t="s">
        <v>968</v>
      </c>
      <c r="K53" s="688"/>
      <c r="L53" s="748">
        <v>74.938188410152136</v>
      </c>
      <c r="M53" s="774">
        <v>42803</v>
      </c>
      <c r="N53" s="1473" t="s">
        <v>1042</v>
      </c>
      <c r="O53" s="1474"/>
    </row>
    <row r="54" spans="1:15">
      <c r="A54" s="555">
        <v>5</v>
      </c>
      <c r="B54" s="567"/>
      <c r="C54" s="566"/>
      <c r="D54" s="566"/>
      <c r="E54" s="567"/>
      <c r="F54" s="568"/>
      <c r="G54" s="569"/>
      <c r="H54" s="578"/>
      <c r="I54" s="676">
        <v>5</v>
      </c>
      <c r="J54" s="687" t="s">
        <v>1033</v>
      </c>
      <c r="K54" s="688"/>
      <c r="L54" s="773">
        <v>1284.9742995081349</v>
      </c>
      <c r="M54" s="774">
        <v>42803</v>
      </c>
      <c r="N54" s="1473" t="s">
        <v>1042</v>
      </c>
      <c r="O54" s="1474"/>
    </row>
    <row r="55" spans="1:15" ht="14.25">
      <c r="A55" s="553" t="s">
        <v>119</v>
      </c>
      <c r="B55" s="553" t="s">
        <v>98</v>
      </c>
      <c r="C55" s="553" t="s">
        <v>110</v>
      </c>
      <c r="D55" s="915" t="s">
        <v>117</v>
      </c>
      <c r="E55" s="915" t="s">
        <v>147</v>
      </c>
      <c r="F55" s="1469" t="s">
        <v>1343</v>
      </c>
      <c r="G55" s="1470"/>
      <c r="H55" s="578"/>
      <c r="I55" s="676">
        <v>6</v>
      </c>
      <c r="J55" s="687"/>
      <c r="K55" s="688"/>
      <c r="L55" s="748"/>
      <c r="M55" s="694"/>
      <c r="N55" s="1473"/>
      <c r="O55" s="1474"/>
    </row>
    <row r="56" spans="1:15" ht="14.25">
      <c r="A56" s="555"/>
      <c r="B56" s="555"/>
      <c r="C56" s="555"/>
      <c r="D56" s="555"/>
      <c r="E56" s="555" t="s">
        <v>148</v>
      </c>
      <c r="F56" s="555" t="s">
        <v>111</v>
      </c>
      <c r="G56" s="555" t="s">
        <v>112</v>
      </c>
      <c r="H56" s="578"/>
      <c r="I56" s="674"/>
      <c r="J56" s="675" t="s">
        <v>964</v>
      </c>
      <c r="K56" s="682"/>
      <c r="L56" s="697" t="s">
        <v>1343</v>
      </c>
      <c r="M56" s="675" t="s">
        <v>110</v>
      </c>
      <c r="N56" s="1475" t="s">
        <v>117</v>
      </c>
      <c r="O56" s="1476"/>
    </row>
    <row r="57" spans="1:15">
      <c r="A57" s="558"/>
      <c r="B57" s="558"/>
      <c r="C57" s="558"/>
      <c r="D57" s="558"/>
      <c r="E57" s="558" t="s">
        <v>149</v>
      </c>
      <c r="F57" s="558" t="s">
        <v>0</v>
      </c>
      <c r="G57" s="558" t="s">
        <v>38</v>
      </c>
      <c r="H57" s="578"/>
      <c r="I57" s="676"/>
      <c r="J57" s="695"/>
      <c r="K57" s="696"/>
      <c r="L57" s="916" t="s">
        <v>969</v>
      </c>
      <c r="M57" s="916"/>
      <c r="N57" s="1479"/>
      <c r="O57" s="1480"/>
    </row>
    <row r="58" spans="1:15">
      <c r="A58" s="555">
        <v>1</v>
      </c>
      <c r="B58" s="567" t="s">
        <v>1098</v>
      </c>
      <c r="C58" s="566">
        <v>44151</v>
      </c>
      <c r="D58" s="565" t="s">
        <v>1043</v>
      </c>
      <c r="E58" s="567">
        <v>6</v>
      </c>
      <c r="F58" s="922">
        <v>75.826484460125897</v>
      </c>
      <c r="G58" s="569">
        <v>2</v>
      </c>
      <c r="H58" s="578"/>
      <c r="I58" s="677"/>
      <c r="J58" s="683"/>
      <c r="K58" s="684"/>
      <c r="L58" s="692" t="s">
        <v>0</v>
      </c>
      <c r="M58" s="692"/>
      <c r="N58" s="1483"/>
      <c r="O58" s="1484"/>
    </row>
    <row r="59" spans="1:15">
      <c r="A59" s="555">
        <v>2</v>
      </c>
      <c r="B59" s="567" t="s">
        <v>1094</v>
      </c>
      <c r="C59" s="566">
        <v>44151</v>
      </c>
      <c r="D59" s="565" t="s">
        <v>1344</v>
      </c>
      <c r="E59" s="567"/>
      <c r="F59" s="922">
        <v>1293.1206370779971</v>
      </c>
      <c r="G59" s="569">
        <v>2</v>
      </c>
      <c r="H59" s="578"/>
      <c r="I59" s="676">
        <v>1</v>
      </c>
      <c r="J59" s="685" t="s">
        <v>967</v>
      </c>
      <c r="K59" s="686"/>
      <c r="L59" s="748">
        <v>76.505483498575572</v>
      </c>
      <c r="M59" s="774">
        <v>44144</v>
      </c>
      <c r="N59" s="1473" t="s">
        <v>1344</v>
      </c>
      <c r="O59" s="1474"/>
    </row>
    <row r="60" spans="1:15">
      <c r="A60" s="555">
        <v>3</v>
      </c>
      <c r="B60" s="842" t="s">
        <v>1097</v>
      </c>
      <c r="C60" s="566">
        <v>44151</v>
      </c>
      <c r="D60" s="566" t="s">
        <v>1043</v>
      </c>
      <c r="E60" s="567">
        <v>1</v>
      </c>
      <c r="F60" s="922">
        <v>78.113328962455697</v>
      </c>
      <c r="G60" s="569">
        <v>2</v>
      </c>
      <c r="H60" s="578"/>
      <c r="I60" s="676">
        <v>2</v>
      </c>
      <c r="J60" s="687" t="s">
        <v>966</v>
      </c>
      <c r="K60" s="688"/>
      <c r="L60" s="748">
        <v>75.753639679069025</v>
      </c>
      <c r="M60" s="774">
        <v>44144</v>
      </c>
      <c r="N60" s="1473" t="s">
        <v>1344</v>
      </c>
      <c r="O60" s="1474"/>
    </row>
    <row r="61" spans="1:15">
      <c r="A61" s="555">
        <v>4</v>
      </c>
      <c r="B61" s="567"/>
      <c r="C61" s="565"/>
      <c r="D61" s="565"/>
      <c r="E61" s="567"/>
      <c r="F61" s="922"/>
      <c r="G61" s="569"/>
      <c r="H61" s="578"/>
      <c r="I61" s="676">
        <v>3</v>
      </c>
      <c r="J61" s="687" t="s">
        <v>968</v>
      </c>
      <c r="K61" s="688"/>
      <c r="L61" s="748">
        <v>75.490674008040131</v>
      </c>
      <c r="M61" s="774">
        <v>44144</v>
      </c>
      <c r="N61" s="1473" t="s">
        <v>1344</v>
      </c>
      <c r="O61" s="1474"/>
    </row>
    <row r="62" spans="1:15">
      <c r="A62" s="555">
        <v>5</v>
      </c>
      <c r="B62" s="567"/>
      <c r="C62" s="565"/>
      <c r="D62" s="565"/>
      <c r="E62" s="567"/>
      <c r="F62" s="922"/>
      <c r="G62" s="569"/>
      <c r="H62" s="578"/>
      <c r="I62" s="676">
        <v>4</v>
      </c>
      <c r="J62" s="687" t="s">
        <v>1033</v>
      </c>
      <c r="K62" s="688"/>
      <c r="L62" s="748">
        <v>1293.1206370779971</v>
      </c>
      <c r="M62" s="774">
        <v>44083</v>
      </c>
      <c r="N62" s="1473" t="s">
        <v>1344</v>
      </c>
      <c r="O62" s="1474"/>
    </row>
    <row r="63" spans="1:15">
      <c r="A63" s="555">
        <v>6</v>
      </c>
      <c r="B63" s="567"/>
      <c r="C63" s="565"/>
      <c r="D63" s="565"/>
      <c r="E63" s="567"/>
      <c r="F63" s="922"/>
      <c r="G63" s="569"/>
      <c r="H63" s="578"/>
      <c r="I63" s="676">
        <v>5</v>
      </c>
      <c r="J63" s="687"/>
      <c r="K63" s="689"/>
      <c r="L63" s="748"/>
      <c r="M63" s="774"/>
      <c r="N63" s="1473"/>
      <c r="O63" s="1474"/>
    </row>
    <row r="64" spans="1:15">
      <c r="A64" s="558"/>
      <c r="B64" s="571"/>
      <c r="C64" s="570"/>
      <c r="D64" s="570"/>
      <c r="E64" s="571"/>
      <c r="F64" s="923"/>
      <c r="G64" s="573"/>
      <c r="H64" s="578"/>
      <c r="I64" s="677">
        <v>6</v>
      </c>
      <c r="J64" s="690"/>
      <c r="K64" s="691"/>
      <c r="L64" s="749"/>
      <c r="M64" s="921"/>
      <c r="N64" s="1485"/>
      <c r="O64" s="1486"/>
    </row>
    <row r="66" spans="2:11">
      <c r="H66" s="188"/>
      <c r="I66" s="58" t="s">
        <v>133</v>
      </c>
      <c r="J66" s="56"/>
      <c r="K66" s="56"/>
    </row>
    <row r="67" spans="2:11" ht="14.25" customHeight="1">
      <c r="B67" s="858" t="s">
        <v>1169</v>
      </c>
      <c r="I67" s="579" t="s">
        <v>134</v>
      </c>
      <c r="J67" s="579" t="s">
        <v>135</v>
      </c>
      <c r="K67" s="579" t="s">
        <v>136</v>
      </c>
    </row>
    <row r="68" spans="2:11" ht="19.5">
      <c r="B68" s="861" t="s">
        <v>1170</v>
      </c>
      <c r="I68" s="580" t="s">
        <v>137</v>
      </c>
      <c r="J68" s="580" t="s">
        <v>137</v>
      </c>
      <c r="K68" s="580" t="s">
        <v>137</v>
      </c>
    </row>
    <row r="69" spans="2:11" ht="19.5">
      <c r="B69" s="862" t="s">
        <v>1171</v>
      </c>
      <c r="I69" s="581">
        <v>1925.19</v>
      </c>
      <c r="J69" s="581">
        <v>10976</v>
      </c>
      <c r="K69" s="581">
        <v>10519</v>
      </c>
    </row>
    <row r="70" spans="2:11">
      <c r="I70" s="56" t="s">
        <v>138</v>
      </c>
      <c r="J70" s="56"/>
      <c r="K70" s="56"/>
    </row>
    <row r="71" spans="2:11">
      <c r="B71" s="888"/>
      <c r="I71" s="56" t="s">
        <v>139</v>
      </c>
      <c r="J71" s="56"/>
      <c r="K71" s="56"/>
    </row>
    <row r="72" spans="2:11" ht="15">
      <c r="B72" s="889"/>
    </row>
    <row r="73" spans="2:11" ht="15">
      <c r="B73" s="889"/>
      <c r="G73" s="56"/>
      <c r="H73" s="38">
        <v>2</v>
      </c>
      <c r="I73" s="582" t="s">
        <v>124</v>
      </c>
      <c r="J73" s="583"/>
      <c r="K73" s="584"/>
    </row>
    <row r="74" spans="2:11">
      <c r="G74" s="585"/>
      <c r="H74" s="586" t="s">
        <v>125</v>
      </c>
      <c r="I74" s="526" t="s">
        <v>126</v>
      </c>
      <c r="J74" s="526">
        <v>2562</v>
      </c>
      <c r="K74" s="526">
        <v>24</v>
      </c>
    </row>
    <row r="75" spans="2:11">
      <c r="G75" s="585"/>
      <c r="H75" s="586" t="s">
        <v>127</v>
      </c>
      <c r="I75" s="526" t="s">
        <v>126</v>
      </c>
      <c r="J75" s="526" t="s">
        <v>128</v>
      </c>
      <c r="K75" s="526">
        <v>2658</v>
      </c>
    </row>
    <row r="76" spans="2:11">
      <c r="G76" s="585"/>
      <c r="H76" s="586" t="s">
        <v>129</v>
      </c>
      <c r="I76" s="526" t="s">
        <v>130</v>
      </c>
      <c r="J76" s="526" t="s">
        <v>131</v>
      </c>
      <c r="K76" s="526">
        <v>107</v>
      </c>
    </row>
    <row r="77" spans="2:11">
      <c r="G77" s="587"/>
      <c r="H77" s="588" t="s">
        <v>143</v>
      </c>
      <c r="I77" s="526" t="s">
        <v>132</v>
      </c>
      <c r="J77" s="526" t="s">
        <v>132</v>
      </c>
      <c r="K77" s="526" t="s">
        <v>132</v>
      </c>
    </row>
    <row r="78" spans="2:11">
      <c r="F78" s="589"/>
      <c r="G78" s="590"/>
      <c r="H78" s="591" t="s">
        <v>142</v>
      </c>
      <c r="I78" s="592">
        <v>0.3</v>
      </c>
    </row>
    <row r="79" spans="2:11">
      <c r="K79" s="593" t="s">
        <v>150</v>
      </c>
    </row>
    <row r="81" spans="8:10">
      <c r="H81" s="593" t="s">
        <v>153</v>
      </c>
      <c r="I81" s="592">
        <v>0.3</v>
      </c>
      <c r="J81" s="70" t="s">
        <v>154</v>
      </c>
    </row>
  </sheetData>
  <sheetProtection sheet="1" objects="1" scenarios="1"/>
  <mergeCells count="30">
    <mergeCell ref="N60:O60"/>
    <mergeCell ref="N61:O61"/>
    <mergeCell ref="N62:O62"/>
    <mergeCell ref="N63:O63"/>
    <mergeCell ref="N64:O64"/>
    <mergeCell ref="N59:O59"/>
    <mergeCell ref="N47:O47"/>
    <mergeCell ref="N46:O46"/>
    <mergeCell ref="N48:O48"/>
    <mergeCell ref="N49:O49"/>
    <mergeCell ref="N50:O50"/>
    <mergeCell ref="N51:O51"/>
    <mergeCell ref="N52:O52"/>
    <mergeCell ref="N53:O53"/>
    <mergeCell ref="N54:O54"/>
    <mergeCell ref="N55:O55"/>
    <mergeCell ref="N56:O56"/>
    <mergeCell ref="N57:O57"/>
    <mergeCell ref="N58:O58"/>
    <mergeCell ref="F7:G7"/>
    <mergeCell ref="H7:I7"/>
    <mergeCell ref="J7:K7"/>
    <mergeCell ref="F28:G28"/>
    <mergeCell ref="H28:I28"/>
    <mergeCell ref="J28:K28"/>
    <mergeCell ref="F55:G55"/>
    <mergeCell ref="L28:M28"/>
    <mergeCell ref="N28:O28"/>
    <mergeCell ref="P28:Q28"/>
    <mergeCell ref="F47:G47"/>
  </mergeCells>
  <phoneticPr fontId="2" type="noConversion"/>
  <pageMargins left="0.75" right="0.75" top="1" bottom="1" header="0.5" footer="0.5"/>
  <pageSetup paperSize="9" scale="43" orientation="landscape" verticalDpi="4" r:id="rId1"/>
  <headerFooter alignWithMargins="0">
    <oddFooter>&amp;L&amp;Z&amp;F</oddFooter>
  </headerFooter>
  <ignoredErrors>
    <ignoredError sqref="B32 B34" numberStoredAsText="1"/>
  </ignoredError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pageSetUpPr fitToPage="1"/>
  </sheetPr>
  <dimension ref="A1:Q71"/>
  <sheetViews>
    <sheetView workbookViewId="0">
      <selection activeCell="N27" sqref="N27"/>
    </sheetView>
  </sheetViews>
  <sheetFormatPr defaultRowHeight="12.75"/>
  <cols>
    <col min="7" max="17" width="11.28515625" customWidth="1"/>
  </cols>
  <sheetData>
    <row r="1" spans="1:17" ht="15.75">
      <c r="A1" s="31" t="s">
        <v>946</v>
      </c>
    </row>
    <row r="3" spans="1:17">
      <c r="A3" s="700" t="s">
        <v>985</v>
      </c>
    </row>
    <row r="5" spans="1:17">
      <c r="A5" s="5" t="s">
        <v>947</v>
      </c>
    </row>
    <row r="7" spans="1:17">
      <c r="A7" s="498"/>
      <c r="B7" s="498"/>
      <c r="C7" s="498"/>
      <c r="D7" s="498"/>
      <c r="E7" s="499" t="s">
        <v>269</v>
      </c>
      <c r="F7" s="498"/>
      <c r="G7" s="1487" t="s">
        <v>950</v>
      </c>
      <c r="H7" s="1488"/>
      <c r="I7" s="1488"/>
      <c r="J7" s="1488"/>
      <c r="K7" s="1488"/>
      <c r="L7" s="1488"/>
      <c r="M7" s="1488"/>
      <c r="N7" s="1488"/>
      <c r="O7" s="1488"/>
      <c r="P7" s="1488"/>
      <c r="Q7" s="1489"/>
    </row>
    <row r="8" spans="1:17">
      <c r="A8" s="501" t="s">
        <v>35</v>
      </c>
      <c r="B8" s="501" t="s">
        <v>36</v>
      </c>
      <c r="C8" s="501" t="s">
        <v>638</v>
      </c>
      <c r="D8" s="501" t="s">
        <v>638</v>
      </c>
      <c r="E8" s="501" t="s">
        <v>268</v>
      </c>
      <c r="F8" s="501" t="s">
        <v>955</v>
      </c>
      <c r="G8" s="501" t="s">
        <v>951</v>
      </c>
      <c r="H8" s="501" t="s">
        <v>952</v>
      </c>
      <c r="I8" s="501" t="s">
        <v>953</v>
      </c>
      <c r="J8" s="501" t="s">
        <v>953</v>
      </c>
      <c r="K8" s="501" t="s">
        <v>685</v>
      </c>
      <c r="L8" s="501" t="s">
        <v>685</v>
      </c>
      <c r="M8" s="501" t="s">
        <v>953</v>
      </c>
      <c r="N8" s="501" t="s">
        <v>953</v>
      </c>
      <c r="O8" s="501" t="s">
        <v>953</v>
      </c>
      <c r="P8" s="500"/>
      <c r="Q8" s="500"/>
    </row>
    <row r="9" spans="1:17">
      <c r="A9" s="502"/>
      <c r="B9" s="502"/>
      <c r="C9" s="503" t="s">
        <v>948</v>
      </c>
      <c r="D9" s="503" t="s">
        <v>949</v>
      </c>
      <c r="E9" s="503" t="s">
        <v>41</v>
      </c>
      <c r="F9" s="502"/>
      <c r="G9" s="502">
        <v>2384</v>
      </c>
      <c r="H9" s="502">
        <v>194</v>
      </c>
      <c r="I9" s="502">
        <v>3587</v>
      </c>
      <c r="J9" s="502">
        <v>6510</v>
      </c>
      <c r="K9" s="502">
        <v>1612</v>
      </c>
      <c r="L9" s="502">
        <v>1613</v>
      </c>
      <c r="M9" s="502">
        <v>6509</v>
      </c>
      <c r="N9" s="502">
        <v>7470</v>
      </c>
      <c r="O9" s="502">
        <v>7471</v>
      </c>
      <c r="P9" s="502"/>
      <c r="Q9" s="502"/>
    </row>
    <row r="10" spans="1:17">
      <c r="A10" s="500" t="s">
        <v>216</v>
      </c>
      <c r="B10" s="504">
        <v>40</v>
      </c>
      <c r="C10" s="505">
        <f>MEX!C12</f>
        <v>0.57492783060838692</v>
      </c>
      <c r="D10" s="505"/>
      <c r="E10" s="505">
        <f>MEX!E12</f>
        <v>17.956</v>
      </c>
      <c r="F10" s="504">
        <v>2</v>
      </c>
      <c r="G10" s="661">
        <v>44.625224633673731</v>
      </c>
      <c r="H10" s="661">
        <v>96.136555162223345</v>
      </c>
      <c r="I10" s="661">
        <v>51.113178976412655</v>
      </c>
      <c r="J10" s="661">
        <v>52.856620303919669</v>
      </c>
      <c r="K10" s="661">
        <v>47.90715965982703</v>
      </c>
      <c r="L10" s="661">
        <v>48.05929034817504</v>
      </c>
      <c r="M10" s="661">
        <v>52.567676870521304</v>
      </c>
      <c r="N10" s="661">
        <v>51.771017759471256</v>
      </c>
      <c r="O10" s="661">
        <v>52.027177275471388</v>
      </c>
      <c r="P10" s="508"/>
      <c r="Q10" s="508"/>
    </row>
    <row r="11" spans="1:17">
      <c r="A11" s="500" t="s">
        <v>218</v>
      </c>
      <c r="B11" s="504">
        <v>50</v>
      </c>
      <c r="C11" s="505">
        <f>MEX!C13</f>
        <v>0.68410318438743511</v>
      </c>
      <c r="D11" s="505"/>
      <c r="E11" s="505">
        <f>MEX!E13</f>
        <v>19.5</v>
      </c>
      <c r="F11" s="504">
        <v>3</v>
      </c>
      <c r="G11" s="661">
        <v>44.092389638187328</v>
      </c>
      <c r="H11" s="661">
        <v>94.287064944753922</v>
      </c>
      <c r="I11" s="661">
        <v>50.471215040495622</v>
      </c>
      <c r="J11" s="661">
        <v>52.178032012916965</v>
      </c>
      <c r="K11" s="661">
        <v>47.381055080818442</v>
      </c>
      <c r="L11" s="661">
        <v>47.608460747046266</v>
      </c>
      <c r="M11" s="661">
        <v>51.911253892645497</v>
      </c>
      <c r="N11" s="661">
        <v>51.149321775415245</v>
      </c>
      <c r="O11" s="661">
        <v>51.423680858808268</v>
      </c>
      <c r="P11" s="508"/>
      <c r="Q11" s="508"/>
    </row>
    <row r="12" spans="1:17">
      <c r="A12" s="500" t="s">
        <v>221</v>
      </c>
      <c r="B12" s="504">
        <v>60</v>
      </c>
      <c r="C12" s="505">
        <f>MEX!C14</f>
        <v>0.78881379165109278</v>
      </c>
      <c r="D12" s="505"/>
      <c r="E12" s="505">
        <f>MEX!E14</f>
        <v>20.856999999999999</v>
      </c>
      <c r="F12" s="504">
        <v>4</v>
      </c>
      <c r="G12" s="661">
        <v>43.751327192794932</v>
      </c>
      <c r="H12" s="661">
        <v>93.156440105957216</v>
      </c>
      <c r="I12" s="661">
        <v>50.018480504114052</v>
      </c>
      <c r="J12" s="661">
        <v>51.68696750960487</v>
      </c>
      <c r="K12" s="661">
        <v>47.089501200090872</v>
      </c>
      <c r="L12" s="661">
        <v>47.263726912353619</v>
      </c>
      <c r="M12" s="661">
        <v>51.458325911356894</v>
      </c>
      <c r="N12" s="661">
        <v>50.677506820903588</v>
      </c>
      <c r="O12" s="661">
        <v>50.924877649311632</v>
      </c>
      <c r="P12" s="508"/>
      <c r="Q12" s="508"/>
    </row>
    <row r="13" spans="1:17">
      <c r="A13" s="500" t="s">
        <v>223</v>
      </c>
      <c r="B13" s="504">
        <v>70</v>
      </c>
      <c r="C13" s="505">
        <f>MEX!C15</f>
        <v>0.89521104032277998</v>
      </c>
      <c r="D13" s="505"/>
      <c r="E13" s="505">
        <f>MEX!E15</f>
        <v>22.146999999999998</v>
      </c>
      <c r="F13" s="504">
        <v>5</v>
      </c>
      <c r="G13" s="661">
        <v>43.436042691636018</v>
      </c>
      <c r="H13" s="661">
        <v>92.343411165918852</v>
      </c>
      <c r="I13" s="661">
        <v>49.691870360961339</v>
      </c>
      <c r="J13" s="661">
        <v>51.288770120533478</v>
      </c>
      <c r="K13" s="661">
        <v>46.837243556548692</v>
      </c>
      <c r="L13" s="661">
        <v>46.928692669877449</v>
      </c>
      <c r="M13" s="661">
        <v>51.097994818577128</v>
      </c>
      <c r="N13" s="661">
        <v>50.349285366377345</v>
      </c>
      <c r="O13" s="661">
        <v>50.60535778594172</v>
      </c>
      <c r="P13" s="508"/>
      <c r="Q13" s="508"/>
    </row>
    <row r="14" spans="1:17">
      <c r="A14" s="500" t="s">
        <v>227</v>
      </c>
      <c r="B14" s="504">
        <v>80</v>
      </c>
      <c r="C14" s="505">
        <f>MEX!C16</f>
        <v>1.0168942180395382</v>
      </c>
      <c r="D14" s="505"/>
      <c r="E14" s="505">
        <f>MEX!E16</f>
        <v>23.48</v>
      </c>
      <c r="F14" s="504">
        <v>6</v>
      </c>
      <c r="G14" s="661">
        <v>43.214931733035094</v>
      </c>
      <c r="H14" s="661">
        <v>91.747396187930605</v>
      </c>
      <c r="I14" s="661">
        <v>49.390214193930468</v>
      </c>
      <c r="J14" s="661">
        <v>50.97856901511571</v>
      </c>
      <c r="K14" s="661">
        <v>46.557376430261584</v>
      </c>
      <c r="L14" s="661">
        <v>46.674657719534068</v>
      </c>
      <c r="M14" s="661">
        <v>50.781898018872553</v>
      </c>
      <c r="N14" s="661">
        <v>50.057567506831724</v>
      </c>
      <c r="O14" s="661">
        <v>50.325822241474789</v>
      </c>
      <c r="P14" s="508"/>
      <c r="Q14" s="508"/>
    </row>
    <row r="15" spans="1:17">
      <c r="A15" s="500" t="s">
        <v>229</v>
      </c>
      <c r="B15" s="504">
        <v>90</v>
      </c>
      <c r="C15" s="505">
        <f>MEX!C17</f>
        <v>1.1524525686905205</v>
      </c>
      <c r="D15" s="505"/>
      <c r="E15" s="505">
        <f>MEX!E17</f>
        <v>24.878</v>
      </c>
      <c r="F15" s="504">
        <v>7</v>
      </c>
      <c r="G15" s="661">
        <v>43.01455436164413</v>
      </c>
      <c r="H15" s="661">
        <v>91.407885843752069</v>
      </c>
      <c r="I15" s="661">
        <v>49.158918962663108</v>
      </c>
      <c r="J15" s="661">
        <v>50.694310428565878</v>
      </c>
      <c r="K15" s="661">
        <v>46.39647716507028</v>
      </c>
      <c r="L15" s="661">
        <v>46.452289507126295</v>
      </c>
      <c r="M15" s="661">
        <v>50.514386832305348</v>
      </c>
      <c r="N15" s="661">
        <v>49.819466181235725</v>
      </c>
      <c r="O15" s="661">
        <v>50.06488054972575</v>
      </c>
      <c r="P15" s="508"/>
      <c r="Q15" s="508"/>
    </row>
    <row r="16" spans="1:17">
      <c r="A16" s="500" t="s">
        <v>231</v>
      </c>
      <c r="B16" s="504">
        <v>100</v>
      </c>
      <c r="C16" s="505">
        <f>MEX!C18</f>
        <v>1.3031305701207649</v>
      </c>
      <c r="D16" s="505"/>
      <c r="E16" s="505">
        <f>MEX!E18</f>
        <v>26.34</v>
      </c>
      <c r="F16" s="504">
        <v>8</v>
      </c>
      <c r="G16" s="661">
        <v>42.827368710882396</v>
      </c>
      <c r="H16" s="661">
        <v>90.876486068257194</v>
      </c>
      <c r="I16" s="661">
        <v>48.998272000339</v>
      </c>
      <c r="J16" s="661">
        <v>50.476874544829236</v>
      </c>
      <c r="K16" s="661">
        <v>46.223304269881979</v>
      </c>
      <c r="L16" s="661">
        <v>46.272892271514607</v>
      </c>
      <c r="M16" s="661">
        <v>50.345448485876901</v>
      </c>
      <c r="N16" s="661">
        <v>49.603573726344877</v>
      </c>
      <c r="O16" s="661">
        <v>49.831034035465429</v>
      </c>
      <c r="P16" s="508"/>
      <c r="Q16" s="508"/>
    </row>
    <row r="17" spans="1:17">
      <c r="A17" s="500" t="s">
        <v>977</v>
      </c>
      <c r="B17" s="504">
        <v>40</v>
      </c>
      <c r="C17" s="505">
        <v>0.92712762840813756</v>
      </c>
      <c r="D17" s="505"/>
      <c r="E17" s="505">
        <v>20.93</v>
      </c>
      <c r="F17" s="504">
        <v>9</v>
      </c>
      <c r="G17" s="661">
        <v>43.050696894546874</v>
      </c>
      <c r="H17" s="661">
        <v>91.452163236260091</v>
      </c>
      <c r="I17" s="661">
        <v>49.068679041008096</v>
      </c>
      <c r="J17" s="661">
        <v>50.432105805032208</v>
      </c>
      <c r="K17" s="661">
        <v>46.118257098172137</v>
      </c>
      <c r="L17" s="661">
        <v>46.330694771340909</v>
      </c>
      <c r="M17" s="661">
        <v>50.456118851347433</v>
      </c>
      <c r="N17" s="661">
        <v>49.840641790172661</v>
      </c>
      <c r="O17" s="661">
        <v>50.103337251681047</v>
      </c>
      <c r="P17" s="508"/>
      <c r="Q17" s="508"/>
    </row>
    <row r="18" spans="1:17">
      <c r="A18" s="500" t="s">
        <v>978</v>
      </c>
      <c r="B18" s="504">
        <v>50</v>
      </c>
      <c r="C18" s="505">
        <v>1.1178437296833355</v>
      </c>
      <c r="D18" s="505"/>
      <c r="E18" s="505">
        <v>22.646000000000001</v>
      </c>
      <c r="F18" s="504">
        <v>10</v>
      </c>
      <c r="G18" s="661">
        <v>42.80849561855851</v>
      </c>
      <c r="H18" s="661">
        <v>90.544450107888892</v>
      </c>
      <c r="I18" s="661">
        <v>48.680182764503201</v>
      </c>
      <c r="J18" s="661">
        <v>50.084212718704649</v>
      </c>
      <c r="K18" s="661">
        <v>45.973860615999293</v>
      </c>
      <c r="L18" s="661">
        <v>46.149884484542952</v>
      </c>
      <c r="M18" s="661">
        <v>50.170274679098</v>
      </c>
      <c r="N18" s="661">
        <v>49.546663688855304</v>
      </c>
      <c r="O18" s="661">
        <v>49.789592269380591</v>
      </c>
      <c r="P18" s="508"/>
      <c r="Q18" s="508"/>
    </row>
    <row r="19" spans="1:17">
      <c r="A19" s="500" t="s">
        <v>979</v>
      </c>
      <c r="B19" s="504">
        <v>60</v>
      </c>
      <c r="C19" s="505">
        <v>1.2889291454867315</v>
      </c>
      <c r="D19" s="505"/>
      <c r="E19" s="505">
        <v>24.094999999999999</v>
      </c>
      <c r="F19" s="504">
        <v>11</v>
      </c>
      <c r="G19" s="661">
        <v>42.569485315985524</v>
      </c>
      <c r="H19" s="661">
        <v>90.207953803859425</v>
      </c>
      <c r="I19" s="661">
        <v>48.468009154964378</v>
      </c>
      <c r="J19" s="661">
        <v>49.828861376569655</v>
      </c>
      <c r="K19" s="661">
        <v>45.830084572053813</v>
      </c>
      <c r="L19" s="661">
        <v>45.963254007958987</v>
      </c>
      <c r="M19" s="661">
        <v>49.8939935186025</v>
      </c>
      <c r="N19" s="661">
        <v>49.298934378814813</v>
      </c>
      <c r="O19" s="661">
        <v>49.517447858456194</v>
      </c>
      <c r="P19" s="508"/>
      <c r="Q19" s="508"/>
    </row>
    <row r="20" spans="1:17">
      <c r="A20" s="500" t="s">
        <v>980</v>
      </c>
      <c r="B20" s="504">
        <v>70</v>
      </c>
      <c r="C20" s="505">
        <v>1.4580214816845436</v>
      </c>
      <c r="D20" s="505"/>
      <c r="E20" s="505">
        <v>25.442</v>
      </c>
      <c r="F20" s="504">
        <v>12</v>
      </c>
      <c r="G20" s="661">
        <v>42.458452110679033</v>
      </c>
      <c r="H20" s="661">
        <v>89.218366264552884</v>
      </c>
      <c r="I20" s="661">
        <v>48.282583743012239</v>
      </c>
      <c r="J20" s="661">
        <v>49.572018909447763</v>
      </c>
      <c r="K20" s="661">
        <v>45.710259677910571</v>
      </c>
      <c r="L20" s="661">
        <v>45.810509054169891</v>
      </c>
      <c r="M20" s="661">
        <v>49.701240800447025</v>
      </c>
      <c r="N20" s="661">
        <v>49.107436825241749</v>
      </c>
      <c r="O20" s="661">
        <v>49.36796689858847</v>
      </c>
      <c r="P20" s="508"/>
      <c r="Q20" s="508"/>
    </row>
    <row r="21" spans="1:17">
      <c r="A21" s="500" t="s">
        <v>981</v>
      </c>
      <c r="B21" s="504">
        <v>80</v>
      </c>
      <c r="C21" s="505">
        <v>1.6414791809873757</v>
      </c>
      <c r="D21" s="505"/>
      <c r="E21" s="505">
        <v>26.841999999999999</v>
      </c>
      <c r="F21" s="504">
        <v>13</v>
      </c>
      <c r="G21" s="661">
        <v>42.3242874072088</v>
      </c>
      <c r="H21" s="661">
        <v>89.183413818567047</v>
      </c>
      <c r="I21" s="661">
        <v>48.192750049605635</v>
      </c>
      <c r="J21" s="661">
        <v>49.405209310403251</v>
      </c>
      <c r="K21" s="661">
        <v>45.577702093281729</v>
      </c>
      <c r="L21" s="661">
        <v>45.67306797499036</v>
      </c>
      <c r="M21" s="661">
        <v>49.55784720812818</v>
      </c>
      <c r="N21" s="661">
        <v>48.940607234260249</v>
      </c>
      <c r="O21" s="661">
        <v>49.172706595323724</v>
      </c>
      <c r="P21" s="508"/>
      <c r="Q21" s="508"/>
    </row>
    <row r="22" spans="1:17">
      <c r="A22" s="500" t="s">
        <v>982</v>
      </c>
      <c r="B22" s="504">
        <v>90</v>
      </c>
      <c r="C22" s="505">
        <v>1.836441015677865</v>
      </c>
      <c r="D22" s="505"/>
      <c r="E22" s="505">
        <v>28.32</v>
      </c>
      <c r="F22" s="504">
        <v>14</v>
      </c>
      <c r="G22" s="661">
        <v>42.208953576544118</v>
      </c>
      <c r="H22" s="661">
        <v>88.739183220528474</v>
      </c>
      <c r="I22" s="661">
        <v>48.113172703399883</v>
      </c>
      <c r="J22" s="661">
        <v>49.279680023569867</v>
      </c>
      <c r="K22" s="661">
        <v>45.498949421425635</v>
      </c>
      <c r="L22" s="661">
        <v>45.553301787061265</v>
      </c>
      <c r="M22" s="661">
        <v>49.418622486077339</v>
      </c>
      <c r="N22" s="661">
        <v>48.835431381737664</v>
      </c>
      <c r="O22" s="661">
        <v>49.07433165343673</v>
      </c>
      <c r="P22" s="508"/>
      <c r="Q22" s="508"/>
    </row>
    <row r="23" spans="1:17">
      <c r="A23" s="500" t="s">
        <v>983</v>
      </c>
      <c r="B23" s="504">
        <v>100</v>
      </c>
      <c r="C23" s="505">
        <v>2.0419472127798111</v>
      </c>
      <c r="D23" s="505"/>
      <c r="E23" s="505">
        <v>29.867000000000001</v>
      </c>
      <c r="F23" s="504">
        <v>15</v>
      </c>
      <c r="G23" s="661">
        <v>42.098002993518719</v>
      </c>
      <c r="H23" s="661">
        <v>88.638253895360421</v>
      </c>
      <c r="I23" s="661">
        <v>48.039168009486964</v>
      </c>
      <c r="J23" s="661">
        <v>49.193365286535467</v>
      </c>
      <c r="K23" s="661">
        <v>45.390691152118507</v>
      </c>
      <c r="L23" s="661">
        <v>45.443814674522599</v>
      </c>
      <c r="M23" s="661">
        <v>49.339997366366575</v>
      </c>
      <c r="N23" s="661">
        <v>48.741007714760691</v>
      </c>
      <c r="O23" s="661">
        <v>48.957247534702447</v>
      </c>
      <c r="P23" s="508"/>
      <c r="Q23" s="508"/>
    </row>
    <row r="24" spans="1:17">
      <c r="A24" s="500" t="s">
        <v>217</v>
      </c>
      <c r="B24" s="504">
        <v>40</v>
      </c>
      <c r="C24" s="505">
        <f>MEX!C26</f>
        <v>1.8978864505991633</v>
      </c>
      <c r="D24" s="505">
        <f>MEX!D26</f>
        <v>6.272293453927999E-2</v>
      </c>
      <c r="E24" s="505">
        <f>MEX!E26</f>
        <v>27.068000000000001</v>
      </c>
      <c r="F24" s="504">
        <v>16</v>
      </c>
      <c r="G24" s="661">
        <v>41.597728167353182</v>
      </c>
      <c r="H24" s="661">
        <v>87.793903237373627</v>
      </c>
      <c r="I24" s="661">
        <v>47.129099348062958</v>
      </c>
      <c r="J24" s="661">
        <v>48.982040797375511</v>
      </c>
      <c r="K24" s="661">
        <v>45.1372133717759</v>
      </c>
      <c r="L24" s="661">
        <v>45.140456586285239</v>
      </c>
      <c r="M24" s="661">
        <v>48.562615911066139</v>
      </c>
      <c r="N24" s="661">
        <v>48.006464871012149</v>
      </c>
      <c r="O24" s="661">
        <v>48.322938855166541</v>
      </c>
      <c r="P24" s="508"/>
      <c r="Q24" s="508"/>
    </row>
    <row r="25" spans="1:17">
      <c r="A25" s="500" t="s">
        <v>219</v>
      </c>
      <c r="B25" s="504">
        <v>50</v>
      </c>
      <c r="C25" s="505">
        <f>MEX!C27</f>
        <v>2.3884184190002435</v>
      </c>
      <c r="D25" s="505">
        <f>MEX!D27</f>
        <v>7.9990307372596242E-2</v>
      </c>
      <c r="E25" s="505">
        <f>MEX!E27</f>
        <v>29.934000000000001</v>
      </c>
      <c r="F25" s="504">
        <v>17</v>
      </c>
      <c r="G25" s="661">
        <v>41.620049624761698</v>
      </c>
      <c r="H25" s="661">
        <v>89.435578368408429</v>
      </c>
      <c r="I25" s="661">
        <v>47.362113483309109</v>
      </c>
      <c r="J25" s="661">
        <v>48.860657030499659</v>
      </c>
      <c r="K25" s="661">
        <v>45.364692556032438</v>
      </c>
      <c r="L25" s="661">
        <v>45.316226149062558</v>
      </c>
      <c r="M25" s="661">
        <v>48.732538923929475</v>
      </c>
      <c r="N25" s="661">
        <v>48.149183049476278</v>
      </c>
      <c r="O25" s="661">
        <v>48.367741433821699</v>
      </c>
      <c r="P25" s="508"/>
      <c r="Q25" s="508"/>
    </row>
    <row r="26" spans="1:17">
      <c r="A26" s="500" t="s">
        <v>222</v>
      </c>
      <c r="B26" s="504">
        <v>60</v>
      </c>
      <c r="C26" s="505">
        <f>MEX!C28</f>
        <v>2.8058625894538358</v>
      </c>
      <c r="D26" s="505">
        <f>MEX!D28</f>
        <v>9.5799660048102947E-2</v>
      </c>
      <c r="E26" s="505">
        <f>MEX!E28</f>
        <v>32.250999999999998</v>
      </c>
      <c r="F26" s="504">
        <v>18</v>
      </c>
      <c r="G26" s="661">
        <v>41.67907258918035</v>
      </c>
      <c r="H26" s="661">
        <v>88.549812327324503</v>
      </c>
      <c r="I26" s="661">
        <v>47.423595909436095</v>
      </c>
      <c r="J26" s="661">
        <v>48.771775551206154</v>
      </c>
      <c r="K26" s="661">
        <v>45.344744233351165</v>
      </c>
      <c r="L26" s="661">
        <v>45.25340440774167</v>
      </c>
      <c r="M26" s="661">
        <v>48.707775418676164</v>
      </c>
      <c r="N26" s="661">
        <v>48.119848250458233</v>
      </c>
      <c r="O26" s="661">
        <v>48.367097509490065</v>
      </c>
      <c r="P26" s="508"/>
      <c r="Q26" s="508"/>
    </row>
    <row r="27" spans="1:17">
      <c r="A27" s="500" t="s">
        <v>224</v>
      </c>
      <c r="B27" s="504">
        <v>70</v>
      </c>
      <c r="C27" s="505">
        <f>MEX!C29</f>
        <v>3.1929733252964523</v>
      </c>
      <c r="D27" s="505">
        <f>MEX!D29</f>
        <v>0.11135967269909675</v>
      </c>
      <c r="E27" s="505">
        <f>MEX!E29</f>
        <v>34.274999999999999</v>
      </c>
      <c r="F27" s="504">
        <v>19</v>
      </c>
      <c r="G27" s="661">
        <v>41.654886925617816</v>
      </c>
      <c r="H27" s="661">
        <v>87.960961592918267</v>
      </c>
      <c r="I27" s="661">
        <v>47.480810759970602</v>
      </c>
      <c r="J27" s="661">
        <v>48.748752998157215</v>
      </c>
      <c r="K27" s="661">
        <v>45.324905544072806</v>
      </c>
      <c r="L27" s="661">
        <v>45.173580270543354</v>
      </c>
      <c r="M27" s="661">
        <v>48.744104888482788</v>
      </c>
      <c r="N27" s="661">
        <v>48.118668961390192</v>
      </c>
      <c r="O27" s="661">
        <v>48.347471452403255</v>
      </c>
      <c r="P27" s="508"/>
      <c r="Q27" s="508"/>
    </row>
    <row r="28" spans="1:17">
      <c r="A28" s="500" t="s">
        <v>228</v>
      </c>
      <c r="B28" s="504">
        <v>80</v>
      </c>
      <c r="C28" s="505">
        <f>MEX!C30</f>
        <v>3.6197123995759788</v>
      </c>
      <c r="D28" s="505">
        <f>MEX!D30</f>
        <v>0.12923885884326811</v>
      </c>
      <c r="E28" s="505">
        <f>MEX!E30</f>
        <v>36.328000000000003</v>
      </c>
      <c r="F28" s="504">
        <v>20</v>
      </c>
      <c r="G28" s="661">
        <v>41.622693182403118</v>
      </c>
      <c r="H28" s="661">
        <v>87.81610589522532</v>
      </c>
      <c r="I28" s="661">
        <v>47.527754644757941</v>
      </c>
      <c r="J28" s="661">
        <v>48.724346343875538</v>
      </c>
      <c r="K28" s="661">
        <v>45.264997336298464</v>
      </c>
      <c r="L28" s="661">
        <v>45.144692132060825</v>
      </c>
      <c r="M28" s="661">
        <v>48.750957028549522</v>
      </c>
      <c r="N28" s="661">
        <v>48.143173569626512</v>
      </c>
      <c r="O28" s="661">
        <v>48.367217068672666</v>
      </c>
      <c r="P28" s="508"/>
      <c r="Q28" s="508"/>
    </row>
    <row r="29" spans="1:17">
      <c r="A29" s="500" t="s">
        <v>230</v>
      </c>
      <c r="B29" s="504">
        <v>90</v>
      </c>
      <c r="C29" s="505">
        <f>MEX!C31</f>
        <v>4.0393687541302778</v>
      </c>
      <c r="D29" s="505">
        <f>MEX!D31</f>
        <v>0.14848211806760514</v>
      </c>
      <c r="E29" s="505">
        <f>MEX!E31</f>
        <v>38.384999999999998</v>
      </c>
      <c r="F29" s="504">
        <v>21</v>
      </c>
      <c r="G29" s="661">
        <v>41.584667608786773</v>
      </c>
      <c r="H29" s="661">
        <v>87.999056364491992</v>
      </c>
      <c r="I29" s="661">
        <v>47.596842863094814</v>
      </c>
      <c r="J29" s="661">
        <v>48.719624032479622</v>
      </c>
      <c r="K29" s="661">
        <v>45.224303080082557</v>
      </c>
      <c r="L29" s="661">
        <v>45.05355690906439</v>
      </c>
      <c r="M29" s="661">
        <v>48.727209073211426</v>
      </c>
      <c r="N29" s="661">
        <v>48.129697571391318</v>
      </c>
      <c r="O29" s="661">
        <v>48.320588148478464</v>
      </c>
      <c r="P29" s="508"/>
      <c r="Q29" s="508"/>
    </row>
    <row r="30" spans="1:17">
      <c r="A30" s="500" t="s">
        <v>220</v>
      </c>
      <c r="B30" s="504">
        <v>50</v>
      </c>
      <c r="C30" s="505">
        <f>MEX!C32</f>
        <v>2.5292585864499295</v>
      </c>
      <c r="D30" s="505">
        <f>MEX!D32</f>
        <v>8.4996170866672577E-2</v>
      </c>
      <c r="E30" s="505">
        <f>MEX!E32</f>
        <v>30.623000000000001</v>
      </c>
      <c r="F30" s="504">
        <v>22</v>
      </c>
      <c r="G30" s="661">
        <v>41.4866814000099</v>
      </c>
      <c r="H30" s="661">
        <v>86.239620276482299</v>
      </c>
      <c r="I30" s="661">
        <v>47.062404081452577</v>
      </c>
      <c r="J30" s="661">
        <v>48.661372249163975</v>
      </c>
      <c r="K30" s="661">
        <v>45.025628007660103</v>
      </c>
      <c r="L30" s="661">
        <v>44.952644001124277</v>
      </c>
      <c r="M30" s="661">
        <v>48.448209439435203</v>
      </c>
      <c r="N30" s="661">
        <v>47.748792637580912</v>
      </c>
      <c r="O30" s="661">
        <v>48.004020972034219</v>
      </c>
      <c r="P30" s="508"/>
      <c r="Q30" s="508"/>
    </row>
    <row r="31" spans="1:17">
      <c r="A31" s="500" t="s">
        <v>225</v>
      </c>
      <c r="B31" s="504">
        <v>70</v>
      </c>
      <c r="C31" s="505">
        <f>MEX!C33</f>
        <v>3.3915742452383575</v>
      </c>
      <c r="D31" s="505">
        <f>MEX!D33</f>
        <v>0.11942976937282476</v>
      </c>
      <c r="E31" s="505">
        <f>MEX!E33</f>
        <v>35.19</v>
      </c>
      <c r="F31" s="504">
        <v>23</v>
      </c>
      <c r="G31" s="661">
        <v>41.644801281534015</v>
      </c>
      <c r="H31" s="661">
        <v>88.598377520258026</v>
      </c>
      <c r="I31" s="661">
        <v>47.457392145574971</v>
      </c>
      <c r="J31" s="661">
        <v>48.715948944506827</v>
      </c>
      <c r="K31" s="661">
        <v>45.324692223598795</v>
      </c>
      <c r="L31" s="661">
        <v>45.179512502440247</v>
      </c>
      <c r="M31" s="661">
        <v>48.65615368735574</v>
      </c>
      <c r="N31" s="661">
        <v>48.094557704305622</v>
      </c>
      <c r="O31" s="661">
        <v>48.320118470978002</v>
      </c>
      <c r="P31" s="508"/>
      <c r="Q31" s="508"/>
    </row>
    <row r="32" spans="1:17">
      <c r="A32" s="500" t="s">
        <v>232</v>
      </c>
      <c r="B32" s="504">
        <v>100</v>
      </c>
      <c r="C32" s="505">
        <f>MEX!C34</f>
        <v>4.7352150332082985</v>
      </c>
      <c r="D32" s="505">
        <f>MEX!D34</f>
        <v>0.18268575344478749</v>
      </c>
      <c r="E32" s="505">
        <f>MEX!E34</f>
        <v>41.587000000000003</v>
      </c>
      <c r="F32" s="504">
        <v>24</v>
      </c>
      <c r="G32" s="661">
        <v>41.553639782419964</v>
      </c>
      <c r="H32" s="661">
        <v>88.448308942114778</v>
      </c>
      <c r="I32" s="661">
        <v>47.652418708514993</v>
      </c>
      <c r="J32" s="661">
        <v>48.650553681759696</v>
      </c>
      <c r="K32" s="661">
        <v>45.167616606754905</v>
      </c>
      <c r="L32" s="661">
        <v>44.941696835747734</v>
      </c>
      <c r="M32" s="661">
        <v>48.672552289022015</v>
      </c>
      <c r="N32" s="661">
        <v>48.115991503648971</v>
      </c>
      <c r="O32" s="661">
        <v>48.301321230548432</v>
      </c>
      <c r="P32" s="508"/>
      <c r="Q32" s="508"/>
    </row>
    <row r="33" spans="1:17">
      <c r="A33" s="500" t="s">
        <v>235</v>
      </c>
      <c r="B33" s="504">
        <v>120</v>
      </c>
      <c r="C33" s="505">
        <f>MEX!C35</f>
        <v>5.5559969759148071</v>
      </c>
      <c r="D33" s="505">
        <f>MEX!D35</f>
        <v>0.22971681375447262</v>
      </c>
      <c r="E33" s="505">
        <f>MEX!E35</f>
        <v>45.744</v>
      </c>
      <c r="F33" s="504">
        <v>25</v>
      </c>
      <c r="G33" s="661">
        <v>41.508290351264812</v>
      </c>
      <c r="H33" s="661">
        <v>87.839061294678544</v>
      </c>
      <c r="I33" s="661">
        <v>47.711660670218983</v>
      </c>
      <c r="J33" s="661">
        <v>48.646524363567458</v>
      </c>
      <c r="K33" s="661">
        <v>45.028479465865246</v>
      </c>
      <c r="L33" s="661">
        <v>44.779504160216632</v>
      </c>
      <c r="M33" s="661">
        <v>48.684263236302371</v>
      </c>
      <c r="N33" s="661">
        <v>48.104711572177628</v>
      </c>
      <c r="O33" s="661">
        <v>48.279159100151467</v>
      </c>
      <c r="P33" s="508"/>
      <c r="Q33" s="508"/>
    </row>
    <row r="34" spans="1:17">
      <c r="A34" s="500" t="s">
        <v>239</v>
      </c>
      <c r="B34" s="504">
        <v>140</v>
      </c>
      <c r="C34" s="505">
        <f>MEX!C36</f>
        <v>6.3330445132980557</v>
      </c>
      <c r="D34" s="505">
        <f>MEX!D36</f>
        <v>0.28214314856452327</v>
      </c>
      <c r="E34" s="505">
        <f>MEX!E36</f>
        <v>49.868000000000002</v>
      </c>
      <c r="F34" s="504">
        <v>26</v>
      </c>
      <c r="G34" s="661">
        <v>41.441429326391479</v>
      </c>
      <c r="H34" s="661">
        <v>87.899095143487187</v>
      </c>
      <c r="I34" s="661">
        <v>47.748345846955687</v>
      </c>
      <c r="J34" s="661">
        <v>48.649527796556129</v>
      </c>
      <c r="K34" s="661">
        <v>44.86486731712867</v>
      </c>
      <c r="L34" s="661">
        <v>44.641673145493996</v>
      </c>
      <c r="M34" s="661">
        <v>48.705917126074198</v>
      </c>
      <c r="N34" s="661">
        <v>48.075532629789485</v>
      </c>
      <c r="O34" s="661">
        <v>48.231348592797495</v>
      </c>
      <c r="P34" s="508"/>
      <c r="Q34" s="508"/>
    </row>
    <row r="35" spans="1:17">
      <c r="A35" s="500" t="s">
        <v>226</v>
      </c>
      <c r="B35" s="504">
        <v>70</v>
      </c>
      <c r="C35" s="505">
        <f>MEX!C37</f>
        <v>3.9520687461764625</v>
      </c>
      <c r="D35" s="505">
        <f>MEX!D37</f>
        <v>0.14140515813491988</v>
      </c>
      <c r="E35" s="505">
        <f>MEX!E37</f>
        <v>37.509</v>
      </c>
      <c r="F35" s="504">
        <v>27</v>
      </c>
      <c r="G35" s="661">
        <v>41.366265727961647</v>
      </c>
      <c r="H35" s="661">
        <v>87.494727265131971</v>
      </c>
      <c r="I35" s="661">
        <v>47.291273025837533</v>
      </c>
      <c r="J35" s="661">
        <v>48.460898403850415</v>
      </c>
      <c r="K35" s="661">
        <v>45.188719510552417</v>
      </c>
      <c r="L35" s="661">
        <v>44.971543673194077</v>
      </c>
      <c r="M35" s="661">
        <v>48.302856150343835</v>
      </c>
      <c r="N35" s="661">
        <v>47.771122715755347</v>
      </c>
      <c r="O35" s="661">
        <v>47.987215848637994</v>
      </c>
      <c r="P35" s="508"/>
      <c r="Q35" s="508"/>
    </row>
    <row r="36" spans="1:17">
      <c r="A36" s="500" t="s">
        <v>233</v>
      </c>
      <c r="B36" s="504">
        <v>100</v>
      </c>
      <c r="C36" s="505">
        <f>MEX!C38</f>
        <v>5.4850226957751094</v>
      </c>
      <c r="D36" s="505">
        <f>MEX!D38</f>
        <v>0.221397651099389</v>
      </c>
      <c r="E36" s="505">
        <f>MEX!E38</f>
        <v>44.582999999999998</v>
      </c>
      <c r="F36" s="504">
        <v>28</v>
      </c>
      <c r="G36" s="661">
        <v>41.520445861233107</v>
      </c>
      <c r="H36" s="661">
        <v>88.351296655663816</v>
      </c>
      <c r="I36" s="661">
        <v>47.722639801354177</v>
      </c>
      <c r="J36" s="661">
        <v>48.638628040445347</v>
      </c>
      <c r="K36" s="661">
        <v>45.125359831008154</v>
      </c>
      <c r="L36" s="661">
        <v>44.847643948436648</v>
      </c>
      <c r="M36" s="661">
        <v>48.694119992059385</v>
      </c>
      <c r="N36" s="661">
        <v>48.092246818446704</v>
      </c>
      <c r="O36" s="661">
        <v>48.271635861210918</v>
      </c>
      <c r="P36" s="508"/>
      <c r="Q36" s="508"/>
    </row>
    <row r="37" spans="1:17">
      <c r="A37" s="500" t="s">
        <v>236</v>
      </c>
      <c r="B37" s="504">
        <v>120</v>
      </c>
      <c r="C37" s="505">
        <f>MEX!C39</f>
        <v>6.3769778478391608</v>
      </c>
      <c r="D37" s="505">
        <f>MEX!D39</f>
        <v>0.28062311390349393</v>
      </c>
      <c r="E37" s="505">
        <f>MEX!E39</f>
        <v>48.945</v>
      </c>
      <c r="F37" s="504">
        <v>29</v>
      </c>
      <c r="G37" s="661">
        <v>41.494809586293428</v>
      </c>
      <c r="H37" s="661">
        <v>88.014097245346335</v>
      </c>
      <c r="I37" s="661">
        <v>47.805721817715664</v>
      </c>
      <c r="J37" s="661">
        <v>48.652033427527819</v>
      </c>
      <c r="K37" s="661">
        <v>45.012395289675723</v>
      </c>
      <c r="L37" s="661">
        <v>44.752365164540976</v>
      </c>
      <c r="M37" s="661">
        <v>48.725719959818029</v>
      </c>
      <c r="N37" s="661">
        <v>48.119185080642943</v>
      </c>
      <c r="O37" s="661">
        <v>48.260581664909928</v>
      </c>
      <c r="P37" s="508"/>
      <c r="Q37" s="508"/>
    </row>
    <row r="38" spans="1:17">
      <c r="A38" s="500" t="s">
        <v>240</v>
      </c>
      <c r="B38" s="504">
        <v>140</v>
      </c>
      <c r="C38" s="505">
        <f>MEX!C40</f>
        <v>7.1952322413084104</v>
      </c>
      <c r="D38" s="505">
        <f>MEX!D40</f>
        <v>0.34467534185441145</v>
      </c>
      <c r="E38" s="505">
        <f>MEX!E40</f>
        <v>53.139000000000003</v>
      </c>
      <c r="F38" s="504">
        <v>30</v>
      </c>
      <c r="G38" s="661">
        <v>41.421464453929879</v>
      </c>
      <c r="H38" s="661">
        <v>88.128633448213947</v>
      </c>
      <c r="I38" s="661">
        <v>47.817595424888673</v>
      </c>
      <c r="J38" s="661">
        <v>48.639790970468368</v>
      </c>
      <c r="K38" s="661">
        <v>44.839428526411552</v>
      </c>
      <c r="L38" s="661">
        <v>44.608470600939064</v>
      </c>
      <c r="M38" s="661">
        <v>48.680300640501727</v>
      </c>
      <c r="N38" s="661">
        <v>48.076601337367677</v>
      </c>
      <c r="O38" s="661">
        <v>48.264199741613886</v>
      </c>
      <c r="P38" s="508"/>
      <c r="Q38" s="508"/>
    </row>
    <row r="39" spans="1:17">
      <c r="A39" s="500" t="s">
        <v>244</v>
      </c>
      <c r="B39" s="504">
        <v>150</v>
      </c>
      <c r="C39" s="505">
        <f>MEX!C41</f>
        <v>7.58221629670666</v>
      </c>
      <c r="D39" s="505">
        <f>MEX!D41</f>
        <v>0.37860748947727846</v>
      </c>
      <c r="E39" s="505">
        <f>MEX!E41</f>
        <v>55.186999999999998</v>
      </c>
      <c r="F39" s="504">
        <v>31</v>
      </c>
      <c r="G39" s="661">
        <v>41.408676916640658</v>
      </c>
      <c r="H39" s="661">
        <v>87.693364583280299</v>
      </c>
      <c r="I39" s="661">
        <v>47.83639079545668</v>
      </c>
      <c r="J39" s="661">
        <v>48.637474984843244</v>
      </c>
      <c r="K39" s="661">
        <v>44.761818095059269</v>
      </c>
      <c r="L39" s="661">
        <v>44.506976613231458</v>
      </c>
      <c r="M39" s="661">
        <v>48.712969445489335</v>
      </c>
      <c r="N39" s="661">
        <v>48.068405622324825</v>
      </c>
      <c r="O39" s="661">
        <v>48.216686744151069</v>
      </c>
      <c r="P39" s="508"/>
      <c r="Q39" s="508"/>
    </row>
    <row r="40" spans="1:17">
      <c r="A40" s="500" t="s">
        <v>234</v>
      </c>
      <c r="B40" s="504">
        <v>100</v>
      </c>
      <c r="C40" s="505">
        <f>MEX!C42</f>
        <v>6.6136409012352111</v>
      </c>
      <c r="D40" s="505">
        <f>MEX!D42</f>
        <v>0.29051611469154731</v>
      </c>
      <c r="E40" s="505">
        <f>MEX!E42</f>
        <v>49.084000000000003</v>
      </c>
      <c r="F40" s="504">
        <v>32</v>
      </c>
      <c r="G40" s="661">
        <v>41.386162324658599</v>
      </c>
      <c r="H40" s="661">
        <v>87.287616811081904</v>
      </c>
      <c r="I40" s="661">
        <v>47.674613748365687</v>
      </c>
      <c r="J40" s="661">
        <v>48.558322223736972</v>
      </c>
      <c r="K40" s="661">
        <v>44.95969927935495</v>
      </c>
      <c r="L40" s="661">
        <v>44.663596996231306</v>
      </c>
      <c r="M40" s="661">
        <v>48.64318957485456</v>
      </c>
      <c r="N40" s="661">
        <v>47.936972474992473</v>
      </c>
      <c r="O40" s="661">
        <v>48.086971229727006</v>
      </c>
      <c r="P40" s="508"/>
      <c r="Q40" s="508"/>
    </row>
    <row r="41" spans="1:17">
      <c r="A41" s="500" t="s">
        <v>237</v>
      </c>
      <c r="B41" s="504">
        <v>120</v>
      </c>
      <c r="C41" s="505">
        <f>MEX!C43</f>
        <v>7.588179482309295</v>
      </c>
      <c r="D41" s="505">
        <f>MEX!D43</f>
        <v>0.36809931938124019</v>
      </c>
      <c r="E41" s="505">
        <f>MEX!E43</f>
        <v>53.752000000000002</v>
      </c>
      <c r="F41" s="504">
        <v>33</v>
      </c>
      <c r="G41" s="661">
        <v>41.479758507838625</v>
      </c>
      <c r="H41" s="661">
        <v>87.756578362272734</v>
      </c>
      <c r="I41" s="661">
        <v>47.886221022767309</v>
      </c>
      <c r="J41" s="661">
        <v>48.678104360707181</v>
      </c>
      <c r="K41" s="661">
        <v>44.937629647285476</v>
      </c>
      <c r="L41" s="661">
        <v>44.655411837689471</v>
      </c>
      <c r="M41" s="661">
        <v>48.752019247445119</v>
      </c>
      <c r="N41" s="661">
        <v>48.117571252077362</v>
      </c>
      <c r="O41" s="661">
        <v>48.288712087623573</v>
      </c>
      <c r="P41" s="508"/>
      <c r="Q41" s="508"/>
    </row>
    <row r="42" spans="1:17">
      <c r="A42" s="500" t="s">
        <v>241</v>
      </c>
      <c r="B42" s="504">
        <v>140</v>
      </c>
      <c r="C42" s="505">
        <f>MEX!C44</f>
        <v>8.4359614589862257</v>
      </c>
      <c r="D42" s="505">
        <f>MEX!D44</f>
        <v>0.45081671702125536</v>
      </c>
      <c r="E42" s="505">
        <f>MEX!E44</f>
        <v>58.063000000000002</v>
      </c>
      <c r="F42" s="504">
        <v>34</v>
      </c>
      <c r="G42" s="661">
        <v>41.420882518664811</v>
      </c>
      <c r="H42" s="661">
        <v>88.148371232321196</v>
      </c>
      <c r="I42" s="661">
        <v>47.954221279412963</v>
      </c>
      <c r="J42" s="661">
        <v>48.641784663927218</v>
      </c>
      <c r="K42" s="661">
        <v>44.775700693664206</v>
      </c>
      <c r="L42" s="661">
        <v>44.50795591883108</v>
      </c>
      <c r="M42" s="661">
        <v>48.780629709977731</v>
      </c>
      <c r="N42" s="661">
        <v>48.11780425168191</v>
      </c>
      <c r="O42" s="661">
        <v>48.260767430170496</v>
      </c>
      <c r="P42" s="508"/>
      <c r="Q42" s="508"/>
    </row>
    <row r="43" spans="1:17">
      <c r="A43" s="500" t="s">
        <v>245</v>
      </c>
      <c r="B43" s="504">
        <v>150</v>
      </c>
      <c r="C43" s="505">
        <f>MEX!C45</f>
        <v>8.831676949720114</v>
      </c>
      <c r="D43" s="505">
        <f>MEX!D45</f>
        <v>0.49291798086961647</v>
      </c>
      <c r="E43" s="505">
        <f>MEX!E45</f>
        <v>60.128</v>
      </c>
      <c r="F43" s="504">
        <v>35</v>
      </c>
      <c r="G43" s="661">
        <v>41.388777063091325</v>
      </c>
      <c r="H43" s="661">
        <v>87.805954262938357</v>
      </c>
      <c r="I43" s="661">
        <v>47.938740319578606</v>
      </c>
      <c r="J43" s="661">
        <v>48.668152033080275</v>
      </c>
      <c r="K43" s="661">
        <v>44.67807878609603</v>
      </c>
      <c r="L43" s="661">
        <v>44.455506041609155</v>
      </c>
      <c r="M43" s="661">
        <v>48.754587012733957</v>
      </c>
      <c r="N43" s="661">
        <v>48.097629125832157</v>
      </c>
      <c r="O43" s="661">
        <v>48.248246666030134</v>
      </c>
      <c r="P43" s="508"/>
      <c r="Q43" s="508"/>
    </row>
    <row r="44" spans="1:17">
      <c r="A44" s="500" t="s">
        <v>249</v>
      </c>
      <c r="B44" s="504">
        <v>200</v>
      </c>
      <c r="C44" s="505">
        <f>MEX!C46</f>
        <v>10.533127916478346</v>
      </c>
      <c r="D44" s="505">
        <f>MEX!D46</f>
        <v>0.73230337407773993</v>
      </c>
      <c r="E44" s="505">
        <f>MEX!E46</f>
        <v>69.760999999999996</v>
      </c>
      <c r="F44" s="504">
        <v>36</v>
      </c>
      <c r="G44" s="661">
        <v>41.379646745292497</v>
      </c>
      <c r="H44" s="661">
        <v>87.783698173183438</v>
      </c>
      <c r="I44" s="661">
        <v>47.968514511912268</v>
      </c>
      <c r="J44" s="661">
        <v>48.633261199487357</v>
      </c>
      <c r="K44" s="661">
        <v>44.407426001061921</v>
      </c>
      <c r="L44" s="661">
        <v>44.146298989302174</v>
      </c>
      <c r="M44" s="661">
        <v>48.712353613022536</v>
      </c>
      <c r="N44" s="661">
        <v>48.086798772676723</v>
      </c>
      <c r="O44" s="661">
        <v>48.198916340614538</v>
      </c>
      <c r="P44" s="508"/>
      <c r="Q44" s="508"/>
    </row>
    <row r="45" spans="1:17">
      <c r="A45" s="500" t="s">
        <v>238</v>
      </c>
      <c r="B45" s="504">
        <v>120</v>
      </c>
      <c r="C45" s="505">
        <f>MEX!C47</f>
        <v>10.310491894063471</v>
      </c>
      <c r="D45" s="505">
        <f>MEX!D47</f>
        <v>0.6348381723836316</v>
      </c>
      <c r="E45" s="505">
        <f>MEX!E47</f>
        <v>65</v>
      </c>
      <c r="F45" s="504">
        <v>37</v>
      </c>
      <c r="G45" s="661">
        <v>41.354465662330114</v>
      </c>
      <c r="H45" s="661">
        <v>87.720220512767185</v>
      </c>
      <c r="I45" s="661">
        <v>48.026490089136196</v>
      </c>
      <c r="J45" s="661">
        <v>48.63560433944469</v>
      </c>
      <c r="K45" s="661">
        <v>44.560543311918792</v>
      </c>
      <c r="L45" s="661">
        <v>44.30915888758696</v>
      </c>
      <c r="M45" s="661">
        <v>48.709655618062961</v>
      </c>
      <c r="N45" s="661">
        <v>48.024191098824772</v>
      </c>
      <c r="O45" s="661">
        <v>48.135170087470499</v>
      </c>
      <c r="P45" s="508"/>
      <c r="Q45" s="508"/>
    </row>
    <row r="46" spans="1:17">
      <c r="A46" s="500" t="s">
        <v>242</v>
      </c>
      <c r="B46" s="504">
        <v>140</v>
      </c>
      <c r="C46" s="505"/>
      <c r="D46" s="505">
        <f>MEX!D48</f>
        <v>0.76915213495507195</v>
      </c>
      <c r="E46" s="505">
        <f>MEX!E48</f>
        <v>69.849999999999994</v>
      </c>
      <c r="F46" s="504">
        <v>38</v>
      </c>
      <c r="G46" s="661">
        <v>41.389572997028374</v>
      </c>
      <c r="H46" s="661">
        <v>88.10927897853756</v>
      </c>
      <c r="I46" s="661">
        <v>48.151724925247123</v>
      </c>
      <c r="J46" s="661">
        <v>48.716800706013125</v>
      </c>
      <c r="K46" s="661">
        <v>44.517231245609594</v>
      </c>
      <c r="L46" s="661">
        <v>44.253664342017956</v>
      </c>
      <c r="M46" s="661">
        <v>48.830127049386832</v>
      </c>
      <c r="N46" s="661">
        <v>48.17350200759072</v>
      </c>
      <c r="O46" s="661">
        <v>48.299615467846913</v>
      </c>
      <c r="P46" s="508"/>
      <c r="Q46" s="508"/>
    </row>
    <row r="47" spans="1:17">
      <c r="A47" s="500" t="s">
        <v>246</v>
      </c>
      <c r="B47" s="504">
        <v>150</v>
      </c>
      <c r="C47" s="505"/>
      <c r="D47" s="505">
        <f>MEX!D49</f>
        <v>0.83812332024006297</v>
      </c>
      <c r="E47" s="505">
        <f>MEX!E49</f>
        <v>72.150000000000006</v>
      </c>
      <c r="F47" s="504">
        <v>39</v>
      </c>
      <c r="G47" s="661">
        <v>41.355607784041062</v>
      </c>
      <c r="H47" s="661">
        <v>87.871319186350775</v>
      </c>
      <c r="I47" s="661">
        <v>48.120067388209861</v>
      </c>
      <c r="J47" s="661">
        <v>48.720291930513831</v>
      </c>
      <c r="K47" s="661">
        <v>44.429734344366963</v>
      </c>
      <c r="L47" s="661">
        <v>44.131608207474827</v>
      </c>
      <c r="M47" s="661">
        <v>48.776741495234262</v>
      </c>
      <c r="N47" s="661">
        <v>48.16256135254492</v>
      </c>
      <c r="O47" s="661">
        <v>48.27990045747444</v>
      </c>
      <c r="P47" s="508"/>
      <c r="Q47" s="508"/>
    </row>
    <row r="48" spans="1:17">
      <c r="A48" s="500" t="s">
        <v>250</v>
      </c>
      <c r="B48" s="504">
        <v>200</v>
      </c>
      <c r="C48" s="505"/>
      <c r="D48" s="505">
        <f>MEX!D50</f>
        <v>1.2072306039939562</v>
      </c>
      <c r="E48" s="505">
        <f>MEX!E50</f>
        <v>82.81</v>
      </c>
      <c r="F48" s="504">
        <v>40</v>
      </c>
      <c r="G48" s="661">
        <v>41.221719401322339</v>
      </c>
      <c r="H48" s="661">
        <v>88.321948111321674</v>
      </c>
      <c r="I48" s="661">
        <v>48.086603742164584</v>
      </c>
      <c r="J48" s="661">
        <v>48.698075060306557</v>
      </c>
      <c r="K48" s="661">
        <v>44.115707431419736</v>
      </c>
      <c r="L48" s="661">
        <v>43.852232744006322</v>
      </c>
      <c r="M48" s="661">
        <v>48.711567709733366</v>
      </c>
      <c r="N48" s="661">
        <v>48.125804093480276</v>
      </c>
      <c r="O48" s="661">
        <v>48.233403177125716</v>
      </c>
      <c r="P48" s="508"/>
      <c r="Q48" s="508"/>
    </row>
    <row r="49" spans="1:17">
      <c r="A49" s="500" t="s">
        <v>254</v>
      </c>
      <c r="B49" s="504">
        <v>250</v>
      </c>
      <c r="C49" s="505"/>
      <c r="D49" s="505">
        <f>MEX!D51</f>
        <v>1.6128041668984248</v>
      </c>
      <c r="E49" s="505">
        <f>MEX!E51</f>
        <v>92.84</v>
      </c>
      <c r="F49" s="504">
        <v>41</v>
      </c>
      <c r="G49" s="661">
        <v>41.205754223850093</v>
      </c>
      <c r="H49" s="661">
        <v>87.908546965786371</v>
      </c>
      <c r="I49" s="661">
        <v>48.103693273214439</v>
      </c>
      <c r="J49" s="661">
        <v>48.706495002039638</v>
      </c>
      <c r="K49" s="661">
        <v>43.94972465387584</v>
      </c>
      <c r="L49" s="661">
        <v>43.700425870408523</v>
      </c>
      <c r="M49" s="661">
        <v>48.673594111227402</v>
      </c>
      <c r="N49" s="661">
        <v>48.102875278828947</v>
      </c>
      <c r="O49" s="661">
        <v>48.187546125348547</v>
      </c>
      <c r="P49" s="508"/>
      <c r="Q49" s="508"/>
    </row>
    <row r="50" spans="1:17">
      <c r="A50" s="500" t="s">
        <v>243</v>
      </c>
      <c r="B50" s="504">
        <v>140</v>
      </c>
      <c r="C50" s="505"/>
      <c r="D50" s="505">
        <f>MEX!D52</f>
        <v>1.0269176732121137</v>
      </c>
      <c r="E50" s="505">
        <f>MEX!E52</f>
        <v>78.519000000000005</v>
      </c>
      <c r="F50" s="504">
        <v>42</v>
      </c>
      <c r="G50" s="661">
        <v>41.188747085444042</v>
      </c>
      <c r="H50" s="661">
        <v>87.011297141676636</v>
      </c>
      <c r="I50" s="661">
        <v>48.026943568214925</v>
      </c>
      <c r="J50" s="661">
        <v>48.649296838429201</v>
      </c>
      <c r="K50" s="661">
        <v>44.134842958298734</v>
      </c>
      <c r="L50" s="661">
        <v>43.792743844159233</v>
      </c>
      <c r="M50" s="661">
        <v>48.53840323501958</v>
      </c>
      <c r="N50" s="661">
        <v>47.927177730703704</v>
      </c>
      <c r="O50" s="661">
        <v>48.041409479165367</v>
      </c>
      <c r="P50" s="508"/>
      <c r="Q50" s="508"/>
    </row>
    <row r="51" spans="1:17">
      <c r="A51" s="500" t="s">
        <v>247</v>
      </c>
      <c r="B51" s="504">
        <v>150</v>
      </c>
      <c r="C51" s="505"/>
      <c r="D51" s="505">
        <f>MEX!D53</f>
        <v>1.1251186734176981</v>
      </c>
      <c r="E51" s="505">
        <f>MEX!E53</f>
        <v>81.358000000000004</v>
      </c>
      <c r="F51" s="504">
        <v>43</v>
      </c>
      <c r="G51" s="661">
        <v>41.297596276396121</v>
      </c>
      <c r="H51" s="661">
        <v>87.670130572908803</v>
      </c>
      <c r="I51" s="661">
        <v>48.137520693621532</v>
      </c>
      <c r="J51" s="661">
        <v>48.712521751171664</v>
      </c>
      <c r="K51" s="661">
        <v>44.193737772495453</v>
      </c>
      <c r="L51" s="661">
        <v>43.901063359548267</v>
      </c>
      <c r="M51" s="661">
        <v>48.74312867041526</v>
      </c>
      <c r="N51" s="661">
        <v>48.13407133717218</v>
      </c>
      <c r="O51" s="661">
        <v>48.239862879869158</v>
      </c>
      <c r="P51" s="508"/>
      <c r="Q51" s="508"/>
    </row>
    <row r="52" spans="1:17">
      <c r="A52" s="500" t="s">
        <v>251</v>
      </c>
      <c r="B52" s="504">
        <v>200</v>
      </c>
      <c r="C52" s="505"/>
      <c r="D52" s="505">
        <f>MEX!D54</f>
        <v>1.6296937192778045</v>
      </c>
      <c r="E52" s="505">
        <f>MEX!E54</f>
        <v>94.739000000000004</v>
      </c>
      <c r="F52" s="504">
        <v>44</v>
      </c>
      <c r="G52" s="661">
        <v>41.165973913722326</v>
      </c>
      <c r="H52" s="661">
        <v>88.072459421782284</v>
      </c>
      <c r="I52" s="661">
        <v>48.107042457796616</v>
      </c>
      <c r="J52" s="661">
        <v>48.727427696447705</v>
      </c>
      <c r="K52" s="661">
        <v>43.861674698999494</v>
      </c>
      <c r="L52" s="661">
        <v>43.629594939759897</v>
      </c>
      <c r="M52" s="661">
        <v>48.699585858158471</v>
      </c>
      <c r="N52" s="661">
        <v>48.119721613003364</v>
      </c>
      <c r="O52" s="661">
        <v>48.218282671162399</v>
      </c>
      <c r="P52" s="508"/>
      <c r="Q52" s="508"/>
    </row>
    <row r="53" spans="1:17">
      <c r="A53" s="500" t="s">
        <v>255</v>
      </c>
      <c r="B53" s="504">
        <v>250</v>
      </c>
      <c r="C53" s="505"/>
      <c r="D53" s="505">
        <f>MEX!D55</f>
        <v>2.1356721844076167</v>
      </c>
      <c r="E53" s="505">
        <f>MEX!E55</f>
        <v>107.324</v>
      </c>
      <c r="F53" s="504">
        <v>45</v>
      </c>
      <c r="G53" s="661">
        <v>41.106066542343584</v>
      </c>
      <c r="H53" s="661">
        <v>88.084736458510548</v>
      </c>
      <c r="I53" s="661">
        <v>48.15631116021958</v>
      </c>
      <c r="J53" s="661">
        <v>48.720851781501956</v>
      </c>
      <c r="K53" s="661">
        <v>43.761485399976735</v>
      </c>
      <c r="L53" s="661">
        <v>43.524735113223699</v>
      </c>
      <c r="M53" s="661">
        <v>48.721412202003144</v>
      </c>
      <c r="N53" s="661">
        <v>48.125727399234137</v>
      </c>
      <c r="O53" s="661">
        <v>48.184382400055654</v>
      </c>
      <c r="P53" s="508"/>
      <c r="Q53" s="508"/>
    </row>
    <row r="54" spans="1:17">
      <c r="A54" s="500" t="s">
        <v>259</v>
      </c>
      <c r="B54" s="504">
        <v>280</v>
      </c>
      <c r="C54" s="505"/>
      <c r="D54" s="505">
        <f>MEX!D56</f>
        <v>2.4331518775712206</v>
      </c>
      <c r="E54" s="505">
        <f>MEX!E56</f>
        <v>114.61199999999999</v>
      </c>
      <c r="F54" s="504">
        <v>46</v>
      </c>
      <c r="G54" s="661">
        <v>41.070378520259396</v>
      </c>
      <c r="H54" s="661">
        <v>87.738440271057414</v>
      </c>
      <c r="I54" s="661">
        <v>48.149141912199703</v>
      </c>
      <c r="J54" s="661">
        <v>48.709706015097915</v>
      </c>
      <c r="K54" s="661">
        <v>43.669203196840144</v>
      </c>
      <c r="L54" s="661">
        <v>43.466855393766153</v>
      </c>
      <c r="M54" s="661">
        <v>48.643732741011192</v>
      </c>
      <c r="N54" s="661">
        <v>48.0747766402595</v>
      </c>
      <c r="O54" s="661">
        <v>48.127260183360882</v>
      </c>
      <c r="P54" s="508"/>
      <c r="Q54" s="508"/>
    </row>
    <row r="55" spans="1:17">
      <c r="A55" s="500" t="s">
        <v>248</v>
      </c>
      <c r="B55" s="504">
        <v>150</v>
      </c>
      <c r="C55" s="505"/>
      <c r="D55" s="505">
        <f>MEX!D57</f>
        <v>1.3834337181000833</v>
      </c>
      <c r="E55" s="505">
        <f>MEX!E57</f>
        <v>89.066000000000003</v>
      </c>
      <c r="F55" s="504">
        <v>47</v>
      </c>
      <c r="G55" s="661">
        <v>40.960285357446779</v>
      </c>
      <c r="H55" s="661">
        <v>86.251357566108339</v>
      </c>
      <c r="I55" s="661">
        <v>47.820411006538393</v>
      </c>
      <c r="J55" s="661">
        <v>48.577110226689577</v>
      </c>
      <c r="K55" s="661">
        <v>43.790784266689727</v>
      </c>
      <c r="L55" s="661">
        <v>43.495813502638072</v>
      </c>
      <c r="M55" s="661">
        <v>48.402044019029717</v>
      </c>
      <c r="N55" s="661">
        <v>47.851007066184842</v>
      </c>
      <c r="O55" s="661">
        <v>47.979214136243392</v>
      </c>
      <c r="P55" s="508"/>
      <c r="Q55" s="508"/>
    </row>
    <row r="56" spans="1:17">
      <c r="A56" s="500" t="s">
        <v>252</v>
      </c>
      <c r="B56" s="504">
        <v>200</v>
      </c>
      <c r="C56" s="505"/>
      <c r="D56" s="505">
        <f>MEX!D58</f>
        <v>2.0015314501377075</v>
      </c>
      <c r="E56" s="505">
        <f>MEX!E58</f>
        <v>105.252</v>
      </c>
      <c r="F56" s="504">
        <v>48</v>
      </c>
      <c r="G56" s="661">
        <v>41.112801513412734</v>
      </c>
      <c r="H56" s="661">
        <v>88.135245873678016</v>
      </c>
      <c r="I56" s="661">
        <v>48.137578923151388</v>
      </c>
      <c r="J56" s="661">
        <v>48.715774048811767</v>
      </c>
      <c r="K56" s="661">
        <v>43.749246823179007</v>
      </c>
      <c r="L56" s="661">
        <v>43.491793751674734</v>
      </c>
      <c r="M56" s="661">
        <v>48.666911176157328</v>
      </c>
      <c r="N56" s="661">
        <v>48.109358591964771</v>
      </c>
      <c r="O56" s="661">
        <v>48.186929112407064</v>
      </c>
      <c r="P56" s="508"/>
      <c r="Q56" s="508"/>
    </row>
    <row r="57" spans="1:17">
      <c r="A57" s="500" t="s">
        <v>256</v>
      </c>
      <c r="B57" s="504">
        <v>250</v>
      </c>
      <c r="C57" s="505"/>
      <c r="D57" s="505">
        <f>MEX!D59</f>
        <v>2.5711570771389516</v>
      </c>
      <c r="E57" s="505">
        <f>MEX!E59</f>
        <v>120.09699999999999</v>
      </c>
      <c r="F57" s="504">
        <v>49</v>
      </c>
      <c r="G57" s="661">
        <v>41.101682550814914</v>
      </c>
      <c r="H57" s="661">
        <v>87.995807915281944</v>
      </c>
      <c r="I57" s="661">
        <v>48.175323100358604</v>
      </c>
      <c r="J57" s="661">
        <v>48.743535918463614</v>
      </c>
      <c r="K57" s="661">
        <v>43.626151455308772</v>
      </c>
      <c r="L57" s="661">
        <v>43.402915473012811</v>
      </c>
      <c r="M57" s="661">
        <v>48.722855855423546</v>
      </c>
      <c r="N57" s="661">
        <v>48.105198217691175</v>
      </c>
      <c r="O57" s="661">
        <v>48.179868175768625</v>
      </c>
      <c r="P57" s="508"/>
      <c r="Q57" s="508"/>
    </row>
    <row r="58" spans="1:17">
      <c r="A58" s="500" t="s">
        <v>260</v>
      </c>
      <c r="B58" s="504">
        <v>280</v>
      </c>
      <c r="C58" s="505"/>
      <c r="D58" s="505">
        <f>MEX!D60</f>
        <v>2.8808623211292477</v>
      </c>
      <c r="E58" s="505">
        <f>MEX!E60</f>
        <v>128.495</v>
      </c>
      <c r="F58" s="504">
        <v>50</v>
      </c>
      <c r="G58" s="661">
        <v>41.048220123389072</v>
      </c>
      <c r="H58" s="661">
        <v>87.782093091112841</v>
      </c>
      <c r="I58" s="661">
        <v>48.13377395283559</v>
      </c>
      <c r="J58" s="661">
        <v>48.69500534541163</v>
      </c>
      <c r="K58" s="661">
        <v>43.562041000237457</v>
      </c>
      <c r="L58" s="661">
        <v>43.346917479691399</v>
      </c>
      <c r="M58" s="661">
        <v>48.667832929190816</v>
      </c>
      <c r="N58" s="661">
        <v>48.079435131943626</v>
      </c>
      <c r="O58" s="661">
        <v>48.110645310843864</v>
      </c>
      <c r="P58" s="508"/>
      <c r="Q58" s="508"/>
    </row>
    <row r="59" spans="1:17">
      <c r="A59" s="500" t="s">
        <v>263</v>
      </c>
      <c r="B59" s="504">
        <v>300</v>
      </c>
      <c r="C59" s="505"/>
      <c r="D59" s="505">
        <f>MEX!D61</f>
        <v>3.0951576375640011</v>
      </c>
      <c r="E59" s="505">
        <f>MEX!E61</f>
        <v>133.916</v>
      </c>
      <c r="F59" s="504">
        <v>51</v>
      </c>
      <c r="G59" s="661">
        <v>40.990762278288805</v>
      </c>
      <c r="H59" s="661">
        <v>87.453276235667971</v>
      </c>
      <c r="I59" s="661">
        <v>48.09725820113426</v>
      </c>
      <c r="J59" s="661">
        <v>48.650591861139787</v>
      </c>
      <c r="K59" s="661">
        <v>43.482526346111115</v>
      </c>
      <c r="L59" s="661">
        <v>43.263188292904701</v>
      </c>
      <c r="M59" s="661">
        <v>48.578071350125512</v>
      </c>
      <c r="N59" s="661">
        <v>48.025387237499125</v>
      </c>
      <c r="O59" s="661">
        <v>48.049171288689621</v>
      </c>
      <c r="P59" s="508"/>
      <c r="Q59" s="508"/>
    </row>
    <row r="60" spans="1:17">
      <c r="A60" s="500" t="s">
        <v>253</v>
      </c>
      <c r="B60" s="504">
        <v>200</v>
      </c>
      <c r="C60" s="505"/>
      <c r="D60" s="505">
        <f>MEX!D62</f>
        <v>2.5415199349414408</v>
      </c>
      <c r="E60" s="505">
        <f>MEX!E62</f>
        <v>120.14700000000001</v>
      </c>
      <c r="F60" s="504">
        <v>52</v>
      </c>
      <c r="G60" s="661">
        <v>40.983646995384227</v>
      </c>
      <c r="H60" s="661">
        <v>86.417779487453458</v>
      </c>
      <c r="I60" s="661">
        <v>47.95192707071638</v>
      </c>
      <c r="J60" s="661">
        <v>48.609007047510325</v>
      </c>
      <c r="K60" s="661">
        <v>43.433214484632089</v>
      </c>
      <c r="L60" s="661">
        <v>43.227023835402136</v>
      </c>
      <c r="M60" s="661">
        <v>48.41097793755317</v>
      </c>
      <c r="N60" s="661">
        <v>47.892383577793083</v>
      </c>
      <c r="O60" s="661">
        <v>47.965553020363188</v>
      </c>
      <c r="P60" s="508"/>
      <c r="Q60" s="508"/>
    </row>
    <row r="61" spans="1:17">
      <c r="A61" s="500" t="s">
        <v>257</v>
      </c>
      <c r="B61" s="504">
        <v>250</v>
      </c>
      <c r="C61" s="505"/>
      <c r="D61" s="505">
        <f>MEX!D63</f>
        <v>3.1622519161675675</v>
      </c>
      <c r="E61" s="505">
        <f>MEX!E63</f>
        <v>137.45500000000001</v>
      </c>
      <c r="F61" s="504">
        <v>53</v>
      </c>
      <c r="G61" s="661">
        <v>41.088477157987022</v>
      </c>
      <c r="H61" s="661">
        <v>87.410114862075204</v>
      </c>
      <c r="I61" s="661">
        <v>48.169974733263615</v>
      </c>
      <c r="J61" s="661">
        <v>48.748422599969729</v>
      </c>
      <c r="K61" s="661">
        <v>43.502049502710499</v>
      </c>
      <c r="L61" s="661">
        <v>43.278580580870837</v>
      </c>
      <c r="M61" s="661">
        <v>48.703625145366622</v>
      </c>
      <c r="N61" s="661">
        <v>48.108051662871226</v>
      </c>
      <c r="O61" s="661">
        <v>48.153174047628198</v>
      </c>
      <c r="P61" s="508"/>
      <c r="Q61" s="508"/>
    </row>
    <row r="62" spans="1:17">
      <c r="A62" s="500" t="s">
        <v>261</v>
      </c>
      <c r="B62" s="504">
        <v>280</v>
      </c>
      <c r="C62" s="505"/>
      <c r="D62" s="505">
        <f>MEX!D64</f>
        <v>3.5006101210159413</v>
      </c>
      <c r="E62" s="505">
        <f>MEX!E64</f>
        <v>147.05000000000001</v>
      </c>
      <c r="F62" s="504">
        <v>54</v>
      </c>
      <c r="G62" s="661">
        <v>41.020770202725501</v>
      </c>
      <c r="H62" s="661">
        <v>87.059182546970632</v>
      </c>
      <c r="I62" s="661">
        <v>48.114124260056165</v>
      </c>
      <c r="J62" s="661">
        <v>48.702539818555586</v>
      </c>
      <c r="K62" s="661">
        <v>43.4351697057498</v>
      </c>
      <c r="L62" s="661">
        <v>43.22476726683692</v>
      </c>
      <c r="M62" s="661">
        <v>48.653026445598549</v>
      </c>
      <c r="N62" s="661">
        <v>48.06733193773983</v>
      </c>
      <c r="O62" s="661">
        <v>48.090959525122884</v>
      </c>
      <c r="P62" s="508"/>
      <c r="Q62" s="508"/>
    </row>
    <row r="63" spans="1:17">
      <c r="A63" s="500" t="s">
        <v>264</v>
      </c>
      <c r="B63" s="504">
        <v>300</v>
      </c>
      <c r="C63" s="505"/>
      <c r="D63" s="505">
        <f>MEX!D65</f>
        <v>3.7047905897248823</v>
      </c>
      <c r="E63" s="505">
        <f>MEX!E65</f>
        <v>153.21</v>
      </c>
      <c r="F63" s="504">
        <v>55</v>
      </c>
      <c r="G63" s="661">
        <v>40.966445577599011</v>
      </c>
      <c r="H63" s="661">
        <v>87.352052943741427</v>
      </c>
      <c r="I63" s="661">
        <v>48.09656816600841</v>
      </c>
      <c r="J63" s="661">
        <v>48.637470024776484</v>
      </c>
      <c r="K63" s="661">
        <v>43.374299347290446</v>
      </c>
      <c r="L63" s="661">
        <v>43.14360962213037</v>
      </c>
      <c r="M63" s="661">
        <v>48.515432086280533</v>
      </c>
      <c r="N63" s="661">
        <v>48.038253265251591</v>
      </c>
      <c r="O63" s="661">
        <v>48.056648743303157</v>
      </c>
      <c r="P63" s="508"/>
      <c r="Q63" s="508"/>
    </row>
    <row r="64" spans="1:17">
      <c r="A64" s="500" t="s">
        <v>266</v>
      </c>
      <c r="B64" s="504">
        <v>320</v>
      </c>
      <c r="C64" s="505"/>
      <c r="D64" s="505">
        <f>MEX!D66</f>
        <v>3.8972650748324895</v>
      </c>
      <c r="E64" s="505">
        <f>MEX!E66</f>
        <v>159.21700000000001</v>
      </c>
      <c r="F64" s="504">
        <v>56</v>
      </c>
      <c r="G64" s="661">
        <v>40.915508004708116</v>
      </c>
      <c r="H64" s="661">
        <v>87.478632343072476</v>
      </c>
      <c r="I64" s="661">
        <v>48.024606634509752</v>
      </c>
      <c r="J64" s="661">
        <v>48.58436685249503</v>
      </c>
      <c r="K64" s="661">
        <v>43.317684030404962</v>
      </c>
      <c r="L64" s="661">
        <v>43.112074464287275</v>
      </c>
      <c r="M64" s="661">
        <v>48.444241694716723</v>
      </c>
      <c r="N64" s="661">
        <v>47.95858959089211</v>
      </c>
      <c r="O64" s="661">
        <v>47.953302652010962</v>
      </c>
      <c r="P64" s="508"/>
      <c r="Q64" s="508"/>
    </row>
    <row r="65" spans="1:17">
      <c r="A65" s="500" t="s">
        <v>258</v>
      </c>
      <c r="B65" s="504">
        <v>250</v>
      </c>
      <c r="C65" s="505"/>
      <c r="D65" s="505">
        <f>MEX!D67</f>
        <v>3.5951513428636979</v>
      </c>
      <c r="E65" s="505">
        <f>MEX!E67</f>
        <v>149.50700000000001</v>
      </c>
      <c r="F65" s="504">
        <v>57</v>
      </c>
      <c r="G65" s="661">
        <v>40.926883853637733</v>
      </c>
      <c r="H65" s="661">
        <v>86.904359058403287</v>
      </c>
      <c r="I65" s="661">
        <v>48.050938614656623</v>
      </c>
      <c r="J65" s="661">
        <v>48.670309668077749</v>
      </c>
      <c r="K65" s="661">
        <v>43.345984939773608</v>
      </c>
      <c r="L65" s="661">
        <v>43.113297284870711</v>
      </c>
      <c r="M65" s="661">
        <v>48.499712671466398</v>
      </c>
      <c r="N65" s="661">
        <v>47.972830581030856</v>
      </c>
      <c r="O65" s="661">
        <v>47.98829370540998</v>
      </c>
      <c r="P65" s="508"/>
      <c r="Q65" s="508"/>
    </row>
    <row r="66" spans="1:17">
      <c r="A66" s="500" t="s">
        <v>262</v>
      </c>
      <c r="B66" s="504">
        <v>280</v>
      </c>
      <c r="C66" s="505"/>
      <c r="D66" s="505">
        <f>MEX!D68</f>
        <v>3.9334817438945446</v>
      </c>
      <c r="E66" s="505">
        <f>MEX!E68</f>
        <v>159.91800000000001</v>
      </c>
      <c r="F66" s="504">
        <v>58</v>
      </c>
      <c r="G66" s="661">
        <v>41.031007516796066</v>
      </c>
      <c r="H66" s="661">
        <v>87.797981350223949</v>
      </c>
      <c r="I66" s="661">
        <v>48.135047502147252</v>
      </c>
      <c r="J66" s="661">
        <v>48.702281601149529</v>
      </c>
      <c r="K66" s="661">
        <v>43.341776931865311</v>
      </c>
      <c r="L66" s="661">
        <v>43.150164081623728</v>
      </c>
      <c r="M66" s="661">
        <v>48.504064627870278</v>
      </c>
      <c r="N66" s="661">
        <v>48.068395035527551</v>
      </c>
      <c r="O66" s="661">
        <v>48.08754872261364</v>
      </c>
      <c r="P66" s="508"/>
      <c r="Q66" s="508"/>
    </row>
    <row r="67" spans="1:17">
      <c r="A67" s="500" t="s">
        <v>265</v>
      </c>
      <c r="B67" s="504">
        <v>300</v>
      </c>
      <c r="C67" s="505"/>
      <c r="D67" s="505">
        <f>MEX!D69</f>
        <v>4.1453765509423093</v>
      </c>
      <c r="E67" s="505">
        <f>MEX!E69</f>
        <v>166.58099999999999</v>
      </c>
      <c r="F67" s="504">
        <v>59</v>
      </c>
      <c r="G67" s="661">
        <v>40.935793854899906</v>
      </c>
      <c r="H67" s="661">
        <v>87.153717976332899</v>
      </c>
      <c r="I67" s="661">
        <v>48.076405076989722</v>
      </c>
      <c r="J67" s="661">
        <v>48.644649871694448</v>
      </c>
      <c r="K67" s="661">
        <v>43.338820910033562</v>
      </c>
      <c r="L67" s="661">
        <v>43.129901522851384</v>
      </c>
      <c r="M67" s="661">
        <v>48.487294210559497</v>
      </c>
      <c r="N67" s="661">
        <v>48.025945430075133</v>
      </c>
      <c r="O67" s="661">
        <v>48.037681311905182</v>
      </c>
      <c r="P67" s="508"/>
      <c r="Q67" s="508"/>
    </row>
    <row r="68" spans="1:17">
      <c r="A68" s="500" t="s">
        <v>267</v>
      </c>
      <c r="B68" s="504">
        <v>320</v>
      </c>
      <c r="C68" s="505"/>
      <c r="D68" s="505">
        <f>MEX!D70</f>
        <v>4.335531420085327</v>
      </c>
      <c r="E68" s="505">
        <f>MEX!E70</f>
        <v>173.059</v>
      </c>
      <c r="F68" s="504">
        <v>60</v>
      </c>
      <c r="G68" s="661">
        <v>40.882525876673938</v>
      </c>
      <c r="H68" s="661">
        <v>86.750648534117374</v>
      </c>
      <c r="I68" s="661">
        <v>47.983631961630373</v>
      </c>
      <c r="J68" s="661">
        <v>48.547469462984587</v>
      </c>
      <c r="K68" s="661">
        <v>43.225051306361507</v>
      </c>
      <c r="L68" s="661">
        <v>42.988890114178396</v>
      </c>
      <c r="M68" s="661">
        <v>48.372006592641114</v>
      </c>
      <c r="N68" s="661">
        <v>47.949890702325888</v>
      </c>
      <c r="O68" s="661">
        <v>47.960903072774727</v>
      </c>
      <c r="P68" s="508"/>
      <c r="Q68" s="508"/>
    </row>
    <row r="69" spans="1:17">
      <c r="A69" s="500" t="s">
        <v>294</v>
      </c>
      <c r="B69" s="504">
        <v>250</v>
      </c>
      <c r="C69" s="505"/>
      <c r="D69" s="505">
        <f>MEX!D71</f>
        <v>2.5711570771389516</v>
      </c>
      <c r="E69" s="505">
        <f>MEX!E71</f>
        <v>120.09699999999999</v>
      </c>
      <c r="F69" s="504">
        <v>61</v>
      </c>
      <c r="G69" s="661">
        <v>40.972118295166283</v>
      </c>
      <c r="H69" s="661">
        <v>88.461629227067107</v>
      </c>
      <c r="I69" s="661">
        <v>47.962777815229153</v>
      </c>
      <c r="J69" s="661">
        <v>48.589747226676671</v>
      </c>
      <c r="K69" s="661">
        <v>43.365633156410794</v>
      </c>
      <c r="L69" s="661">
        <v>43.130214998361517</v>
      </c>
      <c r="M69" s="661">
        <v>48.486442542570771</v>
      </c>
      <c r="N69" s="661">
        <v>48.026733931514713</v>
      </c>
      <c r="O69" s="661">
        <v>48.22105034724877</v>
      </c>
      <c r="P69" s="508"/>
      <c r="Q69" s="508"/>
    </row>
    <row r="70" spans="1:17">
      <c r="A70" s="500" t="s">
        <v>293</v>
      </c>
      <c r="B70" s="504">
        <v>280</v>
      </c>
      <c r="C70" s="505"/>
      <c r="D70" s="505">
        <f>MEX!D72</f>
        <v>3.5006101210159413</v>
      </c>
      <c r="E70" s="505">
        <f>MEX!E72</f>
        <v>147.05000000000001</v>
      </c>
      <c r="F70" s="504">
        <v>62</v>
      </c>
      <c r="G70" s="661">
        <v>41.063633977803818</v>
      </c>
      <c r="H70" s="661">
        <v>88.088016707668046</v>
      </c>
      <c r="I70" s="661">
        <v>48.214537241806823</v>
      </c>
      <c r="J70" s="661">
        <v>48.792058920192233</v>
      </c>
      <c r="K70" s="661">
        <v>43.403485449955028</v>
      </c>
      <c r="L70" s="661">
        <v>43.158816077195155</v>
      </c>
      <c r="M70" s="661">
        <v>48.741560554286444</v>
      </c>
      <c r="N70" s="661">
        <v>48.219059070311566</v>
      </c>
      <c r="O70" s="661">
        <v>48.247197210231491</v>
      </c>
      <c r="P70" s="508"/>
      <c r="Q70" s="508"/>
    </row>
    <row r="71" spans="1:17">
      <c r="A71" s="502" t="s">
        <v>292</v>
      </c>
      <c r="B71" s="506">
        <v>300</v>
      </c>
      <c r="C71" s="507"/>
      <c r="D71" s="507">
        <f>MEX!D73</f>
        <v>3.7047905897248823</v>
      </c>
      <c r="E71" s="507">
        <f>MEX!E73</f>
        <v>153.21</v>
      </c>
      <c r="F71" s="506">
        <v>63</v>
      </c>
      <c r="G71" s="662">
        <v>41.029956133558763</v>
      </c>
      <c r="H71" s="662">
        <v>88.778872269607817</v>
      </c>
      <c r="I71" s="662">
        <v>48.1960398103123</v>
      </c>
      <c r="J71" s="662">
        <v>48.788687112000979</v>
      </c>
      <c r="K71" s="662">
        <v>43.399031750079018</v>
      </c>
      <c r="L71" s="662">
        <v>43.164744413684915</v>
      </c>
      <c r="M71" s="662">
        <v>48.696038466838239</v>
      </c>
      <c r="N71" s="662">
        <v>48.206117310926047</v>
      </c>
      <c r="O71" s="662">
        <v>48.242711603744318</v>
      </c>
      <c r="P71" s="509"/>
      <c r="Q71" s="509"/>
    </row>
  </sheetData>
  <sheetProtection sheet="1" objects="1" scenarios="1"/>
  <mergeCells count="1">
    <mergeCell ref="G7:Q7"/>
  </mergeCells>
  <pageMargins left="0.7" right="0.7" top="0.75" bottom="0.75" header="0.3" footer="0.3"/>
  <pageSetup paperSize="9" scale="54"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6"/>
  <dimension ref="A1:D331"/>
  <sheetViews>
    <sheetView workbookViewId="0">
      <selection activeCell="L25" sqref="L25"/>
    </sheetView>
  </sheetViews>
  <sheetFormatPr defaultColWidth="8.7109375" defaultRowHeight="12.75"/>
  <cols>
    <col min="1" max="1" width="20.140625" style="56" customWidth="1"/>
    <col min="2" max="2" width="13.5703125" style="56" customWidth="1"/>
    <col min="3" max="3" width="19" style="56" customWidth="1"/>
    <col min="4" max="4" width="30.85546875" style="56" customWidth="1"/>
    <col min="5" max="5" width="9.140625" style="56" customWidth="1"/>
    <col min="6" max="6" width="8.7109375" style="56"/>
    <col min="7" max="7" width="15.5703125" style="56" customWidth="1"/>
    <col min="8" max="12" width="10.28515625" style="56" customWidth="1"/>
    <col min="13" max="13" width="13.28515625" style="56" customWidth="1"/>
    <col min="14" max="16384" width="8.7109375" style="56"/>
  </cols>
  <sheetData>
    <row r="1" spans="1:4">
      <c r="A1" s="907" t="s">
        <v>1377</v>
      </c>
      <c r="B1" s="56" t="str">
        <f>Intro!D4</f>
        <v>IRC-FORM-2100J (ARPANSA-FORM-1856)</v>
      </c>
    </row>
    <row r="2" spans="1:4">
      <c r="A2" s="907" t="s">
        <v>22</v>
      </c>
      <c r="B2" s="56" t="str">
        <f>Intro!D5</f>
        <v>23-Production</v>
      </c>
    </row>
    <row r="4" spans="1:4">
      <c r="A4" s="907" t="s">
        <v>1378</v>
      </c>
    </row>
    <row r="5" spans="1:4" ht="13.5" thickBot="1">
      <c r="A5" s="942" t="s">
        <v>20</v>
      </c>
      <c r="B5" s="942" t="s">
        <v>1379</v>
      </c>
      <c r="C5" s="942" t="s">
        <v>1382</v>
      </c>
      <c r="D5" s="942" t="s">
        <v>1385</v>
      </c>
    </row>
    <row r="6" spans="1:4">
      <c r="A6" s="937"/>
      <c r="B6" s="938"/>
      <c r="C6" s="938"/>
      <c r="D6" s="938"/>
    </row>
    <row r="7" spans="1:4">
      <c r="A7" s="937"/>
      <c r="B7" s="938"/>
      <c r="C7" s="938"/>
      <c r="D7" s="938"/>
    </row>
    <row r="8" spans="1:4">
      <c r="A8" s="937"/>
      <c r="B8" s="938"/>
      <c r="C8" s="938"/>
      <c r="D8" s="938"/>
    </row>
    <row r="9" spans="1:4">
      <c r="A9" s="937"/>
      <c r="B9" s="938"/>
      <c r="C9" s="938"/>
      <c r="D9" s="938"/>
    </row>
    <row r="10" spans="1:4">
      <c r="A10" s="937"/>
      <c r="B10" s="938"/>
      <c r="C10" s="938"/>
      <c r="D10" s="938"/>
    </row>
    <row r="11" spans="1:4">
      <c r="A11" s="937"/>
      <c r="B11" s="938"/>
      <c r="C11" s="938"/>
      <c r="D11" s="938"/>
    </row>
    <row r="12" spans="1:4">
      <c r="A12" s="937"/>
      <c r="B12" s="938"/>
      <c r="C12" s="938"/>
      <c r="D12" s="938"/>
    </row>
    <row r="13" spans="1:4">
      <c r="A13" s="937"/>
      <c r="B13" s="938"/>
      <c r="C13" s="938"/>
      <c r="D13" s="938"/>
    </row>
    <row r="14" spans="1:4">
      <c r="A14" s="937"/>
      <c r="B14" s="938"/>
      <c r="C14" s="938"/>
      <c r="D14" s="938"/>
    </row>
    <row r="15" spans="1:4">
      <c r="A15" s="937"/>
      <c r="B15" s="938"/>
      <c r="C15" s="938"/>
      <c r="D15" s="938"/>
    </row>
    <row r="16" spans="1:4">
      <c r="A16" s="937"/>
      <c r="B16" s="938"/>
      <c r="C16" s="938"/>
      <c r="D16" s="938"/>
    </row>
    <row r="17" spans="1:4">
      <c r="A17" s="937"/>
      <c r="B17" s="938"/>
      <c r="C17" s="938"/>
      <c r="D17" s="938"/>
    </row>
    <row r="18" spans="1:4">
      <c r="A18" s="937"/>
      <c r="B18" s="938"/>
      <c r="C18" s="938"/>
      <c r="D18" s="938"/>
    </row>
    <row r="19" spans="1:4">
      <c r="A19" s="937"/>
      <c r="B19" s="938"/>
      <c r="C19" s="938"/>
      <c r="D19" s="938"/>
    </row>
    <row r="20" spans="1:4">
      <c r="A20" s="937"/>
      <c r="B20" s="938"/>
      <c r="C20" s="938"/>
      <c r="D20" s="938"/>
    </row>
    <row r="21" spans="1:4">
      <c r="A21" s="937"/>
      <c r="B21" s="938"/>
      <c r="C21" s="938"/>
      <c r="D21" s="938"/>
    </row>
    <row r="22" spans="1:4">
      <c r="A22" s="937"/>
      <c r="B22" s="938"/>
      <c r="C22" s="938"/>
      <c r="D22" s="938"/>
    </row>
    <row r="23" spans="1:4">
      <c r="A23" s="937"/>
      <c r="B23" s="938"/>
      <c r="C23" s="938"/>
      <c r="D23" s="938"/>
    </row>
    <row r="24" spans="1:4">
      <c r="A24" s="937"/>
      <c r="B24" s="938"/>
      <c r="C24" s="938"/>
      <c r="D24" s="938"/>
    </row>
    <row r="25" spans="1:4">
      <c r="A25" s="937"/>
      <c r="B25" s="938"/>
      <c r="C25" s="938"/>
      <c r="D25" s="938"/>
    </row>
    <row r="26" spans="1:4">
      <c r="A26" s="937"/>
      <c r="B26" s="938"/>
      <c r="C26" s="938"/>
      <c r="D26" s="938"/>
    </row>
    <row r="27" spans="1:4">
      <c r="A27" s="937"/>
      <c r="B27" s="938"/>
      <c r="C27" s="938"/>
      <c r="D27" s="938"/>
    </row>
    <row r="28" spans="1:4">
      <c r="A28" s="937"/>
      <c r="B28" s="938"/>
      <c r="C28" s="938"/>
      <c r="D28" s="938"/>
    </row>
    <row r="29" spans="1:4">
      <c r="A29" s="937"/>
      <c r="B29" s="938"/>
      <c r="C29" s="938"/>
      <c r="D29" s="938"/>
    </row>
    <row r="30" spans="1:4">
      <c r="A30" s="937"/>
      <c r="B30" s="938"/>
      <c r="C30" s="938"/>
      <c r="D30" s="938"/>
    </row>
    <row r="31" spans="1:4">
      <c r="A31" s="937"/>
      <c r="B31" s="938"/>
      <c r="C31" s="938"/>
      <c r="D31" s="938"/>
    </row>
    <row r="32" spans="1:4">
      <c r="A32" s="937"/>
      <c r="B32" s="938"/>
      <c r="C32" s="938"/>
      <c r="D32" s="938"/>
    </row>
    <row r="33" spans="1:4">
      <c r="A33" s="937"/>
      <c r="B33" s="938"/>
      <c r="C33" s="938"/>
      <c r="D33" s="938"/>
    </row>
    <row r="34" spans="1:4">
      <c r="A34" s="937"/>
      <c r="B34" s="938"/>
      <c r="C34" s="938"/>
      <c r="D34" s="938"/>
    </row>
    <row r="35" spans="1:4">
      <c r="A35" s="937"/>
      <c r="B35" s="938"/>
      <c r="C35" s="938"/>
      <c r="D35" s="938"/>
    </row>
    <row r="36" spans="1:4">
      <c r="A36" s="937"/>
      <c r="B36" s="938"/>
      <c r="C36" s="938"/>
      <c r="D36" s="938"/>
    </row>
    <row r="37" spans="1:4">
      <c r="A37" s="937"/>
      <c r="B37" s="938"/>
      <c r="C37" s="938"/>
      <c r="D37" s="938"/>
    </row>
    <row r="38" spans="1:4">
      <c r="A38" s="937"/>
      <c r="B38" s="938"/>
      <c r="C38" s="938"/>
      <c r="D38" s="938"/>
    </row>
    <row r="39" spans="1:4">
      <c r="A39" s="937"/>
      <c r="B39" s="938"/>
      <c r="C39" s="938"/>
      <c r="D39" s="938"/>
    </row>
    <row r="40" spans="1:4">
      <c r="A40" s="937"/>
      <c r="B40" s="938"/>
      <c r="C40" s="938"/>
      <c r="D40" s="938"/>
    </row>
    <row r="41" spans="1:4">
      <c r="A41" s="937"/>
      <c r="B41" s="938"/>
      <c r="C41" s="938"/>
      <c r="D41" s="938"/>
    </row>
    <row r="42" spans="1:4">
      <c r="A42" s="937"/>
      <c r="B42" s="938"/>
      <c r="C42" s="938"/>
      <c r="D42" s="938"/>
    </row>
    <row r="43" spans="1:4">
      <c r="A43" s="937"/>
      <c r="B43" s="938"/>
      <c r="C43" s="938"/>
      <c r="D43" s="938"/>
    </row>
    <row r="44" spans="1:4">
      <c r="A44" s="937"/>
      <c r="B44" s="938"/>
      <c r="C44" s="938"/>
      <c r="D44" s="938"/>
    </row>
    <row r="45" spans="1:4">
      <c r="A45" s="937"/>
      <c r="B45" s="938"/>
      <c r="C45" s="938"/>
      <c r="D45" s="938"/>
    </row>
    <row r="46" spans="1:4">
      <c r="A46" s="937"/>
      <c r="B46" s="938"/>
      <c r="C46" s="938"/>
      <c r="D46" s="938"/>
    </row>
    <row r="47" spans="1:4">
      <c r="A47" s="937"/>
      <c r="B47" s="938"/>
      <c r="C47" s="938"/>
      <c r="D47" s="938"/>
    </row>
    <row r="48" spans="1:4">
      <c r="A48" s="937"/>
      <c r="B48" s="938"/>
      <c r="C48" s="938"/>
      <c r="D48" s="938"/>
    </row>
    <row r="49" spans="1:4">
      <c r="A49" s="937"/>
      <c r="B49" s="938"/>
      <c r="C49" s="938"/>
      <c r="D49" s="938"/>
    </row>
    <row r="50" spans="1:4">
      <c r="A50" s="937"/>
      <c r="B50" s="938"/>
      <c r="C50" s="938"/>
      <c r="D50" s="938"/>
    </row>
    <row r="51" spans="1:4">
      <c r="A51" s="937"/>
      <c r="B51" s="938"/>
      <c r="C51" s="938"/>
      <c r="D51" s="938"/>
    </row>
    <row r="52" spans="1:4">
      <c r="A52" s="937"/>
      <c r="B52" s="938"/>
      <c r="C52" s="938"/>
      <c r="D52" s="938"/>
    </row>
    <row r="53" spans="1:4">
      <c r="A53" s="937"/>
      <c r="B53" s="938"/>
      <c r="C53" s="938"/>
      <c r="D53" s="938"/>
    </row>
    <row r="54" spans="1:4">
      <c r="A54" s="937"/>
      <c r="B54" s="938"/>
      <c r="C54" s="938"/>
      <c r="D54" s="938"/>
    </row>
    <row r="55" spans="1:4">
      <c r="A55" s="937"/>
      <c r="B55" s="938"/>
      <c r="C55" s="938"/>
      <c r="D55" s="938"/>
    </row>
    <row r="56" spans="1:4">
      <c r="A56" s="937"/>
      <c r="B56" s="938"/>
      <c r="C56" s="938"/>
      <c r="D56" s="938"/>
    </row>
    <row r="57" spans="1:4">
      <c r="A57" s="937"/>
      <c r="B57" s="938"/>
      <c r="C57" s="938"/>
      <c r="D57" s="938"/>
    </row>
    <row r="58" spans="1:4">
      <c r="A58" s="937"/>
      <c r="B58" s="938"/>
      <c r="C58" s="938"/>
      <c r="D58" s="938"/>
    </row>
    <row r="59" spans="1:4">
      <c r="A59" s="937"/>
      <c r="B59" s="938"/>
      <c r="C59" s="938"/>
      <c r="D59" s="938"/>
    </row>
    <row r="60" spans="1:4">
      <c r="A60" s="937"/>
      <c r="B60" s="938"/>
      <c r="C60" s="938"/>
      <c r="D60" s="938"/>
    </row>
    <row r="61" spans="1:4">
      <c r="A61" s="937"/>
      <c r="B61" s="938"/>
      <c r="C61" s="938"/>
      <c r="D61" s="938"/>
    </row>
    <row r="62" spans="1:4">
      <c r="A62" s="937"/>
      <c r="B62" s="938"/>
      <c r="C62" s="938"/>
      <c r="D62" s="938"/>
    </row>
    <row r="63" spans="1:4">
      <c r="A63" s="937"/>
      <c r="B63" s="938"/>
      <c r="C63" s="938"/>
      <c r="D63" s="938"/>
    </row>
    <row r="64" spans="1:4">
      <c r="A64" s="937"/>
      <c r="B64" s="938"/>
      <c r="C64" s="938"/>
      <c r="D64" s="938"/>
    </row>
    <row r="65" spans="1:4">
      <c r="A65" s="937"/>
      <c r="B65" s="938"/>
      <c r="C65" s="938"/>
      <c r="D65" s="938"/>
    </row>
    <row r="66" spans="1:4">
      <c r="A66" s="937"/>
      <c r="B66" s="938"/>
      <c r="C66" s="938"/>
      <c r="D66" s="938"/>
    </row>
    <row r="67" spans="1:4">
      <c r="A67" s="937"/>
      <c r="B67" s="938"/>
      <c r="C67" s="938"/>
      <c r="D67" s="938"/>
    </row>
    <row r="68" spans="1:4">
      <c r="A68" s="937"/>
      <c r="B68" s="938"/>
      <c r="C68" s="938"/>
      <c r="D68" s="938"/>
    </row>
    <row r="69" spans="1:4">
      <c r="A69" s="937"/>
      <c r="B69" s="938"/>
      <c r="C69" s="938"/>
      <c r="D69" s="938"/>
    </row>
    <row r="70" spans="1:4">
      <c r="A70" s="937"/>
      <c r="B70" s="938"/>
      <c r="C70" s="938"/>
      <c r="D70" s="938"/>
    </row>
    <row r="71" spans="1:4">
      <c r="A71" s="937"/>
      <c r="B71" s="938"/>
      <c r="C71" s="938"/>
      <c r="D71" s="938"/>
    </row>
    <row r="72" spans="1:4">
      <c r="A72" s="937"/>
      <c r="B72" s="938"/>
      <c r="C72" s="938"/>
      <c r="D72" s="938"/>
    </row>
    <row r="73" spans="1:4">
      <c r="A73" s="937"/>
      <c r="B73" s="938"/>
      <c r="C73" s="938"/>
      <c r="D73" s="938"/>
    </row>
    <row r="74" spans="1:4">
      <c r="A74" s="937"/>
      <c r="B74" s="938"/>
      <c r="C74" s="938"/>
      <c r="D74" s="938"/>
    </row>
    <row r="75" spans="1:4">
      <c r="A75" s="937"/>
      <c r="B75" s="938"/>
      <c r="C75" s="938"/>
      <c r="D75" s="938"/>
    </row>
    <row r="76" spans="1:4">
      <c r="A76" s="937"/>
      <c r="B76" s="938"/>
      <c r="C76" s="938"/>
      <c r="D76" s="938"/>
    </row>
    <row r="77" spans="1:4">
      <c r="A77" s="937"/>
      <c r="B77" s="938"/>
      <c r="C77" s="938"/>
      <c r="D77" s="938"/>
    </row>
    <row r="78" spans="1:4">
      <c r="A78" s="937"/>
      <c r="B78" s="938"/>
      <c r="C78" s="938"/>
      <c r="D78" s="938"/>
    </row>
    <row r="79" spans="1:4">
      <c r="A79" s="937"/>
      <c r="B79" s="938"/>
      <c r="C79" s="938"/>
      <c r="D79" s="938"/>
    </row>
    <row r="80" spans="1:4">
      <c r="A80" s="937"/>
      <c r="B80" s="938"/>
      <c r="C80" s="938"/>
      <c r="D80" s="938"/>
    </row>
    <row r="81" spans="1:4">
      <c r="A81" s="937"/>
      <c r="B81" s="938"/>
      <c r="C81" s="938"/>
      <c r="D81" s="938"/>
    </row>
    <row r="82" spans="1:4">
      <c r="A82" s="937"/>
      <c r="B82" s="938"/>
      <c r="C82" s="938"/>
      <c r="D82" s="938"/>
    </row>
    <row r="83" spans="1:4">
      <c r="A83" s="937"/>
      <c r="B83" s="938"/>
      <c r="C83" s="938"/>
      <c r="D83" s="938"/>
    </row>
    <row r="84" spans="1:4">
      <c r="A84" s="937"/>
      <c r="B84" s="938"/>
      <c r="C84" s="938"/>
      <c r="D84" s="938"/>
    </row>
    <row r="85" spans="1:4">
      <c r="A85" s="937"/>
      <c r="B85" s="938"/>
      <c r="C85" s="938"/>
      <c r="D85" s="938"/>
    </row>
    <row r="86" spans="1:4">
      <c r="A86" s="937"/>
      <c r="B86" s="938"/>
      <c r="C86" s="938"/>
      <c r="D86" s="938"/>
    </row>
    <row r="87" spans="1:4">
      <c r="A87" s="937"/>
      <c r="B87" s="938"/>
      <c r="C87" s="938"/>
      <c r="D87" s="938"/>
    </row>
    <row r="88" spans="1:4">
      <c r="A88" s="937"/>
      <c r="B88" s="938"/>
      <c r="C88" s="938"/>
      <c r="D88" s="938"/>
    </row>
    <row r="89" spans="1:4">
      <c r="A89" s="937"/>
      <c r="B89" s="938"/>
      <c r="C89" s="938"/>
      <c r="D89" s="938"/>
    </row>
    <row r="90" spans="1:4">
      <c r="A90" s="937"/>
      <c r="B90" s="938"/>
      <c r="C90" s="938"/>
      <c r="D90" s="938"/>
    </row>
    <row r="91" spans="1:4">
      <c r="A91" s="937"/>
      <c r="B91" s="938"/>
      <c r="C91" s="938"/>
      <c r="D91" s="938"/>
    </row>
    <row r="92" spans="1:4">
      <c r="A92" s="937"/>
      <c r="B92" s="938"/>
      <c r="C92" s="938"/>
      <c r="D92" s="938"/>
    </row>
    <row r="93" spans="1:4">
      <c r="A93" s="937"/>
      <c r="B93" s="938"/>
      <c r="C93" s="938"/>
      <c r="D93" s="938"/>
    </row>
    <row r="94" spans="1:4">
      <c r="A94" s="937"/>
      <c r="B94" s="938"/>
      <c r="C94" s="938"/>
      <c r="D94" s="938"/>
    </row>
    <row r="95" spans="1:4">
      <c r="A95" s="937"/>
      <c r="B95" s="938"/>
      <c r="C95" s="938"/>
      <c r="D95" s="938"/>
    </row>
    <row r="96" spans="1:4" ht="12.75" customHeight="1">
      <c r="A96" s="937"/>
      <c r="B96" s="938"/>
      <c r="C96" s="938"/>
      <c r="D96" s="938"/>
    </row>
    <row r="97" spans="1:4">
      <c r="A97" s="937"/>
      <c r="B97" s="938"/>
      <c r="C97" s="938"/>
      <c r="D97" s="938"/>
    </row>
    <row r="98" spans="1:4">
      <c r="A98" s="937"/>
      <c r="B98" s="938"/>
      <c r="C98" s="938"/>
      <c r="D98" s="938"/>
    </row>
    <row r="99" spans="1:4">
      <c r="A99" s="937"/>
      <c r="B99" s="938"/>
      <c r="C99" s="938"/>
      <c r="D99" s="938"/>
    </row>
    <row r="100" spans="1:4">
      <c r="A100" s="937"/>
      <c r="B100" s="938"/>
      <c r="C100" s="938"/>
      <c r="D100" s="938"/>
    </row>
    <row r="101" spans="1:4">
      <c r="A101" s="937"/>
      <c r="B101" s="938"/>
      <c r="C101" s="938"/>
      <c r="D101" s="938"/>
    </row>
    <row r="102" spans="1:4">
      <c r="A102" s="937"/>
      <c r="B102" s="938"/>
      <c r="C102" s="938"/>
      <c r="D102" s="938"/>
    </row>
    <row r="103" spans="1:4">
      <c r="A103" s="937"/>
      <c r="B103" s="938"/>
      <c r="C103" s="938"/>
      <c r="D103" s="938"/>
    </row>
    <row r="104" spans="1:4">
      <c r="A104" s="937"/>
      <c r="B104" s="938"/>
      <c r="C104" s="938"/>
      <c r="D104" s="938"/>
    </row>
    <row r="105" spans="1:4">
      <c r="A105" s="937"/>
      <c r="B105" s="938"/>
      <c r="C105" s="938"/>
      <c r="D105" s="938"/>
    </row>
    <row r="106" spans="1:4">
      <c r="A106" s="937"/>
      <c r="B106" s="938"/>
      <c r="C106" s="938"/>
      <c r="D106" s="938"/>
    </row>
    <row r="107" spans="1:4">
      <c r="A107" s="937"/>
      <c r="B107" s="938"/>
      <c r="C107" s="938"/>
      <c r="D107" s="938"/>
    </row>
    <row r="108" spans="1:4">
      <c r="A108" s="937"/>
      <c r="B108" s="938"/>
      <c r="C108" s="938"/>
      <c r="D108" s="938"/>
    </row>
    <row r="109" spans="1:4">
      <c r="A109" s="937"/>
      <c r="B109" s="938"/>
      <c r="C109" s="938"/>
      <c r="D109" s="938"/>
    </row>
    <row r="110" spans="1:4">
      <c r="A110" s="937"/>
      <c r="B110" s="938"/>
      <c r="C110" s="938"/>
      <c r="D110" s="938"/>
    </row>
    <row r="111" spans="1:4">
      <c r="A111" s="937"/>
      <c r="B111" s="938"/>
      <c r="C111" s="938"/>
      <c r="D111" s="938"/>
    </row>
    <row r="112" spans="1:4">
      <c r="A112" s="937"/>
      <c r="B112" s="938"/>
      <c r="C112" s="938"/>
      <c r="D112" s="938"/>
    </row>
    <row r="113" spans="1:4">
      <c r="A113" s="937"/>
      <c r="B113" s="938"/>
      <c r="C113" s="938"/>
      <c r="D113" s="938"/>
    </row>
    <row r="114" spans="1:4">
      <c r="A114" s="937"/>
      <c r="B114" s="938"/>
      <c r="C114" s="938"/>
      <c r="D114" s="938"/>
    </row>
    <row r="115" spans="1:4">
      <c r="A115" s="937"/>
      <c r="B115" s="938"/>
      <c r="C115" s="938"/>
      <c r="D115" s="938"/>
    </row>
    <row r="116" spans="1:4">
      <c r="A116" s="937"/>
      <c r="B116" s="938"/>
      <c r="C116" s="938"/>
      <c r="D116" s="938"/>
    </row>
    <row r="117" spans="1:4">
      <c r="A117" s="937"/>
      <c r="B117" s="938"/>
      <c r="C117" s="938"/>
      <c r="D117" s="938"/>
    </row>
    <row r="118" spans="1:4">
      <c r="A118" s="937"/>
      <c r="B118" s="938"/>
      <c r="C118" s="938"/>
      <c r="D118" s="938"/>
    </row>
    <row r="119" spans="1:4">
      <c r="A119" s="937"/>
      <c r="B119" s="938"/>
      <c r="C119" s="938"/>
      <c r="D119" s="938"/>
    </row>
    <row r="120" spans="1:4">
      <c r="A120" s="937"/>
      <c r="B120" s="938"/>
      <c r="C120" s="938"/>
      <c r="D120" s="938"/>
    </row>
    <row r="121" spans="1:4">
      <c r="A121" s="937"/>
      <c r="B121" s="938"/>
      <c r="C121" s="938"/>
      <c r="D121" s="938"/>
    </row>
    <row r="122" spans="1:4">
      <c r="A122" s="937"/>
      <c r="B122" s="938"/>
      <c r="C122" s="938"/>
      <c r="D122" s="938"/>
    </row>
    <row r="123" spans="1:4">
      <c r="A123" s="937"/>
      <c r="B123" s="938"/>
      <c r="C123" s="938"/>
      <c r="D123" s="938"/>
    </row>
    <row r="124" spans="1:4">
      <c r="A124" s="937"/>
      <c r="B124" s="938"/>
      <c r="C124" s="938"/>
      <c r="D124" s="938"/>
    </row>
    <row r="125" spans="1:4">
      <c r="A125" s="937"/>
      <c r="B125" s="938"/>
      <c r="C125" s="938"/>
      <c r="D125" s="938"/>
    </row>
    <row r="126" spans="1:4">
      <c r="A126" s="937"/>
      <c r="B126" s="938"/>
      <c r="C126" s="938"/>
      <c r="D126" s="938"/>
    </row>
    <row r="127" spans="1:4">
      <c r="A127" s="937"/>
      <c r="B127" s="938"/>
      <c r="C127" s="938"/>
      <c r="D127" s="938"/>
    </row>
    <row r="128" spans="1:4">
      <c r="A128" s="937"/>
      <c r="B128" s="938"/>
      <c r="C128" s="938"/>
      <c r="D128" s="938"/>
    </row>
    <row r="129" spans="1:4">
      <c r="A129" s="937"/>
      <c r="B129" s="938"/>
      <c r="C129" s="938"/>
      <c r="D129" s="938"/>
    </row>
    <row r="130" spans="1:4">
      <c r="A130" s="937"/>
      <c r="B130" s="938"/>
      <c r="C130" s="938"/>
      <c r="D130" s="938"/>
    </row>
    <row r="131" spans="1:4">
      <c r="A131" s="937"/>
      <c r="B131" s="938"/>
      <c r="C131" s="938"/>
      <c r="D131" s="938"/>
    </row>
    <row r="132" spans="1:4">
      <c r="A132" s="937"/>
      <c r="B132" s="938"/>
      <c r="C132" s="938"/>
      <c r="D132" s="938"/>
    </row>
    <row r="133" spans="1:4">
      <c r="A133" s="937"/>
      <c r="B133" s="938"/>
      <c r="C133" s="938"/>
      <c r="D133" s="938"/>
    </row>
    <row r="134" spans="1:4">
      <c r="A134" s="937"/>
      <c r="B134" s="938"/>
      <c r="C134" s="938"/>
      <c r="D134" s="938"/>
    </row>
    <row r="135" spans="1:4">
      <c r="A135" s="937"/>
      <c r="B135" s="938"/>
      <c r="C135" s="938"/>
      <c r="D135" s="938"/>
    </row>
    <row r="136" spans="1:4">
      <c r="A136" s="937"/>
      <c r="B136" s="938"/>
      <c r="C136" s="938"/>
      <c r="D136" s="938"/>
    </row>
    <row r="137" spans="1:4">
      <c r="A137" s="937"/>
      <c r="B137" s="938"/>
      <c r="C137" s="938"/>
      <c r="D137" s="938"/>
    </row>
    <row r="138" spans="1:4">
      <c r="A138" s="937"/>
      <c r="B138" s="938"/>
      <c r="C138" s="938"/>
      <c r="D138" s="938"/>
    </row>
    <row r="139" spans="1:4">
      <c r="A139" s="937"/>
      <c r="B139" s="938"/>
      <c r="C139" s="938"/>
      <c r="D139" s="938"/>
    </row>
    <row r="140" spans="1:4">
      <c r="A140" s="937"/>
      <c r="B140" s="938"/>
      <c r="C140" s="938"/>
      <c r="D140" s="938"/>
    </row>
    <row r="141" spans="1:4">
      <c r="A141" s="937"/>
      <c r="B141" s="938"/>
      <c r="C141" s="938"/>
      <c r="D141" s="938"/>
    </row>
    <row r="142" spans="1:4">
      <c r="A142" s="937"/>
      <c r="B142" s="938"/>
      <c r="C142" s="938"/>
      <c r="D142" s="938"/>
    </row>
    <row r="143" spans="1:4">
      <c r="A143" s="937"/>
      <c r="B143" s="938"/>
      <c r="C143" s="938"/>
      <c r="D143" s="938"/>
    </row>
    <row r="144" spans="1:4">
      <c r="A144" s="937"/>
      <c r="B144" s="938"/>
      <c r="C144" s="938"/>
      <c r="D144" s="938"/>
    </row>
    <row r="145" spans="1:4">
      <c r="A145" s="937"/>
      <c r="B145" s="938"/>
      <c r="C145" s="938"/>
      <c r="D145" s="938"/>
    </row>
    <row r="146" spans="1:4">
      <c r="A146" s="937"/>
      <c r="B146" s="938"/>
      <c r="C146" s="938"/>
      <c r="D146" s="938"/>
    </row>
    <row r="147" spans="1:4">
      <c r="A147" s="937"/>
      <c r="B147" s="938"/>
      <c r="C147" s="938"/>
      <c r="D147" s="938"/>
    </row>
    <row r="148" spans="1:4">
      <c r="A148" s="937"/>
      <c r="B148" s="938"/>
      <c r="C148" s="938"/>
      <c r="D148" s="938"/>
    </row>
    <row r="149" spans="1:4">
      <c r="A149" s="937"/>
      <c r="B149" s="938"/>
      <c r="C149" s="938"/>
      <c r="D149" s="938"/>
    </row>
    <row r="150" spans="1:4">
      <c r="A150" s="937"/>
      <c r="B150" s="938"/>
      <c r="C150" s="938"/>
      <c r="D150" s="938"/>
    </row>
    <row r="151" spans="1:4">
      <c r="A151" s="937"/>
      <c r="B151" s="938"/>
      <c r="C151" s="938"/>
      <c r="D151" s="938"/>
    </row>
    <row r="152" spans="1:4">
      <c r="A152" s="937"/>
      <c r="B152" s="938"/>
      <c r="C152" s="938"/>
      <c r="D152" s="938"/>
    </row>
    <row r="153" spans="1:4">
      <c r="A153" s="937"/>
      <c r="B153" s="938"/>
      <c r="C153" s="938"/>
      <c r="D153" s="938"/>
    </row>
    <row r="154" spans="1:4">
      <c r="A154" s="937"/>
      <c r="B154" s="938"/>
      <c r="C154" s="938"/>
      <c r="D154" s="938"/>
    </row>
    <row r="155" spans="1:4">
      <c r="A155" s="937"/>
      <c r="B155" s="938"/>
      <c r="C155" s="938"/>
      <c r="D155" s="938"/>
    </row>
    <row r="156" spans="1:4">
      <c r="A156" s="937"/>
      <c r="B156" s="938"/>
      <c r="C156" s="938"/>
      <c r="D156" s="938"/>
    </row>
    <row r="157" spans="1:4">
      <c r="A157" s="937"/>
      <c r="B157" s="938"/>
      <c r="C157" s="938"/>
      <c r="D157" s="938"/>
    </row>
    <row r="158" spans="1:4">
      <c r="A158" s="937"/>
      <c r="B158" s="938"/>
      <c r="C158" s="938"/>
      <c r="D158" s="938"/>
    </row>
    <row r="159" spans="1:4">
      <c r="A159" s="937"/>
      <c r="B159" s="938"/>
      <c r="C159" s="938"/>
      <c r="D159" s="938"/>
    </row>
    <row r="160" spans="1:4">
      <c r="A160" s="937"/>
      <c r="B160" s="938"/>
      <c r="C160" s="938"/>
      <c r="D160" s="938"/>
    </row>
    <row r="161" spans="1:4">
      <c r="A161" s="937"/>
      <c r="B161" s="938"/>
      <c r="C161" s="938"/>
      <c r="D161" s="938"/>
    </row>
    <row r="162" spans="1:4">
      <c r="A162" s="937"/>
      <c r="B162" s="938"/>
      <c r="C162" s="938"/>
      <c r="D162" s="938"/>
    </row>
    <row r="163" spans="1:4">
      <c r="A163" s="937"/>
      <c r="B163" s="938"/>
      <c r="C163" s="938"/>
      <c r="D163" s="938"/>
    </row>
    <row r="164" spans="1:4">
      <c r="A164" s="937"/>
      <c r="B164" s="938"/>
      <c r="C164" s="938"/>
      <c r="D164" s="938"/>
    </row>
    <row r="165" spans="1:4">
      <c r="A165" s="937"/>
      <c r="B165" s="938"/>
      <c r="C165" s="938"/>
      <c r="D165" s="938"/>
    </row>
    <row r="166" spans="1:4">
      <c r="A166" s="937"/>
      <c r="B166" s="938"/>
      <c r="C166" s="938"/>
      <c r="D166" s="938"/>
    </row>
    <row r="167" spans="1:4">
      <c r="A167" s="937"/>
      <c r="B167" s="938"/>
      <c r="C167" s="938"/>
      <c r="D167" s="938"/>
    </row>
    <row r="168" spans="1:4">
      <c r="A168" s="937"/>
      <c r="B168" s="938"/>
      <c r="C168" s="938"/>
      <c r="D168" s="938"/>
    </row>
    <row r="169" spans="1:4">
      <c r="A169" s="937"/>
      <c r="B169" s="938"/>
      <c r="C169" s="938"/>
      <c r="D169" s="938"/>
    </row>
    <row r="170" spans="1:4">
      <c r="A170" s="937"/>
      <c r="B170" s="938"/>
      <c r="C170" s="938"/>
      <c r="D170" s="938"/>
    </row>
    <row r="171" spans="1:4">
      <c r="A171" s="937"/>
      <c r="B171" s="938"/>
      <c r="C171" s="938"/>
      <c r="D171" s="938"/>
    </row>
    <row r="172" spans="1:4">
      <c r="A172" s="937"/>
      <c r="B172" s="938"/>
      <c r="C172" s="938"/>
      <c r="D172" s="938"/>
    </row>
    <row r="173" spans="1:4">
      <c r="A173" s="937"/>
      <c r="B173" s="938"/>
      <c r="C173" s="938"/>
      <c r="D173" s="938"/>
    </row>
    <row r="174" spans="1:4">
      <c r="A174" s="937"/>
      <c r="B174" s="938"/>
      <c r="C174" s="938"/>
      <c r="D174" s="938"/>
    </row>
    <row r="175" spans="1:4">
      <c r="A175" s="937"/>
      <c r="B175" s="938"/>
      <c r="C175" s="938"/>
      <c r="D175" s="938"/>
    </row>
    <row r="176" spans="1:4">
      <c r="A176" s="937"/>
      <c r="B176" s="938"/>
      <c r="C176" s="938"/>
      <c r="D176" s="938"/>
    </row>
    <row r="177" spans="1:4">
      <c r="A177" s="937"/>
      <c r="B177" s="938"/>
      <c r="C177" s="938"/>
      <c r="D177" s="938"/>
    </row>
    <row r="178" spans="1:4">
      <c r="A178" s="937"/>
      <c r="B178" s="938"/>
      <c r="C178" s="938"/>
      <c r="D178" s="938"/>
    </row>
    <row r="179" spans="1:4">
      <c r="A179" s="937"/>
      <c r="B179" s="938"/>
      <c r="C179" s="938"/>
      <c r="D179" s="938"/>
    </row>
    <row r="180" spans="1:4">
      <c r="A180" s="937"/>
      <c r="B180" s="938"/>
      <c r="C180" s="938"/>
      <c r="D180" s="938"/>
    </row>
    <row r="181" spans="1:4">
      <c r="A181" s="937"/>
      <c r="B181" s="938"/>
      <c r="C181" s="938"/>
      <c r="D181" s="938"/>
    </row>
    <row r="182" spans="1:4">
      <c r="A182" s="937"/>
      <c r="B182" s="938"/>
      <c r="C182" s="938"/>
      <c r="D182" s="938"/>
    </row>
    <row r="183" spans="1:4">
      <c r="A183" s="937"/>
      <c r="B183" s="938"/>
      <c r="C183" s="938"/>
      <c r="D183" s="938"/>
    </row>
    <row r="184" spans="1:4">
      <c r="A184" s="937"/>
      <c r="B184" s="938"/>
      <c r="C184" s="938"/>
      <c r="D184" s="938"/>
    </row>
    <row r="185" spans="1:4">
      <c r="A185" s="937"/>
      <c r="B185" s="938"/>
      <c r="C185" s="938"/>
      <c r="D185" s="938"/>
    </row>
    <row r="186" spans="1:4">
      <c r="A186" s="937"/>
      <c r="B186" s="938"/>
      <c r="C186" s="938"/>
      <c r="D186" s="938"/>
    </row>
    <row r="187" spans="1:4">
      <c r="A187" s="937"/>
      <c r="B187" s="938"/>
      <c r="C187" s="938"/>
      <c r="D187" s="938"/>
    </row>
    <row r="188" spans="1:4">
      <c r="A188" s="937"/>
      <c r="B188" s="938"/>
      <c r="C188" s="938"/>
      <c r="D188" s="938"/>
    </row>
    <row r="189" spans="1:4">
      <c r="A189" s="937"/>
      <c r="B189" s="938"/>
      <c r="C189" s="938"/>
      <c r="D189" s="938"/>
    </row>
    <row r="190" spans="1:4">
      <c r="A190" s="937"/>
      <c r="B190" s="938"/>
      <c r="C190" s="938"/>
      <c r="D190" s="938"/>
    </row>
    <row r="191" spans="1:4">
      <c r="A191" s="937"/>
      <c r="B191" s="938"/>
      <c r="C191" s="938"/>
      <c r="D191" s="938"/>
    </row>
    <row r="192" spans="1:4">
      <c r="A192" s="937"/>
      <c r="B192" s="938"/>
      <c r="C192" s="938"/>
      <c r="D192" s="938"/>
    </row>
    <row r="193" spans="1:4">
      <c r="A193" s="937"/>
      <c r="B193" s="938"/>
      <c r="C193" s="938"/>
      <c r="D193" s="938"/>
    </row>
    <row r="194" spans="1:4">
      <c r="A194" s="937"/>
      <c r="B194" s="938"/>
      <c r="C194" s="938"/>
      <c r="D194" s="938"/>
    </row>
    <row r="195" spans="1:4">
      <c r="A195" s="937"/>
      <c r="B195" s="938"/>
      <c r="C195" s="938"/>
      <c r="D195" s="938"/>
    </row>
    <row r="196" spans="1:4">
      <c r="A196" s="937"/>
      <c r="B196" s="938"/>
      <c r="C196" s="938"/>
      <c r="D196" s="938"/>
    </row>
    <row r="197" spans="1:4">
      <c r="A197" s="937"/>
      <c r="B197" s="938"/>
      <c r="C197" s="938"/>
      <c r="D197" s="938"/>
    </row>
    <row r="198" spans="1:4">
      <c r="A198" s="937"/>
      <c r="B198" s="938"/>
      <c r="C198" s="938"/>
      <c r="D198" s="938"/>
    </row>
    <row r="199" spans="1:4">
      <c r="A199" s="937"/>
      <c r="B199" s="938"/>
      <c r="C199" s="938"/>
      <c r="D199" s="938"/>
    </row>
    <row r="200" spans="1:4">
      <c r="A200" s="937"/>
      <c r="B200" s="938"/>
      <c r="C200" s="938"/>
      <c r="D200" s="938"/>
    </row>
    <row r="201" spans="1:4">
      <c r="A201" s="937"/>
      <c r="B201" s="938"/>
      <c r="C201" s="938"/>
      <c r="D201" s="938"/>
    </row>
    <row r="202" spans="1:4">
      <c r="A202" s="937"/>
      <c r="B202" s="938"/>
      <c r="C202" s="938"/>
      <c r="D202" s="938"/>
    </row>
    <row r="203" spans="1:4">
      <c r="A203" s="937"/>
      <c r="B203" s="938"/>
      <c r="C203" s="938"/>
      <c r="D203" s="938"/>
    </row>
    <row r="204" spans="1:4">
      <c r="A204" s="937"/>
      <c r="B204" s="938"/>
      <c r="C204" s="938"/>
      <c r="D204" s="938"/>
    </row>
    <row r="205" spans="1:4">
      <c r="A205" s="937"/>
      <c r="B205" s="938"/>
      <c r="C205" s="938"/>
      <c r="D205" s="938"/>
    </row>
    <row r="206" spans="1:4">
      <c r="A206" s="937"/>
      <c r="B206" s="938"/>
      <c r="C206" s="938"/>
      <c r="D206" s="938"/>
    </row>
    <row r="207" spans="1:4">
      <c r="A207" s="937"/>
      <c r="B207" s="938"/>
      <c r="C207" s="938"/>
      <c r="D207" s="938"/>
    </row>
    <row r="208" spans="1:4">
      <c r="A208" s="937"/>
      <c r="B208" s="938"/>
      <c r="C208" s="938"/>
      <c r="D208" s="938"/>
    </row>
    <row r="209" spans="1:4">
      <c r="A209" s="937"/>
      <c r="B209" s="938"/>
      <c r="C209" s="938"/>
      <c r="D209" s="938"/>
    </row>
    <row r="210" spans="1:4">
      <c r="A210" s="937"/>
      <c r="B210" s="938"/>
      <c r="C210" s="938"/>
      <c r="D210" s="938"/>
    </row>
    <row r="211" spans="1:4">
      <c r="A211" s="937"/>
      <c r="B211" s="938"/>
      <c r="C211" s="938"/>
      <c r="D211" s="938"/>
    </row>
    <row r="212" spans="1:4">
      <c r="A212" s="937"/>
      <c r="B212" s="938"/>
      <c r="C212" s="938"/>
      <c r="D212" s="938"/>
    </row>
    <row r="213" spans="1:4">
      <c r="A213" s="937"/>
      <c r="B213" s="938"/>
      <c r="C213" s="938"/>
      <c r="D213" s="938"/>
    </row>
    <row r="214" spans="1:4">
      <c r="A214" s="937"/>
      <c r="B214" s="938"/>
      <c r="C214" s="938"/>
      <c r="D214" s="938"/>
    </row>
    <row r="215" spans="1:4">
      <c r="A215" s="937"/>
      <c r="B215" s="938"/>
      <c r="C215" s="938"/>
      <c r="D215" s="938"/>
    </row>
    <row r="216" spans="1:4">
      <c r="A216" s="937"/>
      <c r="B216" s="938"/>
      <c r="C216" s="938"/>
      <c r="D216" s="938"/>
    </row>
    <row r="217" spans="1:4">
      <c r="A217" s="937"/>
      <c r="B217" s="938"/>
      <c r="C217" s="938"/>
      <c r="D217" s="938"/>
    </row>
    <row r="218" spans="1:4">
      <c r="A218" s="937"/>
      <c r="B218" s="938"/>
      <c r="C218" s="938"/>
      <c r="D218" s="938"/>
    </row>
    <row r="219" spans="1:4">
      <c r="A219" s="937"/>
      <c r="B219" s="938"/>
      <c r="C219" s="938"/>
      <c r="D219" s="938"/>
    </row>
    <row r="220" spans="1:4">
      <c r="A220" s="937"/>
      <c r="B220" s="938"/>
      <c r="C220" s="938"/>
      <c r="D220" s="938"/>
    </row>
    <row r="221" spans="1:4">
      <c r="A221" s="937"/>
      <c r="B221" s="938"/>
      <c r="C221" s="938"/>
      <c r="D221" s="938"/>
    </row>
    <row r="222" spans="1:4">
      <c r="A222" s="937"/>
      <c r="B222" s="938"/>
      <c r="C222" s="938"/>
      <c r="D222" s="938"/>
    </row>
    <row r="223" spans="1:4">
      <c r="A223" s="937"/>
      <c r="B223" s="938"/>
      <c r="C223" s="938"/>
      <c r="D223" s="938"/>
    </row>
    <row r="224" spans="1:4">
      <c r="A224" s="937"/>
      <c r="B224" s="938"/>
      <c r="C224" s="938"/>
      <c r="D224" s="938"/>
    </row>
    <row r="225" spans="1:4">
      <c r="A225" s="937"/>
      <c r="B225" s="938"/>
      <c r="C225" s="938"/>
      <c r="D225" s="938"/>
    </row>
    <row r="226" spans="1:4">
      <c r="A226" s="937"/>
      <c r="B226" s="938"/>
      <c r="C226" s="938"/>
      <c r="D226" s="938"/>
    </row>
    <row r="227" spans="1:4">
      <c r="A227" s="937"/>
      <c r="B227" s="938"/>
      <c r="C227" s="938"/>
      <c r="D227" s="938"/>
    </row>
    <row r="228" spans="1:4">
      <c r="A228" s="937"/>
      <c r="B228" s="938"/>
      <c r="C228" s="938"/>
      <c r="D228" s="938"/>
    </row>
    <row r="229" spans="1:4">
      <c r="A229" s="937"/>
      <c r="B229" s="938"/>
      <c r="C229" s="938"/>
      <c r="D229" s="938"/>
    </row>
    <row r="230" spans="1:4">
      <c r="A230" s="937"/>
      <c r="B230" s="938"/>
      <c r="C230" s="938"/>
      <c r="D230" s="938"/>
    </row>
    <row r="231" spans="1:4">
      <c r="A231" s="937"/>
      <c r="B231" s="938"/>
      <c r="C231" s="938"/>
      <c r="D231" s="938"/>
    </row>
    <row r="232" spans="1:4">
      <c r="A232" s="937"/>
      <c r="B232" s="938"/>
      <c r="C232" s="938"/>
      <c r="D232" s="938"/>
    </row>
    <row r="233" spans="1:4">
      <c r="A233" s="937"/>
      <c r="B233" s="938"/>
      <c r="C233" s="938"/>
      <c r="D233" s="938"/>
    </row>
    <row r="234" spans="1:4">
      <c r="A234" s="937"/>
      <c r="B234" s="938"/>
      <c r="C234" s="938"/>
      <c r="D234" s="938"/>
    </row>
    <row r="235" spans="1:4">
      <c r="A235" s="937"/>
      <c r="B235" s="938"/>
      <c r="C235" s="938"/>
      <c r="D235" s="938"/>
    </row>
    <row r="236" spans="1:4">
      <c r="A236" s="937"/>
      <c r="B236" s="938"/>
      <c r="C236" s="938"/>
      <c r="D236" s="938"/>
    </row>
    <row r="237" spans="1:4">
      <c r="A237" s="937"/>
      <c r="B237" s="938"/>
      <c r="C237" s="938"/>
      <c r="D237" s="938"/>
    </row>
    <row r="238" spans="1:4">
      <c r="A238" s="937"/>
      <c r="B238" s="938"/>
      <c r="C238" s="938"/>
      <c r="D238" s="938"/>
    </row>
    <row r="239" spans="1:4">
      <c r="A239" s="937"/>
      <c r="B239" s="938"/>
      <c r="C239" s="938"/>
      <c r="D239" s="938"/>
    </row>
    <row r="240" spans="1:4">
      <c r="A240" s="937"/>
      <c r="B240" s="938"/>
      <c r="C240" s="938"/>
      <c r="D240" s="938"/>
    </row>
    <row r="241" spans="1:4">
      <c r="A241" s="937"/>
      <c r="B241" s="938"/>
      <c r="C241" s="938"/>
      <c r="D241" s="938"/>
    </row>
    <row r="242" spans="1:4">
      <c r="A242" s="937"/>
      <c r="B242" s="938"/>
      <c r="C242" s="938"/>
      <c r="D242" s="938"/>
    </row>
    <row r="243" spans="1:4">
      <c r="A243" s="937"/>
      <c r="B243" s="938"/>
      <c r="C243" s="938"/>
      <c r="D243" s="938"/>
    </row>
    <row r="244" spans="1:4">
      <c r="A244" s="937"/>
      <c r="B244" s="938"/>
      <c r="C244" s="938"/>
      <c r="D244" s="938"/>
    </row>
    <row r="245" spans="1:4">
      <c r="A245" s="937"/>
      <c r="B245" s="938"/>
      <c r="C245" s="938"/>
      <c r="D245" s="938"/>
    </row>
    <row r="246" spans="1:4">
      <c r="A246" s="937"/>
      <c r="B246" s="938"/>
      <c r="C246" s="938"/>
      <c r="D246" s="938"/>
    </row>
    <row r="247" spans="1:4">
      <c r="A247" s="937"/>
      <c r="B247" s="938"/>
      <c r="C247" s="938"/>
      <c r="D247" s="938"/>
    </row>
    <row r="248" spans="1:4">
      <c r="A248" s="937"/>
      <c r="B248" s="938"/>
      <c r="C248" s="938"/>
      <c r="D248" s="938"/>
    </row>
    <row r="249" spans="1:4">
      <c r="A249" s="937"/>
      <c r="B249" s="938"/>
      <c r="C249" s="938"/>
      <c r="D249" s="938"/>
    </row>
    <row r="250" spans="1:4">
      <c r="A250" s="937"/>
      <c r="B250" s="938"/>
      <c r="C250" s="938"/>
      <c r="D250" s="938"/>
    </row>
    <row r="251" spans="1:4">
      <c r="A251" s="937"/>
      <c r="B251" s="938"/>
      <c r="C251" s="938"/>
      <c r="D251" s="938"/>
    </row>
    <row r="252" spans="1:4">
      <c r="A252" s="937"/>
      <c r="B252" s="938"/>
      <c r="C252" s="938"/>
      <c r="D252" s="938"/>
    </row>
    <row r="253" spans="1:4">
      <c r="A253" s="937"/>
      <c r="B253" s="938"/>
      <c r="C253" s="938"/>
      <c r="D253" s="938"/>
    </row>
    <row r="254" spans="1:4">
      <c r="A254" s="937"/>
      <c r="B254" s="938"/>
      <c r="C254" s="938"/>
      <c r="D254" s="938"/>
    </row>
    <row r="255" spans="1:4">
      <c r="A255" s="937"/>
      <c r="B255" s="938"/>
      <c r="C255" s="938"/>
      <c r="D255" s="938"/>
    </row>
    <row r="256" spans="1:4">
      <c r="A256" s="937"/>
      <c r="B256" s="938"/>
      <c r="C256" s="938"/>
      <c r="D256" s="938"/>
    </row>
    <row r="257" spans="1:4">
      <c r="A257" s="937"/>
      <c r="B257" s="938"/>
      <c r="C257" s="938"/>
      <c r="D257" s="938"/>
    </row>
    <row r="258" spans="1:4">
      <c r="A258" s="937"/>
      <c r="B258" s="938"/>
      <c r="C258" s="938"/>
      <c r="D258" s="938"/>
    </row>
    <row r="259" spans="1:4">
      <c r="A259" s="937"/>
      <c r="B259" s="938"/>
      <c r="C259" s="938"/>
      <c r="D259" s="938"/>
    </row>
    <row r="260" spans="1:4">
      <c r="A260" s="937"/>
      <c r="B260" s="938"/>
      <c r="C260" s="938"/>
      <c r="D260" s="938"/>
    </row>
    <row r="261" spans="1:4">
      <c r="A261" s="937"/>
      <c r="B261" s="938"/>
      <c r="C261" s="938"/>
      <c r="D261" s="938"/>
    </row>
    <row r="262" spans="1:4">
      <c r="A262" s="937"/>
      <c r="B262" s="938"/>
      <c r="C262" s="938"/>
      <c r="D262" s="938"/>
    </row>
    <row r="263" spans="1:4">
      <c r="A263" s="937"/>
      <c r="B263" s="938"/>
      <c r="C263" s="938"/>
      <c r="D263" s="938"/>
    </row>
    <row r="264" spans="1:4">
      <c r="A264" s="937"/>
      <c r="B264" s="938"/>
      <c r="C264" s="938"/>
      <c r="D264" s="938"/>
    </row>
    <row r="265" spans="1:4">
      <c r="A265" s="937"/>
      <c r="B265" s="938"/>
      <c r="C265" s="938"/>
      <c r="D265" s="938"/>
    </row>
    <row r="266" spans="1:4">
      <c r="A266" s="937"/>
      <c r="B266" s="938"/>
      <c r="C266" s="938"/>
      <c r="D266" s="938"/>
    </row>
    <row r="267" spans="1:4">
      <c r="A267" s="937"/>
      <c r="B267" s="938"/>
      <c r="C267" s="938"/>
      <c r="D267" s="938"/>
    </row>
    <row r="268" spans="1:4">
      <c r="A268" s="937"/>
      <c r="B268" s="938"/>
      <c r="C268" s="938"/>
      <c r="D268" s="938"/>
    </row>
    <row r="269" spans="1:4">
      <c r="A269" s="937"/>
      <c r="B269" s="938"/>
      <c r="C269" s="938"/>
      <c r="D269" s="938"/>
    </row>
    <row r="270" spans="1:4">
      <c r="A270" s="937"/>
      <c r="B270" s="938"/>
      <c r="C270" s="938"/>
      <c r="D270" s="938"/>
    </row>
    <row r="271" spans="1:4">
      <c r="A271" s="937"/>
      <c r="B271" s="938"/>
      <c r="C271" s="938"/>
      <c r="D271" s="938"/>
    </row>
    <row r="272" spans="1:4">
      <c r="A272" s="937"/>
      <c r="B272" s="938"/>
      <c r="C272" s="938"/>
      <c r="D272" s="938"/>
    </row>
    <row r="273" spans="1:4">
      <c r="A273" s="937"/>
      <c r="B273" s="938"/>
      <c r="C273" s="938"/>
      <c r="D273" s="938"/>
    </row>
    <row r="274" spans="1:4">
      <c r="A274" s="937"/>
      <c r="B274" s="938"/>
      <c r="C274" s="938"/>
      <c r="D274" s="938"/>
    </row>
    <row r="275" spans="1:4">
      <c r="A275" s="937"/>
      <c r="B275" s="938"/>
      <c r="C275" s="938"/>
      <c r="D275" s="938"/>
    </row>
    <row r="276" spans="1:4">
      <c r="A276" s="937"/>
      <c r="B276" s="938"/>
      <c r="C276" s="938"/>
      <c r="D276" s="938"/>
    </row>
    <row r="277" spans="1:4">
      <c r="A277" s="937"/>
      <c r="B277" s="938"/>
      <c r="C277" s="938"/>
      <c r="D277" s="938"/>
    </row>
    <row r="278" spans="1:4">
      <c r="A278" s="937"/>
      <c r="B278" s="938"/>
      <c r="C278" s="938"/>
      <c r="D278" s="938"/>
    </row>
    <row r="279" spans="1:4">
      <c r="A279" s="937"/>
      <c r="B279" s="938"/>
      <c r="C279" s="938"/>
      <c r="D279" s="938"/>
    </row>
    <row r="280" spans="1:4">
      <c r="A280" s="937"/>
      <c r="B280" s="938"/>
      <c r="C280" s="938"/>
      <c r="D280" s="938"/>
    </row>
    <row r="281" spans="1:4">
      <c r="A281" s="937"/>
      <c r="B281" s="938"/>
      <c r="C281" s="938"/>
      <c r="D281" s="938"/>
    </row>
    <row r="282" spans="1:4">
      <c r="A282" s="937"/>
      <c r="B282" s="938"/>
      <c r="C282" s="938"/>
      <c r="D282" s="938"/>
    </row>
    <row r="283" spans="1:4">
      <c r="A283" s="937"/>
      <c r="B283" s="938"/>
      <c r="C283" s="938"/>
      <c r="D283" s="938"/>
    </row>
    <row r="284" spans="1:4">
      <c r="A284" s="937"/>
      <c r="B284" s="938"/>
      <c r="C284" s="938"/>
      <c r="D284" s="938"/>
    </row>
    <row r="285" spans="1:4">
      <c r="A285" s="937"/>
      <c r="B285" s="938"/>
      <c r="C285" s="938"/>
      <c r="D285" s="938"/>
    </row>
    <row r="286" spans="1:4">
      <c r="A286" s="937"/>
      <c r="B286" s="938"/>
      <c r="C286" s="938"/>
      <c r="D286" s="938"/>
    </row>
    <row r="287" spans="1:4">
      <c r="A287" s="937"/>
      <c r="B287" s="938"/>
      <c r="C287" s="938"/>
      <c r="D287" s="938"/>
    </row>
    <row r="288" spans="1:4">
      <c r="A288" s="937"/>
      <c r="B288" s="938"/>
      <c r="C288" s="938"/>
      <c r="D288" s="938"/>
    </row>
    <row r="289" spans="1:4">
      <c r="A289" s="937"/>
      <c r="B289" s="938"/>
      <c r="C289" s="938"/>
      <c r="D289" s="938"/>
    </row>
    <row r="290" spans="1:4">
      <c r="A290" s="937"/>
      <c r="B290" s="938"/>
      <c r="C290" s="938"/>
      <c r="D290" s="938"/>
    </row>
    <row r="291" spans="1:4">
      <c r="A291" s="937"/>
      <c r="B291" s="938"/>
      <c r="C291" s="938"/>
      <c r="D291" s="938"/>
    </row>
    <row r="292" spans="1:4">
      <c r="A292" s="937"/>
      <c r="B292" s="938"/>
      <c r="C292" s="938"/>
      <c r="D292" s="938"/>
    </row>
    <row r="293" spans="1:4">
      <c r="A293" s="937"/>
      <c r="B293" s="938"/>
      <c r="C293" s="938"/>
      <c r="D293" s="938"/>
    </row>
    <row r="294" spans="1:4">
      <c r="A294" s="937"/>
      <c r="B294" s="938"/>
      <c r="C294" s="938"/>
      <c r="D294" s="938"/>
    </row>
    <row r="295" spans="1:4">
      <c r="A295" s="937"/>
      <c r="B295" s="938"/>
      <c r="C295" s="938"/>
      <c r="D295" s="938"/>
    </row>
    <row r="296" spans="1:4">
      <c r="A296" s="937"/>
      <c r="B296" s="938"/>
      <c r="C296" s="938"/>
      <c r="D296" s="938"/>
    </row>
    <row r="297" spans="1:4">
      <c r="A297" s="937"/>
      <c r="B297" s="938"/>
      <c r="C297" s="938"/>
      <c r="D297" s="938"/>
    </row>
    <row r="298" spans="1:4">
      <c r="A298" s="937"/>
      <c r="B298" s="938"/>
      <c r="C298" s="938"/>
      <c r="D298" s="938"/>
    </row>
    <row r="299" spans="1:4">
      <c r="A299" s="937"/>
      <c r="B299" s="938"/>
      <c r="C299" s="938"/>
      <c r="D299" s="938"/>
    </row>
    <row r="300" spans="1:4">
      <c r="A300" s="937"/>
      <c r="B300" s="938"/>
      <c r="D300" s="938"/>
    </row>
    <row r="301" spans="1:4">
      <c r="A301" s="937"/>
      <c r="B301" s="938"/>
      <c r="D301" s="938"/>
    </row>
    <row r="302" spans="1:4">
      <c r="A302" s="937"/>
      <c r="B302" s="938"/>
      <c r="D302" s="938"/>
    </row>
    <row r="303" spans="1:4">
      <c r="A303" s="937"/>
      <c r="B303" s="938"/>
      <c r="D303" s="938"/>
    </row>
    <row r="304" spans="1:4">
      <c r="A304" s="937"/>
      <c r="B304" s="938"/>
      <c r="D304" s="938"/>
    </row>
    <row r="305" spans="1:4">
      <c r="A305" s="937"/>
      <c r="B305" s="938"/>
      <c r="D305" s="938"/>
    </row>
    <row r="306" spans="1:4">
      <c r="A306" s="937"/>
      <c r="B306" s="938"/>
      <c r="D306" s="938"/>
    </row>
    <row r="307" spans="1:4">
      <c r="A307" s="937"/>
      <c r="B307" s="938"/>
      <c r="D307" s="938"/>
    </row>
    <row r="308" spans="1:4">
      <c r="A308" s="937"/>
      <c r="B308" s="938"/>
      <c r="D308" s="938"/>
    </row>
    <row r="309" spans="1:4">
      <c r="A309" s="937"/>
      <c r="B309" s="938"/>
      <c r="D309" s="938"/>
    </row>
    <row r="310" spans="1:4">
      <c r="A310" s="937"/>
      <c r="B310" s="938"/>
      <c r="D310" s="938"/>
    </row>
    <row r="311" spans="1:4">
      <c r="A311" s="938"/>
      <c r="B311" s="938"/>
      <c r="D311" s="938"/>
    </row>
    <row r="312" spans="1:4">
      <c r="A312" s="938"/>
      <c r="B312" s="938"/>
      <c r="D312" s="938"/>
    </row>
    <row r="313" spans="1:4">
      <c r="A313" s="937"/>
      <c r="B313" s="938"/>
      <c r="D313" s="938"/>
    </row>
    <row r="314" spans="1:4">
      <c r="A314" s="937"/>
      <c r="B314" s="938"/>
      <c r="D314" s="938"/>
    </row>
    <row r="315" spans="1:4">
      <c r="A315" s="939"/>
      <c r="B315" s="940"/>
      <c r="D315" s="940"/>
    </row>
    <row r="316" spans="1:4">
      <c r="A316" s="188"/>
      <c r="B316" s="188"/>
      <c r="D316" s="188"/>
    </row>
    <row r="317" spans="1:4">
      <c r="A317" s="188"/>
      <c r="B317" s="188"/>
      <c r="D317" s="188"/>
    </row>
    <row r="318" spans="1:4">
      <c r="A318" s="188"/>
      <c r="B318" s="188"/>
      <c r="D318" s="188"/>
    </row>
    <row r="319" spans="1:4">
      <c r="A319" s="188"/>
      <c r="B319" s="188"/>
      <c r="D319" s="188"/>
    </row>
    <row r="320" spans="1:4">
      <c r="A320" s="188"/>
      <c r="B320" s="188"/>
      <c r="D320" s="188"/>
    </row>
    <row r="321" spans="1:4">
      <c r="A321" s="188"/>
      <c r="B321" s="188"/>
      <c r="D321" s="188"/>
    </row>
    <row r="322" spans="1:4">
      <c r="A322" s="188"/>
      <c r="B322" s="188"/>
      <c r="D322" s="188"/>
    </row>
    <row r="323" spans="1:4">
      <c r="A323" s="188"/>
      <c r="B323" s="188"/>
      <c r="D323" s="188"/>
    </row>
    <row r="324" spans="1:4">
      <c r="A324" s="188"/>
      <c r="B324" s="188"/>
      <c r="D324" s="188"/>
    </row>
    <row r="325" spans="1:4">
      <c r="A325" s="188"/>
      <c r="B325" s="188"/>
      <c r="D325" s="188"/>
    </row>
    <row r="326" spans="1:4">
      <c r="A326" s="188"/>
      <c r="B326" s="188"/>
      <c r="D326" s="188"/>
    </row>
    <row r="327" spans="1:4">
      <c r="A327" s="188"/>
      <c r="B327" s="188"/>
      <c r="D327" s="188"/>
    </row>
    <row r="328" spans="1:4">
      <c r="A328" s="188"/>
      <c r="B328" s="188"/>
      <c r="D328" s="188"/>
    </row>
    <row r="329" spans="1:4">
      <c r="A329" s="188"/>
      <c r="B329" s="188"/>
      <c r="D329" s="188"/>
    </row>
    <row r="330" spans="1:4">
      <c r="A330" s="188"/>
      <c r="B330" s="188"/>
      <c r="D330" s="188"/>
    </row>
    <row r="331" spans="1:4">
      <c r="A331" s="188"/>
      <c r="B331" s="188"/>
      <c r="D331" s="188"/>
    </row>
  </sheetData>
  <sheetProtection algorithmName="SHA-512" hashValue="mHoVo7XEGoQpyZOQeLUlB5o52aonYGH0gte26ukd+/yn1ZkDdFmjyJWkftFvF/2tLJhlj233iGXSaL+PTzal1A==" saltValue="6yMPXZiMAlKoxfEZbNb6Tw==" spinCount="100000" sheet="1" objects="1" scenarios="1"/>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11F59-EFA0-4C80-AB87-39AD02E78D5C}">
  <sheetPr codeName="Sheet27"/>
  <dimension ref="A1:Y23"/>
  <sheetViews>
    <sheetView zoomScaleNormal="100" workbookViewId="0">
      <selection activeCell="C16" sqref="C16"/>
    </sheetView>
  </sheetViews>
  <sheetFormatPr defaultRowHeight="12.75"/>
  <cols>
    <col min="1" max="1" width="28.7109375" customWidth="1"/>
    <col min="6" max="7" width="9.140625" customWidth="1"/>
    <col min="8" max="8" width="9.42578125" customWidth="1"/>
    <col min="12" max="12" width="9" customWidth="1"/>
    <col min="19" max="19" width="15.7109375" customWidth="1"/>
    <col min="20" max="20" width="19" customWidth="1"/>
  </cols>
  <sheetData>
    <row r="1" spans="1:25" ht="18">
      <c r="A1" s="996" t="s">
        <v>1483</v>
      </c>
      <c r="B1" s="57" t="str">
        <f>Intro!D4</f>
        <v>IRC-FORM-2100J (ARPANSA-FORM-1856)</v>
      </c>
      <c r="K1" s="996" t="s">
        <v>1513</v>
      </c>
    </row>
    <row r="2" spans="1:25">
      <c r="B2" s="59" t="str">
        <f>Intro!D5</f>
        <v>23-Production</v>
      </c>
    </row>
    <row r="3" spans="1:25">
      <c r="B3" s="59" t="str">
        <f>Intro!B10</f>
        <v>Validated: Note yet</v>
      </c>
      <c r="T3" s="56"/>
      <c r="U3" s="56"/>
      <c r="V3" s="56"/>
      <c r="W3" s="56"/>
      <c r="X3" s="56"/>
      <c r="Y3" s="56"/>
    </row>
    <row r="4" spans="1:25">
      <c r="D4" s="59"/>
      <c r="T4" s="56"/>
      <c r="U4" s="56"/>
      <c r="V4" s="56"/>
      <c r="W4" s="56"/>
      <c r="X4" s="56"/>
      <c r="Y4" s="56"/>
    </row>
    <row r="5" spans="1:25">
      <c r="A5" s="5" t="s">
        <v>1486</v>
      </c>
      <c r="T5" s="56"/>
      <c r="U5" s="56"/>
      <c r="V5" s="56"/>
      <c r="W5" s="56"/>
      <c r="X5" s="56"/>
      <c r="Y5" s="56"/>
    </row>
    <row r="6" spans="1:25">
      <c r="A6" s="995" t="s">
        <v>1481</v>
      </c>
      <c r="B6" s="1493" t="str">
        <f ca="1">LEFT(CELL("filename",A1),FIND("[",CELL("filename",A1))-1)</f>
        <v>S:\Medical_Rad\Radiotherapy\Ionizing Radiation\Shared Work Records - RES\781-810\RES00800 Digitisation student project\</v>
      </c>
      <c r="C6" s="1494"/>
      <c r="D6" s="1494"/>
      <c r="E6" s="1494"/>
      <c r="F6" s="1494"/>
      <c r="G6" s="1494"/>
      <c r="H6" s="1494"/>
      <c r="I6" s="1494"/>
      <c r="J6" s="1494"/>
      <c r="K6" s="1494"/>
      <c r="L6" s="1494"/>
      <c r="M6" s="1494"/>
      <c r="N6" s="1494"/>
      <c r="O6" s="1494"/>
      <c r="P6" s="1494"/>
      <c r="Q6" s="1495"/>
      <c r="T6" s="56"/>
      <c r="U6" s="56"/>
      <c r="V6" s="56"/>
      <c r="W6" s="56"/>
      <c r="X6" s="56"/>
      <c r="Y6" s="56"/>
    </row>
    <row r="7" spans="1:25">
      <c r="A7" s="995" t="s">
        <v>1482</v>
      </c>
      <c r="B7" s="1496" t="str">
        <f ca="1">MID(CELL("filename",A1),SEARCH("[",CELL("filename",A1))+1, SEARCH("]",CELL("filename",A1))-SEARCH("[",CELL("filename",A1))-1)</f>
        <v>Summary and reports for 1A and 1B 9 (see MEX tab).xlsm</v>
      </c>
      <c r="C7" s="1497"/>
      <c r="D7" s="1497"/>
      <c r="E7" s="1497"/>
      <c r="F7" s="1497"/>
      <c r="G7" s="1497"/>
      <c r="H7" s="1497"/>
      <c r="I7" s="1497"/>
      <c r="J7" s="1497"/>
      <c r="K7" s="1497"/>
      <c r="L7" s="1497"/>
      <c r="M7" s="1498"/>
      <c r="N7" s="451"/>
      <c r="O7" s="451"/>
      <c r="P7" s="451"/>
      <c r="Q7" s="451"/>
      <c r="T7" s="56"/>
      <c r="U7" s="56"/>
      <c r="V7" s="56"/>
      <c r="W7" s="56"/>
      <c r="X7" s="56"/>
      <c r="Y7" s="56"/>
    </row>
    <row r="8" spans="1:25">
      <c r="A8" s="995" t="s">
        <v>1494</v>
      </c>
      <c r="B8" s="1493" t="str">
        <f ca="1">B6&amp;"DCC"&amp;"\"</f>
        <v>S:\Medical_Rad\Radiotherapy\Ionizing Radiation\Shared Work Records - RES\781-810\RES00800 Digitisation student project\DCC\</v>
      </c>
      <c r="C8" s="1494"/>
      <c r="D8" s="1494"/>
      <c r="E8" s="1494"/>
      <c r="F8" s="1494"/>
      <c r="G8" s="1494"/>
      <c r="H8" s="1494"/>
      <c r="I8" s="1494"/>
      <c r="J8" s="1494"/>
      <c r="K8" s="1494"/>
      <c r="L8" s="1494"/>
      <c r="M8" s="1494"/>
      <c r="N8" s="1494"/>
      <c r="O8" s="1494"/>
      <c r="P8" s="1494"/>
      <c r="Q8" s="1495"/>
      <c r="T8" s="56"/>
      <c r="U8" s="907"/>
      <c r="V8" s="907"/>
      <c r="W8" s="56"/>
      <c r="X8" s="56"/>
      <c r="Y8" s="56"/>
    </row>
    <row r="9" spans="1:25">
      <c r="A9" s="995" t="s">
        <v>1493</v>
      </c>
      <c r="B9" s="1493" t="str">
        <f ca="1">B6&amp;"Signed"&amp;"\"</f>
        <v>S:\Medical_Rad\Radiotherapy\Ionizing Radiation\Shared Work Records - RES\781-810\RES00800 Digitisation student project\Signed\</v>
      </c>
      <c r="C9" s="1494"/>
      <c r="D9" s="1494"/>
      <c r="E9" s="1494"/>
      <c r="F9" s="1494"/>
      <c r="G9" s="1494"/>
      <c r="H9" s="1494"/>
      <c r="I9" s="1494"/>
      <c r="J9" s="1494"/>
      <c r="K9" s="1494"/>
      <c r="L9" s="1494"/>
      <c r="M9" s="1494"/>
      <c r="N9" s="1494"/>
      <c r="O9" s="1494"/>
      <c r="P9" s="1494"/>
      <c r="Q9" s="1495"/>
      <c r="T9" s="56"/>
      <c r="U9" s="56"/>
      <c r="V9" s="56"/>
      <c r="W9" s="56"/>
      <c r="X9" s="56"/>
      <c r="Y9" s="56"/>
    </row>
    <row r="10" spans="1:25">
      <c r="A10" s="995" t="s">
        <v>1511</v>
      </c>
      <c r="B10" s="1493" t="str">
        <f ca="1">B6&amp;"Report checking"&amp;"\"</f>
        <v>S:\Medical_Rad\Radiotherapy\Ionizing Radiation\Shared Work Records - RES\781-810\RES00800 Digitisation student project\Report checking\</v>
      </c>
      <c r="C10" s="1494"/>
      <c r="D10" s="1494"/>
      <c r="E10" s="1494"/>
      <c r="F10" s="1494"/>
      <c r="G10" s="1494"/>
      <c r="H10" s="1494"/>
      <c r="I10" s="1494"/>
      <c r="J10" s="1494"/>
      <c r="K10" s="1494"/>
      <c r="L10" s="1494"/>
      <c r="M10" s="1494"/>
      <c r="N10" s="1494"/>
      <c r="O10" s="1494"/>
      <c r="P10" s="1494"/>
      <c r="Q10" s="1495"/>
      <c r="T10" s="56"/>
      <c r="U10" s="56"/>
      <c r="V10" s="56"/>
      <c r="W10" s="56"/>
      <c r="X10" s="56"/>
      <c r="Y10" s="56"/>
    </row>
    <row r="11" spans="1:25">
      <c r="T11" s="56"/>
      <c r="U11" s="56"/>
      <c r="V11" s="56"/>
      <c r="W11" s="56"/>
      <c r="X11" s="56"/>
      <c r="Y11" s="56"/>
    </row>
    <row r="12" spans="1:25">
      <c r="E12" s="1011" t="s">
        <v>1510</v>
      </c>
      <c r="G12" s="1513" t="s">
        <v>1509</v>
      </c>
      <c r="H12" s="1513"/>
      <c r="K12" s="1513" t="s">
        <v>1510</v>
      </c>
      <c r="L12" s="1513"/>
      <c r="T12" s="56"/>
      <c r="U12" s="56"/>
      <c r="V12" s="56"/>
      <c r="W12" s="56"/>
      <c r="X12" s="56"/>
      <c r="Y12" s="56"/>
    </row>
    <row r="13" spans="1:25" ht="33" customHeight="1">
      <c r="A13" s="1511" t="s">
        <v>1492</v>
      </c>
      <c r="B13" s="1499" t="s">
        <v>1470</v>
      </c>
      <c r="C13" s="1499" t="s">
        <v>1501</v>
      </c>
      <c r="D13" s="1499" t="s">
        <v>1490</v>
      </c>
      <c r="E13" s="1499" t="s">
        <v>1508</v>
      </c>
      <c r="F13" s="1499" t="s">
        <v>1489</v>
      </c>
      <c r="G13" s="1507" t="s">
        <v>1496</v>
      </c>
      <c r="H13" s="1508"/>
      <c r="I13" s="1499" t="s">
        <v>1488</v>
      </c>
      <c r="J13" s="1499" t="s">
        <v>1487</v>
      </c>
      <c r="K13" s="1503" t="s">
        <v>1512</v>
      </c>
      <c r="L13" s="1504"/>
      <c r="M13" s="1501" t="s">
        <v>1491</v>
      </c>
      <c r="N13" s="1501"/>
      <c r="O13" s="1501"/>
      <c r="P13" s="1501"/>
      <c r="Q13" s="1501"/>
      <c r="R13" s="1501"/>
      <c r="S13" s="1501"/>
      <c r="T13" s="1491" t="s">
        <v>1492</v>
      </c>
    </row>
    <row r="14" spans="1:25" ht="33" customHeight="1">
      <c r="A14" s="1512"/>
      <c r="B14" s="1500"/>
      <c r="C14" s="1500"/>
      <c r="D14" s="1500"/>
      <c r="E14" s="1500"/>
      <c r="F14" s="1500"/>
      <c r="G14" s="1509"/>
      <c r="H14" s="1510"/>
      <c r="I14" s="1500"/>
      <c r="J14" s="1500"/>
      <c r="K14" s="1505"/>
      <c r="L14" s="1506"/>
      <c r="M14" s="998" t="s">
        <v>1485</v>
      </c>
      <c r="N14" s="999"/>
      <c r="O14" s="999"/>
      <c r="P14" s="999"/>
      <c r="Q14" s="999"/>
      <c r="R14" s="999"/>
      <c r="S14" s="999"/>
      <c r="T14" s="1492"/>
    </row>
    <row r="15" spans="1:25" ht="33" customHeight="1">
      <c r="A15" s="997" t="s">
        <v>1475</v>
      </c>
      <c r="B15" s="1001" t="str">
        <f>Elec!I8</f>
        <v>No</v>
      </c>
      <c r="C15" s="1001" t="str">
        <f>Elec!I9</f>
        <v>No</v>
      </c>
      <c r="D15" s="1001" t="b" cm="1">
        <f t="array" ref="D15">HasBeenSigned("ElecReport","Tester")</f>
        <v>0</v>
      </c>
      <c r="E15" s="1009"/>
      <c r="F15" s="1001" t="b" cm="1">
        <f t="array" ref="F15">HasBeenSigned("ElecReport","Checker")</f>
        <v>0</v>
      </c>
      <c r="G15" s="1003"/>
      <c r="H15" s="1004"/>
      <c r="I15" s="1001" t="b" cm="1">
        <f t="array" ref="I15">HasBeenSigned("ElecReport","NATA signatory")</f>
        <v>0</v>
      </c>
      <c r="J15" s="1000" t="str">
        <f t="shared" ref="J15:J21" si="0">IF(AND(B15="Yes",C15="Yes",D15=TRUE,F15=TRUE,I15=TRUE),"Yes","No")</f>
        <v>No</v>
      </c>
      <c r="K15" s="41"/>
      <c r="L15" s="47"/>
      <c r="M15" s="1502" t="str">
        <f xml:space="preserve"> Client!B5 &amp;"-"&amp;TEXT(Client!B13,"dd") &amp;" " &amp;Client!B16 &amp; " sn " &amp;Client!B17</f>
        <v xml:space="preserve">CAL11957-01  sn </v>
      </c>
      <c r="N15" s="1502"/>
      <c r="O15" s="1502"/>
      <c r="P15" s="1502"/>
      <c r="Q15" s="1502"/>
      <c r="R15" s="1502"/>
      <c r="S15" s="1502"/>
      <c r="T15" s="997" t="s">
        <v>1475</v>
      </c>
    </row>
    <row r="16" spans="1:25" ht="33" customHeight="1">
      <c r="A16" s="997" t="s">
        <v>1476</v>
      </c>
      <c r="B16" s="1001" t="str">
        <f>Co!I11</f>
        <v>No</v>
      </c>
      <c r="C16" s="1001" t="str">
        <f>IF(D16=FALSE,"No","Yes")</f>
        <v>No</v>
      </c>
      <c r="D16" s="1001" t="b" cm="1">
        <f t="array" ref="D16">HasBeenSigned("CoReport","Tester")</f>
        <v>0</v>
      </c>
      <c r="E16" s="1010"/>
      <c r="F16" s="1001" t="b" cm="1">
        <f t="array" ref="F16">HasBeenSigned("CoReport","Checker")</f>
        <v>0</v>
      </c>
      <c r="G16" s="1005"/>
      <c r="H16" s="1006"/>
      <c r="I16" s="1001" t="b" cm="1">
        <f t="array" ref="I16">HasBeenSigned("CoReport","NATA signatory")</f>
        <v>0</v>
      </c>
      <c r="J16" s="1000" t="str">
        <f t="shared" si="0"/>
        <v>No</v>
      </c>
      <c r="K16" s="41"/>
      <c r="L16" s="47"/>
      <c r="M16" s="1490" t="str">
        <f xml:space="preserve"> Client!B5 &amp;"-"&amp;TEXT(Client!B38,"dd") &amp;" Co-60 " &amp;Client!B29 &amp; " sn " &amp;Client!B30</f>
        <v>CAL11957-00 Co-60 IBA FC65-G sn 457</v>
      </c>
      <c r="N16" s="1490"/>
      <c r="O16" s="1490"/>
      <c r="P16" s="1490"/>
      <c r="Q16" s="1490"/>
      <c r="R16" s="1490"/>
      <c r="S16" s="1490"/>
      <c r="T16" s="997" t="s">
        <v>1476</v>
      </c>
    </row>
    <row r="17" spans="1:25" ht="33" customHeight="1">
      <c r="A17" s="997" t="s">
        <v>1477</v>
      </c>
      <c r="B17" s="1001" t="str">
        <f>IF(MEX!C7&gt;1,"Yes","No")</f>
        <v>Yes</v>
      </c>
      <c r="C17" s="1001" t="str">
        <f>MEX!H5</f>
        <v>Yes</v>
      </c>
      <c r="D17" s="1001" t="b" cm="1">
        <f t="array" ref="D17">HasBeenSigned("MEXReport","Tester")</f>
        <v>0</v>
      </c>
      <c r="E17" s="1010"/>
      <c r="F17" s="1001" t="b" cm="1">
        <f t="array" ref="F17">HasBeenSigned("MEXReport","Checker")</f>
        <v>0</v>
      </c>
      <c r="G17" s="1005"/>
      <c r="H17" s="1006"/>
      <c r="I17" s="1001" t="b" cm="1">
        <f t="array" ref="I17">HasBeenSigned("MEXReport","NATA signatory")</f>
        <v>0</v>
      </c>
      <c r="J17" s="1000" t="str">
        <f t="shared" si="0"/>
        <v>No</v>
      </c>
      <c r="K17" s="41"/>
      <c r="L17" s="47"/>
      <c r="M17" s="1502" t="str">
        <f xml:space="preserve"> Client!B5 &amp;"-"&amp;TEXT(Client!B47,"dd") &amp;" MEX " &amp;Client!B29 &amp; " sn " &amp;Client!B30</f>
        <v>CAL11957-03 MEX IBA FC65-G sn 457</v>
      </c>
      <c r="N17" s="1502"/>
      <c r="O17" s="1502"/>
      <c r="P17" s="1502"/>
      <c r="Q17" s="1502"/>
      <c r="R17" s="1502"/>
      <c r="S17" s="1502"/>
      <c r="T17" s="997" t="s">
        <v>1477</v>
      </c>
    </row>
    <row r="18" spans="1:25" ht="33" customHeight="1">
      <c r="A18" s="997" t="s">
        <v>1478</v>
      </c>
      <c r="B18" s="1001" t="str">
        <f>IF(LEX!M5&gt;1,"Yes","No")</f>
        <v>No</v>
      </c>
      <c r="C18" s="1001" t="str">
        <f>LEX!G5</f>
        <v>No</v>
      </c>
      <c r="D18" s="1001" t="b" cm="1">
        <f t="array" ref="D18">HasBeenSigned("LEXReport","Tester")</f>
        <v>0</v>
      </c>
      <c r="E18" s="1010"/>
      <c r="F18" s="1001" t="b" cm="1">
        <f t="array" ref="F18">HasBeenSigned("LEXReport","Checker")</f>
        <v>0</v>
      </c>
      <c r="G18" s="1005"/>
      <c r="H18" s="1006"/>
      <c r="I18" s="1001" t="b" cm="1">
        <f t="array" ref="I18">HasBeenSigned("LEXReport","NATA signatory")</f>
        <v>0</v>
      </c>
      <c r="J18" s="1000" t="str">
        <f t="shared" si="0"/>
        <v>No</v>
      </c>
      <c r="K18" s="41"/>
      <c r="L18" s="47"/>
      <c r="M18" s="1490" t="str">
        <f xml:space="preserve"> Client!B5 &amp;"-"&amp;TEXT(Client!B67,"dd") &amp;" LEX " &amp;Client!B57 &amp; " sn " &amp;Client!B58</f>
        <v xml:space="preserve">CAL11957-00 LEX  sn </v>
      </c>
      <c r="N18" s="1490"/>
      <c r="O18" s="1490"/>
      <c r="P18" s="1490"/>
      <c r="Q18" s="1490"/>
      <c r="R18" s="1490"/>
      <c r="S18" s="1490"/>
      <c r="T18" s="997" t="s">
        <v>1478</v>
      </c>
    </row>
    <row r="19" spans="1:25" ht="33" customHeight="1">
      <c r="A19" s="997" t="s">
        <v>1479</v>
      </c>
      <c r="B19" s="1001" t="str">
        <f>IF('MV-P'!G18&gt;1,"Yes","No")</f>
        <v>No</v>
      </c>
      <c r="C19" s="1001" t="str">
        <f>'MV-P'!H8</f>
        <v>No</v>
      </c>
      <c r="D19" s="1001" t="b" cm="1">
        <f t="array" ref="D19">HasBeenSigned("MVP+CoReport","Tester")</f>
        <v>0</v>
      </c>
      <c r="E19" s="1010"/>
      <c r="F19" s="1001" t="b" cm="1">
        <f t="array" ref="F19">HasBeenSigned("MVP+CoReport","Checker")</f>
        <v>0</v>
      </c>
      <c r="G19" s="1005"/>
      <c r="H19" s="1006"/>
      <c r="I19" s="1001" t="b" cm="1">
        <f t="array" ref="I19">HasBeenSigned("MVP+CoReport","NATA signatory")</f>
        <v>0</v>
      </c>
      <c r="J19" s="1000" t="str">
        <f t="shared" si="0"/>
        <v>No</v>
      </c>
      <c r="K19" s="41"/>
      <c r="L19" s="47"/>
      <c r="M19" s="1490" t="str">
        <f xml:space="preserve"> Client!B5 &amp;"-"&amp;TEXT(Client!B89,"dd") &amp;" MVP " &amp;Client!B29 &amp; " sn " &amp;Client!B30</f>
        <v>CAL11957-02 MVP IBA FC65-G sn 457</v>
      </c>
      <c r="N19" s="1490"/>
      <c r="O19" s="1490"/>
      <c r="P19" s="1490"/>
      <c r="Q19" s="1490"/>
      <c r="R19" s="1490"/>
      <c r="S19" s="1490"/>
      <c r="T19" s="997" t="s">
        <v>1479</v>
      </c>
    </row>
    <row r="20" spans="1:25" ht="33" customHeight="1">
      <c r="A20" s="997" t="s">
        <v>1480</v>
      </c>
      <c r="B20" s="1001" t="str">
        <f>IF('MV-E'!E18&gt;1,"Yes","No")</f>
        <v>No</v>
      </c>
      <c r="C20" s="1001" t="str">
        <f>'MV-E'!C8</f>
        <v>No</v>
      </c>
      <c r="D20" s="1001" t="b" cm="1">
        <f t="array" ref="D20">HasBeenSigned("MVEreport","Tester")</f>
        <v>0</v>
      </c>
      <c r="E20" s="1010"/>
      <c r="F20" s="1001" t="b" cm="1">
        <f t="array" ref="F20">HasBeenSigned("MVEreport","Checker")</f>
        <v>0</v>
      </c>
      <c r="G20" s="1005"/>
      <c r="H20" s="1006"/>
      <c r="I20" s="1001" t="b" cm="1">
        <f t="array" ref="I20">HasBeenSigned("MVEreport","NATA signatory")</f>
        <v>0</v>
      </c>
      <c r="J20" s="1000" t="str">
        <f t="shared" si="0"/>
        <v>No</v>
      </c>
      <c r="K20" s="44"/>
      <c r="L20" s="43"/>
      <c r="M20" s="1490" t="str">
        <f xml:space="preserve"> Client!B5 &amp;"-"&amp;TEXT(Client!B99,"dd") &amp;" MVE " &amp;Client!B80 &amp; " sn " &amp;Client!B81</f>
        <v xml:space="preserve">CAL11957-00 MVE  sn </v>
      </c>
      <c r="N20" s="1490"/>
      <c r="O20" s="1490"/>
      <c r="P20" s="1490"/>
      <c r="Q20" s="1490"/>
      <c r="R20" s="1490"/>
      <c r="S20" s="1490"/>
      <c r="T20" s="997" t="s">
        <v>1480</v>
      </c>
    </row>
    <row r="21" spans="1:25" ht="33" customHeight="1">
      <c r="A21" s="997" t="s">
        <v>1499</v>
      </c>
      <c r="B21" s="1001" t="str">
        <f>Elec!Q9</f>
        <v>No</v>
      </c>
      <c r="C21" s="1001" t="str">
        <f>Elec!I9</f>
        <v>No</v>
      </c>
      <c r="D21" s="1001" t="b" cm="1">
        <f t="array" ref="D21">HasBeenSigned("ElecRep2Ch","Tester")</f>
        <v>0</v>
      </c>
      <c r="E21" s="1010"/>
      <c r="F21" s="1001" t="b" cm="1">
        <f t="array" ref="F21">HasBeenSigned("ElecRep2Ch","Checker")</f>
        <v>0</v>
      </c>
      <c r="G21" s="1007"/>
      <c r="H21" s="1008"/>
      <c r="I21" s="1001" t="b" cm="1">
        <f t="array" ref="I21">HasBeenSigned("ElecRep2Ch","NATA signatory")</f>
        <v>0</v>
      </c>
      <c r="J21" s="1000" t="str">
        <f t="shared" si="0"/>
        <v>No</v>
      </c>
      <c r="K21" s="380"/>
      <c r="L21" s="132"/>
      <c r="M21" s="1490" t="str">
        <f xml:space="preserve"> Client!B5 &amp;"-"&amp;TEXT(Client!B13,"dd") &amp;" 2CH " &amp;Client!B16 &amp; " sn " &amp;Client!B17</f>
        <v xml:space="preserve">CAL11957-01 2CH  sn </v>
      </c>
      <c r="N21" s="1490"/>
      <c r="O21" s="1490"/>
      <c r="P21" s="1490"/>
      <c r="Q21" s="1490"/>
      <c r="R21" s="1490"/>
      <c r="S21" s="1490"/>
      <c r="T21" s="997" t="s">
        <v>1498</v>
      </c>
      <c r="U21" s="56"/>
      <c r="V21" s="56"/>
      <c r="W21" s="56"/>
      <c r="X21" s="56"/>
      <c r="Y21" s="56"/>
    </row>
    <row r="22" spans="1:25">
      <c r="T22" s="56"/>
      <c r="U22" s="56"/>
      <c r="V22" s="56"/>
      <c r="W22" s="56"/>
      <c r="X22" s="56"/>
      <c r="Y22" s="56"/>
    </row>
    <row r="23" spans="1:25">
      <c r="T23" s="907"/>
      <c r="U23" s="56"/>
      <c r="V23" s="56"/>
      <c r="W23" s="56"/>
      <c r="X23" s="56"/>
      <c r="Y23" s="56"/>
    </row>
  </sheetData>
  <sheetProtection sheet="1" objects="1" scenarios="1"/>
  <mergeCells count="26">
    <mergeCell ref="B9:Q9"/>
    <mergeCell ref="A13:A14"/>
    <mergeCell ref="B13:B14"/>
    <mergeCell ref="C13:C14"/>
    <mergeCell ref="D13:D14"/>
    <mergeCell ref="F13:F14"/>
    <mergeCell ref="E13:E14"/>
    <mergeCell ref="G12:H12"/>
    <mergeCell ref="K12:L12"/>
    <mergeCell ref="B10:Q10"/>
    <mergeCell ref="M21:S21"/>
    <mergeCell ref="T13:T14"/>
    <mergeCell ref="M20:S20"/>
    <mergeCell ref="B6:Q6"/>
    <mergeCell ref="B7:M7"/>
    <mergeCell ref="B8:Q8"/>
    <mergeCell ref="J13:J14"/>
    <mergeCell ref="M13:S13"/>
    <mergeCell ref="M15:S15"/>
    <mergeCell ref="M16:S16"/>
    <mergeCell ref="M17:S17"/>
    <mergeCell ref="M18:S18"/>
    <mergeCell ref="M19:S19"/>
    <mergeCell ref="K13:L14"/>
    <mergeCell ref="I13:I14"/>
    <mergeCell ref="G13:H14"/>
  </mergeCells>
  <conditionalFormatting sqref="B15:B20">
    <cfRule type="expression" dxfId="17" priority="10">
      <formula>B15="Yes"</formula>
    </cfRule>
  </conditionalFormatting>
  <conditionalFormatting sqref="C15:C20">
    <cfRule type="expression" dxfId="16" priority="9">
      <formula>C15="Yes"</formula>
    </cfRule>
  </conditionalFormatting>
  <conditionalFormatting sqref="D15:D20 F15:I20">
    <cfRule type="expression" dxfId="15" priority="8">
      <formula>D15=TRUE</formula>
    </cfRule>
  </conditionalFormatting>
  <conditionalFormatting sqref="J15:J20">
    <cfRule type="expression" dxfId="14" priority="7">
      <formula>J15="Yes"</formula>
    </cfRule>
  </conditionalFormatting>
  <conditionalFormatting sqref="B21">
    <cfRule type="expression" dxfId="13" priority="6">
      <formula>B21="Yes"</formula>
    </cfRule>
  </conditionalFormatting>
  <conditionalFormatting sqref="C21">
    <cfRule type="expression" dxfId="12" priority="5">
      <formula>C21="Yes"</formula>
    </cfRule>
  </conditionalFormatting>
  <conditionalFormatting sqref="D21 F21">
    <cfRule type="expression" dxfId="11" priority="4">
      <formula>D21=TRUE</formula>
    </cfRule>
  </conditionalFormatting>
  <conditionalFormatting sqref="H21:I21">
    <cfRule type="expression" dxfId="10" priority="3">
      <formula>H21=TRUE</formula>
    </cfRule>
  </conditionalFormatting>
  <conditionalFormatting sqref="J21">
    <cfRule type="expression" dxfId="9" priority="2">
      <formula>J21="Yes"</formula>
    </cfRule>
  </conditionalFormatting>
  <conditionalFormatting sqref="G21">
    <cfRule type="expression" dxfId="8" priority="1">
      <formula>G21=TRUE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448193" r:id="rId4" name="Button 1">
              <controlPr defaultSize="0" print="0" autoFill="0" autoPict="0" macro="[0]!DCC_Button1_Click">
                <anchor moveWithCells="1" sizeWithCells="1">
                  <from>
                    <xdr:col>10</xdr:col>
                    <xdr:colOff>38100</xdr:colOff>
                    <xdr:row>14</xdr:row>
                    <xdr:rowOff>19050</xdr:rowOff>
                  </from>
                  <to>
                    <xdr:col>11</xdr:col>
                    <xdr:colOff>571500</xdr:colOff>
                    <xdr:row>14</xdr:row>
                    <xdr:rowOff>400050</xdr:rowOff>
                  </to>
                </anchor>
              </controlPr>
            </control>
          </mc:Choice>
        </mc:AlternateContent>
        <mc:AlternateContent xmlns:mc="http://schemas.openxmlformats.org/markup-compatibility/2006">
          <mc:Choice Requires="x14">
            <control shapeId="13448195" r:id="rId5" name="Button 3">
              <controlPr defaultSize="0" print="0" autoFill="0" autoPict="0" macro="[0]!DCC_Button3_Click">
                <anchor moveWithCells="1" sizeWithCells="1">
                  <from>
                    <xdr:col>10</xdr:col>
                    <xdr:colOff>38100</xdr:colOff>
                    <xdr:row>16</xdr:row>
                    <xdr:rowOff>38100</xdr:rowOff>
                  </from>
                  <to>
                    <xdr:col>11</xdr:col>
                    <xdr:colOff>581025</xdr:colOff>
                    <xdr:row>17</xdr:row>
                    <xdr:rowOff>0</xdr:rowOff>
                  </to>
                </anchor>
              </controlPr>
            </control>
          </mc:Choice>
        </mc:AlternateContent>
        <mc:AlternateContent xmlns:mc="http://schemas.openxmlformats.org/markup-compatibility/2006">
          <mc:Choice Requires="x14">
            <control shapeId="13448196" r:id="rId6" name="Button 4">
              <controlPr defaultSize="0" print="0" autoFill="0" autoPict="0" macro="[0]!DCC_Button4_Click">
                <anchor moveWithCells="1" sizeWithCells="1">
                  <from>
                    <xdr:col>10</xdr:col>
                    <xdr:colOff>38100</xdr:colOff>
                    <xdr:row>17</xdr:row>
                    <xdr:rowOff>47625</xdr:rowOff>
                  </from>
                  <to>
                    <xdr:col>11</xdr:col>
                    <xdr:colOff>581025</xdr:colOff>
                    <xdr:row>18</xdr:row>
                    <xdr:rowOff>0</xdr:rowOff>
                  </to>
                </anchor>
              </controlPr>
            </control>
          </mc:Choice>
        </mc:AlternateContent>
        <mc:AlternateContent xmlns:mc="http://schemas.openxmlformats.org/markup-compatibility/2006">
          <mc:Choice Requires="x14">
            <control shapeId="13448197" r:id="rId7" name="Button 5">
              <controlPr defaultSize="0" print="0" autoFill="0" autoPict="0" macro="[0]!DCC_Button9_Click">
                <anchor moveWithCells="1" sizeWithCells="1">
                  <from>
                    <xdr:col>10</xdr:col>
                    <xdr:colOff>38100</xdr:colOff>
                    <xdr:row>18</xdr:row>
                    <xdr:rowOff>47625</xdr:rowOff>
                  </from>
                  <to>
                    <xdr:col>11</xdr:col>
                    <xdr:colOff>581025</xdr:colOff>
                    <xdr:row>18</xdr:row>
                    <xdr:rowOff>409575</xdr:rowOff>
                  </to>
                </anchor>
              </controlPr>
            </control>
          </mc:Choice>
        </mc:AlternateContent>
        <mc:AlternateContent xmlns:mc="http://schemas.openxmlformats.org/markup-compatibility/2006">
          <mc:Choice Requires="x14">
            <control shapeId="13448198" r:id="rId8" name="Button 6">
              <controlPr defaultSize="0" print="0" autoFill="0" autoPict="0" macro="[0]!DCC_Button10_Click">
                <anchor moveWithCells="1" sizeWithCells="1">
                  <from>
                    <xdr:col>10</xdr:col>
                    <xdr:colOff>38100</xdr:colOff>
                    <xdr:row>19</xdr:row>
                    <xdr:rowOff>28575</xdr:rowOff>
                  </from>
                  <to>
                    <xdr:col>11</xdr:col>
                    <xdr:colOff>581025</xdr:colOff>
                    <xdr:row>19</xdr:row>
                    <xdr:rowOff>400050</xdr:rowOff>
                  </to>
                </anchor>
              </controlPr>
            </control>
          </mc:Choice>
        </mc:AlternateContent>
        <mc:AlternateContent xmlns:mc="http://schemas.openxmlformats.org/markup-compatibility/2006">
          <mc:Choice Requires="x14">
            <control shapeId="13448199" r:id="rId9" name="Button 7">
              <controlPr defaultSize="0" print="0" autoFill="0" autoPict="0" macro="[0]!DCC_Button11_Click">
                <anchor moveWithCells="1" sizeWithCells="1">
                  <from>
                    <xdr:col>10</xdr:col>
                    <xdr:colOff>38100</xdr:colOff>
                    <xdr:row>15</xdr:row>
                    <xdr:rowOff>28575</xdr:rowOff>
                  </from>
                  <to>
                    <xdr:col>11</xdr:col>
                    <xdr:colOff>581025</xdr:colOff>
                    <xdr:row>15</xdr:row>
                    <xdr:rowOff>419100</xdr:rowOff>
                  </to>
                </anchor>
              </controlPr>
            </control>
          </mc:Choice>
        </mc:AlternateContent>
        <mc:AlternateContent xmlns:mc="http://schemas.openxmlformats.org/markup-compatibility/2006">
          <mc:Choice Requires="x14">
            <control shapeId="13448200" r:id="rId10" name="Button 8">
              <controlPr defaultSize="0" print="0" autoFill="0" autoPict="0" macro="[0]!DCC_Button12_Click">
                <anchor moveWithCells="1" sizeWithCells="1">
                  <from>
                    <xdr:col>6</xdr:col>
                    <xdr:colOff>19050</xdr:colOff>
                    <xdr:row>14</xdr:row>
                    <xdr:rowOff>19050</xdr:rowOff>
                  </from>
                  <to>
                    <xdr:col>7</xdr:col>
                    <xdr:colOff>609600</xdr:colOff>
                    <xdr:row>14</xdr:row>
                    <xdr:rowOff>400050</xdr:rowOff>
                  </to>
                </anchor>
              </controlPr>
            </control>
          </mc:Choice>
        </mc:AlternateContent>
        <mc:AlternateContent xmlns:mc="http://schemas.openxmlformats.org/markup-compatibility/2006">
          <mc:Choice Requires="x14">
            <control shapeId="13448201" r:id="rId11" name="Button 9">
              <controlPr defaultSize="0" print="0" autoFill="0" autoPict="0" macro="[0]!DCC_Button13_Click">
                <anchor moveWithCells="1" sizeWithCells="1">
                  <from>
                    <xdr:col>6</xdr:col>
                    <xdr:colOff>19050</xdr:colOff>
                    <xdr:row>15</xdr:row>
                    <xdr:rowOff>19050</xdr:rowOff>
                  </from>
                  <to>
                    <xdr:col>7</xdr:col>
                    <xdr:colOff>609600</xdr:colOff>
                    <xdr:row>15</xdr:row>
                    <xdr:rowOff>400050</xdr:rowOff>
                  </to>
                </anchor>
              </controlPr>
            </control>
          </mc:Choice>
        </mc:AlternateContent>
        <mc:AlternateContent xmlns:mc="http://schemas.openxmlformats.org/markup-compatibility/2006">
          <mc:Choice Requires="x14">
            <control shapeId="13448202" r:id="rId12" name="Button 10">
              <controlPr defaultSize="0" print="0" autoFill="0" autoPict="0" macro="[0]!DCC_Button14_Click">
                <anchor moveWithCells="1" sizeWithCells="1">
                  <from>
                    <xdr:col>6</xdr:col>
                    <xdr:colOff>19050</xdr:colOff>
                    <xdr:row>16</xdr:row>
                    <xdr:rowOff>19050</xdr:rowOff>
                  </from>
                  <to>
                    <xdr:col>7</xdr:col>
                    <xdr:colOff>609600</xdr:colOff>
                    <xdr:row>16</xdr:row>
                    <xdr:rowOff>400050</xdr:rowOff>
                  </to>
                </anchor>
              </controlPr>
            </control>
          </mc:Choice>
        </mc:AlternateContent>
        <mc:AlternateContent xmlns:mc="http://schemas.openxmlformats.org/markup-compatibility/2006">
          <mc:Choice Requires="x14">
            <control shapeId="13448203" r:id="rId13" name="Button 11">
              <controlPr defaultSize="0" print="0" autoFill="0" autoPict="0" macro="[0]!DCC_Button15_Click">
                <anchor moveWithCells="1" sizeWithCells="1">
                  <from>
                    <xdr:col>6</xdr:col>
                    <xdr:colOff>19050</xdr:colOff>
                    <xdr:row>17</xdr:row>
                    <xdr:rowOff>19050</xdr:rowOff>
                  </from>
                  <to>
                    <xdr:col>7</xdr:col>
                    <xdr:colOff>609600</xdr:colOff>
                    <xdr:row>17</xdr:row>
                    <xdr:rowOff>400050</xdr:rowOff>
                  </to>
                </anchor>
              </controlPr>
            </control>
          </mc:Choice>
        </mc:AlternateContent>
        <mc:AlternateContent xmlns:mc="http://schemas.openxmlformats.org/markup-compatibility/2006">
          <mc:Choice Requires="x14">
            <control shapeId="13448204" r:id="rId14" name="Button 12">
              <controlPr defaultSize="0" print="0" autoFill="0" autoPict="0" macro="[0]!DCC_Button16_Click">
                <anchor moveWithCells="1" sizeWithCells="1">
                  <from>
                    <xdr:col>6</xdr:col>
                    <xdr:colOff>19050</xdr:colOff>
                    <xdr:row>18</xdr:row>
                    <xdr:rowOff>19050</xdr:rowOff>
                  </from>
                  <to>
                    <xdr:col>7</xdr:col>
                    <xdr:colOff>609600</xdr:colOff>
                    <xdr:row>18</xdr:row>
                    <xdr:rowOff>400050</xdr:rowOff>
                  </to>
                </anchor>
              </controlPr>
            </control>
          </mc:Choice>
        </mc:AlternateContent>
        <mc:AlternateContent xmlns:mc="http://schemas.openxmlformats.org/markup-compatibility/2006">
          <mc:Choice Requires="x14">
            <control shapeId="13448208" r:id="rId15" name="Button 16">
              <controlPr defaultSize="0" print="0" autoFill="0" autoPict="0" macro="[0]!DCC_Button19_Click">
                <anchor moveWithCells="1" sizeWithCells="1">
                  <from>
                    <xdr:col>10</xdr:col>
                    <xdr:colOff>38100</xdr:colOff>
                    <xdr:row>20</xdr:row>
                    <xdr:rowOff>28575</xdr:rowOff>
                  </from>
                  <to>
                    <xdr:col>11</xdr:col>
                    <xdr:colOff>581025</xdr:colOff>
                    <xdr:row>20</xdr:row>
                    <xdr:rowOff>400050</xdr:rowOff>
                  </to>
                </anchor>
              </controlPr>
            </control>
          </mc:Choice>
        </mc:AlternateContent>
        <mc:AlternateContent xmlns:mc="http://schemas.openxmlformats.org/markup-compatibility/2006">
          <mc:Choice Requires="x14">
            <control shapeId="13448205" r:id="rId16" name="Button 13">
              <controlPr defaultSize="0" print="0" autoFill="0" autoPict="0" macro="[0]!DCC_Button17_Click">
                <anchor moveWithCells="1" sizeWithCells="1">
                  <from>
                    <xdr:col>6</xdr:col>
                    <xdr:colOff>19050</xdr:colOff>
                    <xdr:row>19</xdr:row>
                    <xdr:rowOff>19050</xdr:rowOff>
                  </from>
                  <to>
                    <xdr:col>7</xdr:col>
                    <xdr:colOff>609600</xdr:colOff>
                    <xdr:row>19</xdr:row>
                    <xdr:rowOff>400050</xdr:rowOff>
                  </to>
                </anchor>
              </controlPr>
            </control>
          </mc:Choice>
        </mc:AlternateContent>
        <mc:AlternateContent xmlns:mc="http://schemas.openxmlformats.org/markup-compatibility/2006">
          <mc:Choice Requires="x14">
            <control shapeId="13448211" r:id="rId17" name="Button 19">
              <controlPr defaultSize="0" print="0" autoFill="0" autoPict="0" macro="[0]!DCC_Button18_Click">
                <anchor moveWithCells="1" sizeWithCells="1">
                  <from>
                    <xdr:col>6</xdr:col>
                    <xdr:colOff>19050</xdr:colOff>
                    <xdr:row>20</xdr:row>
                    <xdr:rowOff>19050</xdr:rowOff>
                  </from>
                  <to>
                    <xdr:col>7</xdr:col>
                    <xdr:colOff>609600</xdr:colOff>
                    <xdr:row>20</xdr:row>
                    <xdr:rowOff>400050</xdr:rowOff>
                  </to>
                </anchor>
              </controlPr>
            </control>
          </mc:Choice>
        </mc:AlternateContent>
        <mc:AlternateContent xmlns:mc="http://schemas.openxmlformats.org/markup-compatibility/2006">
          <mc:Choice Requires="x14">
            <control shapeId="13448212" r:id="rId18" name="Button 20">
              <controlPr defaultSize="0" print="0" autoFill="0" autoPict="0" macro="[0]!Button20_Click">
                <anchor moveWithCells="1" sizeWithCells="1">
                  <from>
                    <xdr:col>4</xdr:col>
                    <xdr:colOff>9525</xdr:colOff>
                    <xdr:row>14</xdr:row>
                    <xdr:rowOff>19050</xdr:rowOff>
                  </from>
                  <to>
                    <xdr:col>4</xdr:col>
                    <xdr:colOff>590550</xdr:colOff>
                    <xdr:row>14</xdr:row>
                    <xdr:rowOff>400050</xdr:rowOff>
                  </to>
                </anchor>
              </controlPr>
            </control>
          </mc:Choice>
        </mc:AlternateContent>
        <mc:AlternateContent xmlns:mc="http://schemas.openxmlformats.org/markup-compatibility/2006">
          <mc:Choice Requires="x14">
            <control shapeId="13448213" r:id="rId19" name="Button 21">
              <controlPr defaultSize="0" print="0" autoFill="0" autoPict="0" macro="[0]!Button21_Click">
                <anchor moveWithCells="1" sizeWithCells="1">
                  <from>
                    <xdr:col>4</xdr:col>
                    <xdr:colOff>9525</xdr:colOff>
                    <xdr:row>15</xdr:row>
                    <xdr:rowOff>19050</xdr:rowOff>
                  </from>
                  <to>
                    <xdr:col>4</xdr:col>
                    <xdr:colOff>590550</xdr:colOff>
                    <xdr:row>15</xdr:row>
                    <xdr:rowOff>400050</xdr:rowOff>
                  </to>
                </anchor>
              </controlPr>
            </control>
          </mc:Choice>
        </mc:AlternateContent>
        <mc:AlternateContent xmlns:mc="http://schemas.openxmlformats.org/markup-compatibility/2006">
          <mc:Choice Requires="x14">
            <control shapeId="13448214" r:id="rId20" name="Button 22">
              <controlPr defaultSize="0" print="0" autoFill="0" autoPict="0" macro="[0]!Button22_Click">
                <anchor moveWithCells="1" sizeWithCells="1">
                  <from>
                    <xdr:col>4</xdr:col>
                    <xdr:colOff>9525</xdr:colOff>
                    <xdr:row>16</xdr:row>
                    <xdr:rowOff>19050</xdr:rowOff>
                  </from>
                  <to>
                    <xdr:col>4</xdr:col>
                    <xdr:colOff>590550</xdr:colOff>
                    <xdr:row>16</xdr:row>
                    <xdr:rowOff>400050</xdr:rowOff>
                  </to>
                </anchor>
              </controlPr>
            </control>
          </mc:Choice>
        </mc:AlternateContent>
        <mc:AlternateContent xmlns:mc="http://schemas.openxmlformats.org/markup-compatibility/2006">
          <mc:Choice Requires="x14">
            <control shapeId="13448215" r:id="rId21" name="Button 23">
              <controlPr defaultSize="0" print="0" autoFill="0" autoPict="0" macro="[0]!Button23_Click">
                <anchor moveWithCells="1" sizeWithCells="1">
                  <from>
                    <xdr:col>4</xdr:col>
                    <xdr:colOff>9525</xdr:colOff>
                    <xdr:row>17</xdr:row>
                    <xdr:rowOff>19050</xdr:rowOff>
                  </from>
                  <to>
                    <xdr:col>4</xdr:col>
                    <xdr:colOff>590550</xdr:colOff>
                    <xdr:row>17</xdr:row>
                    <xdr:rowOff>400050</xdr:rowOff>
                  </to>
                </anchor>
              </controlPr>
            </control>
          </mc:Choice>
        </mc:AlternateContent>
        <mc:AlternateContent xmlns:mc="http://schemas.openxmlformats.org/markup-compatibility/2006">
          <mc:Choice Requires="x14">
            <control shapeId="13448216" r:id="rId22" name="Button 24">
              <controlPr defaultSize="0" print="0" autoFill="0" autoPict="0" macro="[0]!Button24_Click">
                <anchor moveWithCells="1" sizeWithCells="1">
                  <from>
                    <xdr:col>4</xdr:col>
                    <xdr:colOff>9525</xdr:colOff>
                    <xdr:row>18</xdr:row>
                    <xdr:rowOff>19050</xdr:rowOff>
                  </from>
                  <to>
                    <xdr:col>4</xdr:col>
                    <xdr:colOff>590550</xdr:colOff>
                    <xdr:row>18</xdr:row>
                    <xdr:rowOff>400050</xdr:rowOff>
                  </to>
                </anchor>
              </controlPr>
            </control>
          </mc:Choice>
        </mc:AlternateContent>
        <mc:AlternateContent xmlns:mc="http://schemas.openxmlformats.org/markup-compatibility/2006">
          <mc:Choice Requires="x14">
            <control shapeId="13448217" r:id="rId23" name="Button 25">
              <controlPr defaultSize="0" print="0" autoFill="0" autoPict="0" macro="[0]!Button25_Click">
                <anchor moveWithCells="1" sizeWithCells="1">
                  <from>
                    <xdr:col>4</xdr:col>
                    <xdr:colOff>9525</xdr:colOff>
                    <xdr:row>19</xdr:row>
                    <xdr:rowOff>19050</xdr:rowOff>
                  </from>
                  <to>
                    <xdr:col>4</xdr:col>
                    <xdr:colOff>590550</xdr:colOff>
                    <xdr:row>19</xdr:row>
                    <xdr:rowOff>400050</xdr:rowOff>
                  </to>
                </anchor>
              </controlPr>
            </control>
          </mc:Choice>
        </mc:AlternateContent>
        <mc:AlternateContent xmlns:mc="http://schemas.openxmlformats.org/markup-compatibility/2006">
          <mc:Choice Requires="x14">
            <control shapeId="13448218" r:id="rId24" name="Button 26">
              <controlPr defaultSize="0" print="0" autoFill="0" autoPict="0" macro="[0]!Button26_Click">
                <anchor moveWithCells="1" sizeWithCells="1">
                  <from>
                    <xdr:col>4</xdr:col>
                    <xdr:colOff>9525</xdr:colOff>
                    <xdr:row>20</xdr:row>
                    <xdr:rowOff>19050</xdr:rowOff>
                  </from>
                  <to>
                    <xdr:col>4</xdr:col>
                    <xdr:colOff>590550</xdr:colOff>
                    <xdr:row>20</xdr:row>
                    <xdr:rowOff>400050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8">
    <pageSetUpPr fitToPage="1"/>
  </sheetPr>
  <dimension ref="A1:P88"/>
  <sheetViews>
    <sheetView zoomScaleNormal="100" workbookViewId="0">
      <selection activeCell="J86" sqref="J86"/>
    </sheetView>
  </sheetViews>
  <sheetFormatPr defaultColWidth="9.140625" defaultRowHeight="12.75"/>
  <cols>
    <col min="1" max="1" width="12.140625" style="58" customWidth="1"/>
    <col min="2" max="2" width="28.42578125" style="56" customWidth="1"/>
    <col min="3" max="3" width="12.7109375" style="56" customWidth="1"/>
    <col min="4" max="4" width="47.42578125" style="56" customWidth="1"/>
    <col min="5" max="16384" width="9.140625" style="56"/>
  </cols>
  <sheetData>
    <row r="1" spans="1:13" ht="15.75">
      <c r="A1" s="55" t="s">
        <v>184</v>
      </c>
      <c r="G1" s="57" t="str">
        <f>"    "&amp;Intro!D4</f>
        <v xml:space="preserve">    IRC-FORM-2100J (ARPANSA-FORM-1856)</v>
      </c>
    </row>
    <row r="2" spans="1:13">
      <c r="G2" s="59" t="str">
        <f>"    "&amp;Intro!D5</f>
        <v xml:space="preserve">    23-Production</v>
      </c>
      <c r="M2" s="60"/>
    </row>
    <row r="3" spans="1:13">
      <c r="A3" s="58" t="s">
        <v>2</v>
      </c>
      <c r="B3" s="212" t="str">
        <f>Client!B6</f>
        <v>De-identified for distribution</v>
      </c>
      <c r="C3" s="61"/>
      <c r="D3" s="61"/>
      <c r="E3" s="62"/>
      <c r="G3" s="59" t="str">
        <f>"    "&amp;Intro!B10</f>
        <v xml:space="preserve">    Validated: Note yet</v>
      </c>
      <c r="L3" s="60"/>
      <c r="M3" s="53"/>
    </row>
    <row r="4" spans="1:13">
      <c r="A4" s="58" t="s">
        <v>182</v>
      </c>
      <c r="B4" s="213" t="str">
        <f>Client!B6</f>
        <v>De-identified for distribution</v>
      </c>
    </row>
    <row r="5" spans="1:13" ht="15" customHeight="1"/>
    <row r="6" spans="1:13" ht="15" customHeight="1">
      <c r="E6" s="60" t="s">
        <v>183</v>
      </c>
    </row>
    <row r="7" spans="1:13" ht="15" customHeight="1">
      <c r="A7" s="58" t="s">
        <v>210</v>
      </c>
      <c r="B7" s="63" t="str">
        <f>Co!B6</f>
        <v>IBA FC65-G</v>
      </c>
      <c r="C7" s="63" t="str">
        <f>Co!B7</f>
        <v>457</v>
      </c>
      <c r="D7" s="64" t="s">
        <v>185</v>
      </c>
      <c r="E7" s="54"/>
    </row>
    <row r="8" spans="1:13" ht="15" customHeight="1">
      <c r="A8" s="58" t="s">
        <v>211</v>
      </c>
      <c r="B8" s="211">
        <f>Client!B57</f>
        <v>0</v>
      </c>
      <c r="C8" s="211">
        <f>Client!B58</f>
        <v>0</v>
      </c>
      <c r="D8" s="64" t="s">
        <v>185</v>
      </c>
      <c r="E8" s="54"/>
    </row>
    <row r="9" spans="1:13" ht="15" customHeight="1">
      <c r="D9" s="65"/>
    </row>
    <row r="10" spans="1:13" ht="15" customHeight="1">
      <c r="A10" s="58" t="s">
        <v>1005</v>
      </c>
      <c r="B10" s="65" t="s">
        <v>42</v>
      </c>
      <c r="C10" s="66" t="str">
        <f>IF(ISBLANK(Co!D17),"",(Co!D17/(Co!N22*Co!N34)))</f>
        <v/>
      </c>
      <c r="D10" s="64" t="s">
        <v>185</v>
      </c>
      <c r="E10" s="54"/>
    </row>
    <row r="11" spans="1:13" ht="15" customHeight="1">
      <c r="B11" s="65" t="s">
        <v>186</v>
      </c>
      <c r="C11" s="67">
        <f>Co!B41</f>
        <v>53.809485665657085</v>
      </c>
      <c r="D11" s="64" t="s">
        <v>187</v>
      </c>
    </row>
    <row r="12" spans="1:13" ht="15" customHeight="1">
      <c r="B12" s="65" t="s">
        <v>189</v>
      </c>
      <c r="C12" s="67">
        <f>Co!G42</f>
        <v>1.0079526828753211</v>
      </c>
      <c r="D12" s="64"/>
    </row>
    <row r="13" spans="1:13" ht="15" customHeight="1">
      <c r="B13" s="65" t="s">
        <v>188</v>
      </c>
      <c r="C13" s="66" t="str">
        <f>IF(ISERR((C11-C10)/C11*100),"",(C11-C10)/C11*100)</f>
        <v/>
      </c>
      <c r="D13" s="68" t="s">
        <v>190</v>
      </c>
      <c r="E13" s="54"/>
    </row>
    <row r="14" spans="1:13" ht="15" customHeight="1">
      <c r="D14" s="65"/>
      <c r="K14" s="69"/>
    </row>
    <row r="15" spans="1:13" ht="15" customHeight="1">
      <c r="A15" s="58" t="s">
        <v>1006</v>
      </c>
      <c r="B15" s="65" t="s">
        <v>43</v>
      </c>
      <c r="C15" s="66" t="str">
        <f>IF(ISBLANK(Co!D18),"",Co!D18)</f>
        <v/>
      </c>
      <c r="D15" s="64" t="s">
        <v>185</v>
      </c>
      <c r="E15" s="54"/>
      <c r="K15" s="69"/>
    </row>
    <row r="16" spans="1:13" ht="15" customHeight="1">
      <c r="B16" s="65" t="s">
        <v>186</v>
      </c>
      <c r="C16" s="67">
        <f>Co!B38</f>
        <v>49.540733310992287</v>
      </c>
      <c r="D16" s="64" t="s">
        <v>187</v>
      </c>
      <c r="K16" s="69"/>
    </row>
    <row r="17" spans="1:5" ht="15" customHeight="1">
      <c r="B17" s="65" t="s">
        <v>189</v>
      </c>
      <c r="C17" s="67">
        <f>Co!G39</f>
        <v>1.0599035163387016</v>
      </c>
      <c r="D17" s="64"/>
    </row>
    <row r="18" spans="1:5" ht="15" customHeight="1">
      <c r="B18" s="65" t="s">
        <v>188</v>
      </c>
      <c r="C18" s="66" t="str">
        <f>IF(ISERR((C16-C15)/C16*100),"",(C16-C15)/C16*100)</f>
        <v/>
      </c>
      <c r="D18" s="68" t="s">
        <v>190</v>
      </c>
      <c r="E18" s="54"/>
    </row>
    <row r="19" spans="1:5" ht="15" customHeight="1">
      <c r="D19" s="65"/>
    </row>
    <row r="20" spans="1:5" ht="15" customHeight="1">
      <c r="A20" s="58" t="s">
        <v>107</v>
      </c>
      <c r="B20" s="211">
        <f>Client!B16</f>
        <v>0</v>
      </c>
      <c r="C20" s="211">
        <f>Client!B17</f>
        <v>0</v>
      </c>
      <c r="D20" s="64" t="s">
        <v>1074</v>
      </c>
      <c r="E20" s="54"/>
    </row>
    <row r="21" spans="1:5" ht="15" customHeight="1">
      <c r="D21" s="65"/>
    </row>
    <row r="22" spans="1:5" ht="15" customHeight="1">
      <c r="B22" s="65" t="s">
        <v>191</v>
      </c>
      <c r="C22" s="67" t="str">
        <f>Combined!C20</f>
        <v/>
      </c>
      <c r="D22" s="65" t="str">
        <f>Combined!F15</f>
        <v>mGy per nominal 0</v>
      </c>
    </row>
    <row r="23" spans="1:5" ht="15" customHeight="1">
      <c r="B23" s="65" t="s">
        <v>192</v>
      </c>
      <c r="C23" s="67">
        <f>Combined!E15</f>
        <v>0</v>
      </c>
      <c r="D23" s="65" t="str">
        <f>Combined!D20</f>
        <v>mGy per nominal 0</v>
      </c>
    </row>
    <row r="24" spans="1:5" ht="15" customHeight="1">
      <c r="B24" s="65" t="s">
        <v>188</v>
      </c>
      <c r="C24" s="66" t="e">
        <f>Combined!B24</f>
        <v>#VALUE!</v>
      </c>
      <c r="D24" s="64" t="s">
        <v>195</v>
      </c>
      <c r="E24" s="54"/>
    </row>
    <row r="25" spans="1:5" ht="15" customHeight="1">
      <c r="B25" s="68" t="s">
        <v>194</v>
      </c>
      <c r="C25" s="67">
        <f>Combined!C32</f>
        <v>0</v>
      </c>
      <c r="D25" s="65" t="str">
        <f>Combined!D32</f>
        <v>mGy per nominal 0</v>
      </c>
    </row>
    <row r="26" spans="1:5" ht="15" customHeight="1">
      <c r="B26" s="65" t="s">
        <v>188</v>
      </c>
      <c r="C26" s="66" t="e">
        <f>Combined!C34</f>
        <v>#DIV/0!</v>
      </c>
      <c r="D26" s="64" t="s">
        <v>195</v>
      </c>
      <c r="E26" s="54"/>
    </row>
    <row r="27" spans="1:5" ht="15" customHeight="1">
      <c r="D27" s="65"/>
    </row>
    <row r="28" spans="1:5" ht="15" customHeight="1">
      <c r="A28" s="58" t="s">
        <v>1007</v>
      </c>
      <c r="B28" s="64" t="s">
        <v>1015</v>
      </c>
      <c r="C28" s="66" t="str">
        <f>IF(ISBLANK('MV-P'!C14),"",'MV-P'!C14)</f>
        <v/>
      </c>
      <c r="D28" s="64" t="s">
        <v>1010</v>
      </c>
      <c r="E28" s="54"/>
    </row>
    <row r="29" spans="1:5" ht="15" customHeight="1">
      <c r="B29" s="64" t="s">
        <v>1011</v>
      </c>
      <c r="C29" s="729" t="str">
        <f>IF(ISBLANK('MV-P'!C22),"",'MV-P'!C22)</f>
        <v/>
      </c>
      <c r="D29" s="64" t="s">
        <v>1010</v>
      </c>
      <c r="E29" s="54"/>
    </row>
    <row r="30" spans="1:5" ht="15" customHeight="1">
      <c r="B30" s="64" t="s">
        <v>1012</v>
      </c>
      <c r="C30" s="729" t="str">
        <f>IF(ISBLANK('MV-P'!D22),"",'MV-P'!D22)</f>
        <v/>
      </c>
      <c r="D30" s="64" t="s">
        <v>1010</v>
      </c>
      <c r="E30" s="54"/>
    </row>
    <row r="31" spans="1:5" ht="15" customHeight="1">
      <c r="A31" s="58" t="s">
        <v>1008</v>
      </c>
      <c r="B31" s="64" t="s">
        <v>1015</v>
      </c>
      <c r="C31" s="66" t="str">
        <f>IF(ISBLANK('MV-P'!C15),"",'MV-P'!C15)</f>
        <v/>
      </c>
      <c r="D31" s="64" t="s">
        <v>1010</v>
      </c>
      <c r="E31" s="54"/>
    </row>
    <row r="32" spans="1:5" ht="15" customHeight="1">
      <c r="B32" s="64" t="s">
        <v>1011</v>
      </c>
      <c r="C32" s="729" t="str">
        <f>IF(ISBLANK('MV-P'!C23),"",'MV-P'!C23)</f>
        <v/>
      </c>
      <c r="D32" s="64" t="s">
        <v>1010</v>
      </c>
      <c r="E32" s="54"/>
    </row>
    <row r="33" spans="1:11" ht="15" customHeight="1">
      <c r="B33" s="64" t="s">
        <v>1012</v>
      </c>
      <c r="C33" s="729" t="str">
        <f>IF(ISBLANK('MV-P'!D23),"",'MV-P'!D23)</f>
        <v/>
      </c>
      <c r="D33" s="64" t="s">
        <v>1010</v>
      </c>
      <c r="E33" s="54"/>
    </row>
    <row r="34" spans="1:11" ht="15" customHeight="1">
      <c r="A34" s="58" t="s">
        <v>1009</v>
      </c>
      <c r="B34" s="64" t="s">
        <v>1015</v>
      </c>
      <c r="C34" s="66" t="str">
        <f>IF(ISBLANK('MV-P'!C16),"",'MV-P'!C16)</f>
        <v/>
      </c>
      <c r="D34" s="64" t="s">
        <v>1010</v>
      </c>
      <c r="E34" s="54"/>
    </row>
    <row r="35" spans="1:11" ht="15" customHeight="1">
      <c r="B35" s="64" t="s">
        <v>1011</v>
      </c>
      <c r="C35" s="729" t="str">
        <f>IF(ISBLANK('MV-P'!C24),"",'MV-P'!C24)</f>
        <v/>
      </c>
      <c r="D35" s="64" t="s">
        <v>1010</v>
      </c>
      <c r="E35" s="54"/>
    </row>
    <row r="36" spans="1:11" ht="15" customHeight="1">
      <c r="B36" s="64" t="s">
        <v>1012</v>
      </c>
      <c r="C36" s="729" t="str">
        <f>IF(ISBLANK('MV-P'!D24),"",'MV-P'!D24)</f>
        <v/>
      </c>
      <c r="D36" s="64" t="s">
        <v>1010</v>
      </c>
      <c r="E36" s="54"/>
    </row>
    <row r="37" spans="1:11" ht="15" customHeight="1">
      <c r="A37" s="58" t="s">
        <v>728</v>
      </c>
      <c r="B37" s="69" t="s">
        <v>1013</v>
      </c>
      <c r="C37" s="730" t="e">
        <f ca="1">'MV-P'!G44</f>
        <v>#DIV/0!</v>
      </c>
      <c r="D37" s="64" t="s">
        <v>1014</v>
      </c>
      <c r="E37" s="54"/>
    </row>
    <row r="38" spans="1:11" ht="15" customHeight="1">
      <c r="A38" s="58" t="s">
        <v>729</v>
      </c>
      <c r="B38" s="69" t="s">
        <v>1013</v>
      </c>
      <c r="C38" s="730" t="e">
        <f ca="1">'MV-P'!G47</f>
        <v>#DIV/0!</v>
      </c>
      <c r="D38" s="64" t="s">
        <v>1014</v>
      </c>
      <c r="E38" s="54"/>
    </row>
    <row r="39" spans="1:11" ht="15" customHeight="1">
      <c r="A39" s="58" t="s">
        <v>730</v>
      </c>
      <c r="B39" s="69" t="s">
        <v>1013</v>
      </c>
      <c r="C39" s="730" t="e">
        <f ca="1">'MV-P'!G50</f>
        <v>#DIV/0!</v>
      </c>
      <c r="D39" s="64" t="s">
        <v>1014</v>
      </c>
      <c r="E39" s="54"/>
    </row>
    <row r="40" spans="1:11" ht="15" customHeight="1">
      <c r="D40" s="65"/>
    </row>
    <row r="41" spans="1:11" ht="15" customHeight="1">
      <c r="A41" s="58" t="s">
        <v>788</v>
      </c>
      <c r="B41" s="64" t="s">
        <v>1015</v>
      </c>
      <c r="C41" s="66" t="str">
        <f>IF(ISBLANK('MV-E'!C15),"",'MV-E'!C15)</f>
        <v/>
      </c>
      <c r="D41" s="64" t="s">
        <v>1010</v>
      </c>
      <c r="E41" s="54"/>
    </row>
    <row r="42" spans="1:11" ht="15" customHeight="1">
      <c r="B42" s="64" t="s">
        <v>1011</v>
      </c>
      <c r="C42" s="729" t="str">
        <f>IF(ISBLANK('MV-E'!I13),"",'MV-E'!I13)</f>
        <v/>
      </c>
      <c r="D42" s="64" t="s">
        <v>1010</v>
      </c>
      <c r="E42" s="54"/>
    </row>
    <row r="43" spans="1:11" ht="15" customHeight="1">
      <c r="B43" s="64" t="s">
        <v>1012</v>
      </c>
      <c r="C43" s="729" t="str">
        <f>IF(ISBLANK('MV-E'!J13),"",'MV-E'!J13)</f>
        <v/>
      </c>
      <c r="D43" s="64" t="s">
        <v>1010</v>
      </c>
      <c r="E43" s="54"/>
    </row>
    <row r="44" spans="1:11" ht="15" customHeight="1">
      <c r="B44" s="68" t="s">
        <v>1021</v>
      </c>
      <c r="C44" s="730" t="str">
        <f>'MV-E'!H25</f>
        <v/>
      </c>
      <c r="D44" s="64" t="s">
        <v>1014</v>
      </c>
      <c r="E44" s="54"/>
    </row>
    <row r="45" spans="1:11" ht="15" customHeight="1">
      <c r="D45" s="65"/>
    </row>
    <row r="46" spans="1:11" ht="15" customHeight="1">
      <c r="A46" s="58" t="s">
        <v>275</v>
      </c>
      <c r="B46" s="69" t="s">
        <v>276</v>
      </c>
      <c r="E46" s="54"/>
    </row>
    <row r="47" spans="1:11" ht="15" customHeight="1">
      <c r="A47" s="58" t="s">
        <v>301</v>
      </c>
      <c r="B47" s="69" t="s">
        <v>277</v>
      </c>
      <c r="E47" s="54"/>
      <c r="F47" s="60"/>
      <c r="J47" s="70" t="s">
        <v>196</v>
      </c>
      <c r="K47" s="70" t="s">
        <v>196</v>
      </c>
    </row>
    <row r="48" spans="1:11" ht="15" customHeight="1">
      <c r="B48" s="69"/>
      <c r="F48" s="70"/>
      <c r="G48" s="70" t="s">
        <v>197</v>
      </c>
      <c r="H48" s="70" t="s">
        <v>198</v>
      </c>
      <c r="I48" s="70" t="s">
        <v>199</v>
      </c>
      <c r="J48" s="70" t="s">
        <v>201</v>
      </c>
      <c r="K48" s="70" t="s">
        <v>6</v>
      </c>
    </row>
    <row r="49" spans="1:16" ht="15" customHeight="1">
      <c r="B49" s="71" t="s">
        <v>200</v>
      </c>
      <c r="E49" s="54"/>
      <c r="F49" s="56" t="str">
        <f>MEX!A12</f>
        <v>NXJ40</v>
      </c>
      <c r="G49" s="73">
        <f>IF(MEX!H12="","",ABS(MEX!H12))</f>
        <v>0.323841449139809</v>
      </c>
      <c r="H49" s="73">
        <f>IF(MEX!J12="","",ABS(MEX!J12))</f>
        <v>0.61861652267695111</v>
      </c>
      <c r="I49" s="73" t="str">
        <f>IF(MEX!L12="","",ABS(MEX!L12))</f>
        <v/>
      </c>
      <c r="J49" s="73" t="str">
        <f>IF(MEX!T12="","",ABS(MEX!T12))</f>
        <v/>
      </c>
      <c r="K49" s="73" t="str">
        <f>IF(MEX!Q12="","",ABS(MEX!Q12))</f>
        <v/>
      </c>
      <c r="P49" s="72"/>
    </row>
    <row r="50" spans="1:16" ht="15" customHeight="1">
      <c r="B50" s="71" t="s">
        <v>202</v>
      </c>
      <c r="E50" s="54"/>
      <c r="F50" s="56" t="str">
        <f>MEX!A18</f>
        <v>NXJ100</v>
      </c>
      <c r="G50" s="73">
        <f>IF(MEX!H18="","",ABS(MEX!H18))</f>
        <v>0.18402857581214976</v>
      </c>
      <c r="H50" s="73">
        <f>IF(MEX!J18="","",ABS(MEX!J18))</f>
        <v>5.4881786830919002E-2</v>
      </c>
      <c r="I50" s="73" t="str">
        <f>IF(MEX!L18="","",ABS(MEX!L18))</f>
        <v/>
      </c>
      <c r="J50" s="73" t="str">
        <f>IF(MEX!T18="","",ABS(MEX!T18))</f>
        <v/>
      </c>
      <c r="K50" s="73" t="str">
        <f>IF(MEX!Q18="","",ABS(MEX!Q18))</f>
        <v/>
      </c>
      <c r="P50" s="72"/>
    </row>
    <row r="51" spans="1:16" ht="15" customHeight="1">
      <c r="B51" s="71" t="s">
        <v>202</v>
      </c>
      <c r="E51" s="54"/>
      <c r="F51" s="56" t="str">
        <f>MEX!A27</f>
        <v>NXA50</v>
      </c>
      <c r="G51" s="73">
        <f>IF(MEX!H27="","",ABS(MEX!H27))</f>
        <v>0.24874650203677759</v>
      </c>
      <c r="H51" s="73">
        <f>IF(MEX!J27="","",ABS(MEX!J27))</f>
        <v>0.12778434690790502</v>
      </c>
      <c r="I51" s="73" t="str">
        <f>IF(MEX!L27="","",ABS(MEX!L27))</f>
        <v/>
      </c>
      <c r="J51" s="73" t="str">
        <f>IF(MEX!T27="","",ABS(MEX!T27))</f>
        <v/>
      </c>
      <c r="K51" s="73" t="str">
        <f>IF(MEX!Q27="","",ABS(MEX!Q27))</f>
        <v/>
      </c>
      <c r="P51" s="72"/>
    </row>
    <row r="52" spans="1:16" ht="15" customHeight="1">
      <c r="B52" s="71" t="s">
        <v>202</v>
      </c>
      <c r="E52" s="54"/>
      <c r="F52" s="56" t="str">
        <f>MEX!A29</f>
        <v>NXA70</v>
      </c>
      <c r="G52" s="73">
        <f>IF(MEX!H29="","",ABS(MEX!H29))</f>
        <v>0.2361731596754704</v>
      </c>
      <c r="H52" s="73">
        <f>IF(MEX!J29="","",ABS(MEX!J29))</f>
        <v>0.16926680833684354</v>
      </c>
      <c r="I52" s="73" t="str">
        <f>IF(MEX!L29="","",ABS(MEX!L29))</f>
        <v/>
      </c>
      <c r="J52" s="73" t="str">
        <f>IF(MEX!T29="","",ABS(MEX!T29))</f>
        <v/>
      </c>
      <c r="K52" s="73" t="str">
        <f>IF(MEX!Q29="","",ABS(MEX!Q29))</f>
        <v/>
      </c>
      <c r="P52" s="72"/>
    </row>
    <row r="53" spans="1:16" ht="15" customHeight="1">
      <c r="B53" s="71" t="s">
        <v>202</v>
      </c>
      <c r="E53" s="54"/>
      <c r="F53" s="56" t="str">
        <f>MEX!A34</f>
        <v>NXB100</v>
      </c>
      <c r="G53" s="73">
        <f>IF(MEX!H34="","",ABS(MEX!H34))</f>
        <v>0.10497933885281444</v>
      </c>
      <c r="H53" s="73">
        <f>IF(MEX!J34="","",ABS(MEX!J34))</f>
        <v>6.8313857623215526E-2</v>
      </c>
      <c r="I53" s="73" t="str">
        <f>IF(MEX!L34="","",ABS(MEX!L34))</f>
        <v/>
      </c>
      <c r="J53" s="73" t="str">
        <f>IF(MEX!T34="","",ABS(MEX!T34))</f>
        <v/>
      </c>
      <c r="K53" s="73" t="str">
        <f>IF(MEX!Q34="","",ABS(MEX!Q34))</f>
        <v/>
      </c>
      <c r="P53" s="72"/>
    </row>
    <row r="54" spans="1:16" ht="15" customHeight="1">
      <c r="B54" s="71" t="s">
        <v>202</v>
      </c>
      <c r="E54" s="54"/>
      <c r="F54" s="56" t="str">
        <f>MEX!A39</f>
        <v>NXC120</v>
      </c>
      <c r="G54" s="73">
        <f>IF(MEX!H39="","",ABS(MEX!H39))</f>
        <v>0.13011298581717118</v>
      </c>
      <c r="H54" s="73">
        <f>IF(MEX!J39="","",ABS(MEX!J39))</f>
        <v>7.8862592496762807E-2</v>
      </c>
      <c r="I54" s="73" t="str">
        <f>IF(MEX!L39="","",ABS(MEX!L39))</f>
        <v/>
      </c>
      <c r="J54" s="73" t="str">
        <f>IF(MEX!T39="","",ABS(MEX!T39))</f>
        <v/>
      </c>
      <c r="K54" s="73" t="str">
        <f>IF(MEX!Q39="","",ABS(MEX!Q39))</f>
        <v/>
      </c>
      <c r="P54" s="72"/>
    </row>
    <row r="55" spans="1:16" ht="15" customHeight="1">
      <c r="B55" s="71" t="s">
        <v>202</v>
      </c>
      <c r="E55" s="54"/>
      <c r="F55" s="56" t="str">
        <f>MEX!A44</f>
        <v>NXD140</v>
      </c>
      <c r="G55" s="73">
        <f>IF(MEX!H44="","",ABS(MEX!H44))</f>
        <v>4.0372480138474671E-2</v>
      </c>
      <c r="H55" s="73">
        <f>IF(MEX!J44="","",ABS(MEX!J44))</f>
        <v>0.14981638625549781</v>
      </c>
      <c r="I55" s="73" t="str">
        <f>IF(MEX!L44="","",ABS(MEX!L44))</f>
        <v/>
      </c>
      <c r="J55" s="73" t="str">
        <f>IF(MEX!T44="","",ABS(MEX!T44))</f>
        <v/>
      </c>
      <c r="K55" s="73" t="str">
        <f>IF(MEX!Q44="","",ABS(MEX!Q44))</f>
        <v/>
      </c>
      <c r="P55" s="72"/>
    </row>
    <row r="56" spans="1:16" ht="15" customHeight="1">
      <c r="B56" s="71" t="s">
        <v>202</v>
      </c>
      <c r="E56" s="54"/>
      <c r="F56" s="56" t="str">
        <f>MEX!A49</f>
        <v>NXE150</v>
      </c>
      <c r="G56" s="73">
        <f>IF(MEX!H49="","",ABS(MEX!H49))</f>
        <v>0.14102416960645198</v>
      </c>
      <c r="H56" s="73">
        <f>IF(MEX!J49="","",ABS(MEX!J49))</f>
        <v>0.12621424473144702</v>
      </c>
      <c r="I56" s="73" t="str">
        <f>IF(MEX!L49="","",ABS(MEX!L49))</f>
        <v/>
      </c>
      <c r="J56" s="73" t="str">
        <f>IF(MEX!T49="","",ABS(MEX!T49))</f>
        <v/>
      </c>
      <c r="K56" s="73" t="str">
        <f>IF(MEX!Q49="","",ABS(MEX!Q49))</f>
        <v/>
      </c>
      <c r="P56" s="72"/>
    </row>
    <row r="57" spans="1:16" ht="15" customHeight="1">
      <c r="B57" s="71" t="s">
        <v>202</v>
      </c>
      <c r="E57" s="54"/>
      <c r="F57" s="56" t="str">
        <f>MEX!A54</f>
        <v>NXF200</v>
      </c>
      <c r="G57" s="73">
        <f>IF(MEX!H54="","",ABS(MEX!H54))</f>
        <v>2.6579396842619583E-2</v>
      </c>
      <c r="H57" s="73">
        <f>IF(MEX!J54="","",ABS(MEX!J54))</f>
        <v>2.3412790742844039E-2</v>
      </c>
      <c r="I57" s="73" t="str">
        <f>IF(MEX!L54="","",ABS(MEX!L54))</f>
        <v/>
      </c>
      <c r="J57" s="73" t="str">
        <f>IF(MEX!T54="","",ABS(MEX!T54))</f>
        <v/>
      </c>
      <c r="K57" s="73" t="str">
        <f>IF(MEX!Q54="","",ABS(MEX!Q54))</f>
        <v/>
      </c>
      <c r="P57" s="72"/>
    </row>
    <row r="58" spans="1:16" ht="15" customHeight="1">
      <c r="B58" s="71" t="s">
        <v>202</v>
      </c>
      <c r="E58" s="54"/>
      <c r="F58" s="56" t="str">
        <f>MEX!A59</f>
        <v>NXG250</v>
      </c>
      <c r="G58" s="73">
        <f>IF(MEX!H59="","",ABS(MEX!H59))</f>
        <v>0.2130182295738311</v>
      </c>
      <c r="H58" s="73">
        <f>IF(MEX!J59="","",ABS(MEX!J59))</f>
        <v>4.0048733154262044E-2</v>
      </c>
      <c r="I58" s="73" t="str">
        <f>IF(MEX!L59="","",ABS(MEX!L59))</f>
        <v/>
      </c>
      <c r="J58" s="73" t="str">
        <f>IF(MEX!T59="","",ABS(MEX!T59))</f>
        <v/>
      </c>
      <c r="K58" s="73" t="str">
        <f>IF(MEX!Q59="","",ABS(MEX!Q59))</f>
        <v/>
      </c>
      <c r="P58" s="72"/>
    </row>
    <row r="59" spans="1:16" ht="15" customHeight="1">
      <c r="B59" s="71" t="s">
        <v>202</v>
      </c>
      <c r="E59" s="54"/>
      <c r="F59" s="56" t="str">
        <f>MEX!A64</f>
        <v>NXH280</v>
      </c>
      <c r="G59" s="73">
        <f>IF(MEX!H64="","",ABS(MEX!H64))</f>
        <v>0.33333301930154663</v>
      </c>
      <c r="H59" s="73">
        <f>IF(MEX!J64="","",ABS(MEX!J64))</f>
        <v>0.1855454904933721</v>
      </c>
      <c r="I59" s="73" t="str">
        <f>IF(MEX!L64="","",ABS(MEX!L64))</f>
        <v/>
      </c>
      <c r="J59" s="73" t="str">
        <f>IF(MEX!T64="","",ABS(MEX!T64))</f>
        <v/>
      </c>
      <c r="K59" s="73" t="str">
        <f>IF(MEX!Q64="","",ABS(MEX!Q64))</f>
        <v/>
      </c>
      <c r="P59" s="72"/>
    </row>
    <row r="60" spans="1:16" ht="15" customHeight="1">
      <c r="B60" s="71" t="s">
        <v>202</v>
      </c>
      <c r="E60" s="54"/>
      <c r="F60" s="56" t="str">
        <f>MEX!A65</f>
        <v>NXH300</v>
      </c>
      <c r="G60" s="73">
        <f>IF(MEX!H65="","",ABS(MEX!H65))</f>
        <v>0.47195148186726033</v>
      </c>
      <c r="H60" s="73">
        <f>IF(MEX!J65="","",ABS(MEX!J65))</f>
        <v>0.16121625601506401</v>
      </c>
      <c r="I60" s="73" t="str">
        <f>IF(MEX!L65="","",ABS(MEX!L65))</f>
        <v/>
      </c>
      <c r="J60" s="73" t="str">
        <f>IF(MEX!T65="","",ABS(MEX!T65))</f>
        <v/>
      </c>
      <c r="K60" s="73" t="str">
        <f>IF(MEX!Q65="","",ABS(MEX!Q65))</f>
        <v/>
      </c>
      <c r="P60" s="72"/>
    </row>
    <row r="61" spans="1:16" ht="15" customHeight="1">
      <c r="B61" s="71" t="s">
        <v>202</v>
      </c>
      <c r="E61" s="54"/>
      <c r="P61" s="72"/>
    </row>
    <row r="62" spans="1:16" ht="15" customHeight="1">
      <c r="B62" s="71" t="s">
        <v>203</v>
      </c>
      <c r="E62" s="54"/>
      <c r="G62" s="69" t="s">
        <v>204</v>
      </c>
    </row>
    <row r="63" spans="1:16" ht="15" customHeight="1"/>
    <row r="64" spans="1:16" ht="15" customHeight="1">
      <c r="A64" s="58" t="s">
        <v>205</v>
      </c>
      <c r="B64" s="69" t="s">
        <v>206</v>
      </c>
      <c r="E64" s="54"/>
    </row>
    <row r="65" spans="1:11" ht="15" customHeight="1">
      <c r="A65" s="58" t="s">
        <v>302</v>
      </c>
      <c r="B65" s="69" t="s">
        <v>207</v>
      </c>
      <c r="E65" s="54"/>
      <c r="F65" s="60"/>
      <c r="J65" s="70" t="s">
        <v>196</v>
      </c>
      <c r="K65" s="70" t="s">
        <v>196</v>
      </c>
    </row>
    <row r="66" spans="1:11" ht="15" customHeight="1">
      <c r="A66" s="58" t="s">
        <v>209</v>
      </c>
      <c r="B66" s="69"/>
      <c r="F66" s="70"/>
      <c r="G66" s="70" t="s">
        <v>197</v>
      </c>
      <c r="H66" s="70" t="s">
        <v>198</v>
      </c>
      <c r="I66" s="70" t="s">
        <v>199</v>
      </c>
      <c r="J66" s="70" t="s">
        <v>201</v>
      </c>
      <c r="K66" s="70" t="s">
        <v>6</v>
      </c>
    </row>
    <row r="67" spans="1:11" ht="15" customHeight="1">
      <c r="B67" s="71" t="s">
        <v>200</v>
      </c>
      <c r="E67" s="54"/>
      <c r="F67" s="72" t="s">
        <v>85</v>
      </c>
      <c r="G67" s="73" t="str">
        <f>IF(LEX!F12="","",ABS(LEX!F12))</f>
        <v/>
      </c>
      <c r="H67" s="73" t="str">
        <f>IF(LEX!H12="","",ABS(LEX!H12))</f>
        <v/>
      </c>
      <c r="I67" s="73" t="str">
        <f>IF(LEX!J12="","",ABS(LEX!J12))</f>
        <v/>
      </c>
      <c r="J67" s="73" t="str">
        <f>IF(LEX!T12="","",ABS(LEX!T12))</f>
        <v/>
      </c>
      <c r="K67" s="73" t="str">
        <f>IF(LEX!Q12="","",ABS(LEX!Q12))</f>
        <v/>
      </c>
    </row>
    <row r="68" spans="1:11" ht="15" customHeight="1">
      <c r="B68" s="71" t="s">
        <v>202</v>
      </c>
      <c r="E68" s="54"/>
      <c r="F68" s="72" t="s">
        <v>86</v>
      </c>
      <c r="G68" s="73" t="str">
        <f>IF(LEX!F13="","",ABS(LEX!F13))</f>
        <v/>
      </c>
      <c r="H68" s="73" t="str">
        <f>IF(LEX!H13="","",ABS(LEX!H13))</f>
        <v/>
      </c>
      <c r="I68" s="73" t="str">
        <f>IF(LEX!J13="","",ABS(LEX!J13))</f>
        <v/>
      </c>
      <c r="J68" s="73" t="str">
        <f>IF(LEX!T13="","",ABS(LEX!T13))</f>
        <v/>
      </c>
      <c r="K68" s="73" t="str">
        <f>IF(LEX!Q13="","",ABS(LEX!Q13))</f>
        <v/>
      </c>
    </row>
    <row r="69" spans="1:11" ht="15" customHeight="1">
      <c r="B69" s="71" t="s">
        <v>202</v>
      </c>
      <c r="E69" s="54"/>
      <c r="F69" s="72" t="s">
        <v>87</v>
      </c>
      <c r="G69" s="73" t="str">
        <f>IF(LEX!F14="","",ABS(LEX!F14))</f>
        <v/>
      </c>
      <c r="H69" s="73" t="str">
        <f>IF(LEX!H14="","",ABS(LEX!H14))</f>
        <v/>
      </c>
      <c r="I69" s="73" t="str">
        <f>IF(LEX!J14="","",ABS(LEX!J14))</f>
        <v/>
      </c>
      <c r="J69" s="73" t="str">
        <f>IF(LEX!T14="","",ABS(LEX!T14))</f>
        <v/>
      </c>
      <c r="K69" s="73" t="str">
        <f>IF(LEX!Q14="","",ABS(LEX!Q14))</f>
        <v/>
      </c>
    </row>
    <row r="70" spans="1:11" ht="15" customHeight="1">
      <c r="B70" s="71" t="s">
        <v>202</v>
      </c>
      <c r="E70" s="54"/>
      <c r="F70" s="72" t="s">
        <v>88</v>
      </c>
      <c r="G70" s="73" t="str">
        <f>IF(LEX!F15="","",ABS(LEX!F15))</f>
        <v/>
      </c>
      <c r="H70" s="73" t="str">
        <f>IF(LEX!H15="","",ABS(LEX!H15))</f>
        <v/>
      </c>
      <c r="I70" s="73" t="str">
        <f>IF(LEX!J15="","",ABS(LEX!J15))</f>
        <v/>
      </c>
      <c r="J70" s="73" t="str">
        <f>IF(LEX!T15="","",ABS(LEX!T15))</f>
        <v/>
      </c>
      <c r="K70" s="73" t="str">
        <f>IF(LEX!Q15="","",ABS(LEX!Q15))</f>
        <v/>
      </c>
    </row>
    <row r="71" spans="1:11" ht="15" customHeight="1">
      <c r="B71" s="71" t="s">
        <v>202</v>
      </c>
      <c r="E71" s="54"/>
      <c r="F71" s="72" t="s">
        <v>89</v>
      </c>
      <c r="G71" s="73" t="str">
        <f>IF(LEX!F16="","",ABS(LEX!F16))</f>
        <v/>
      </c>
      <c r="H71" s="73" t="str">
        <f>IF(LEX!H16="","",ABS(LEX!H16))</f>
        <v/>
      </c>
      <c r="I71" s="73" t="str">
        <f>IF(LEX!J16="","",ABS(LEX!J16))</f>
        <v/>
      </c>
      <c r="J71" s="73" t="str">
        <f>IF(LEX!T16="","",ABS(LEX!T16))</f>
        <v/>
      </c>
      <c r="K71" s="73" t="str">
        <f>IF(LEX!Q16="","",ABS(LEX!Q16))</f>
        <v/>
      </c>
    </row>
    <row r="72" spans="1:11" ht="15" customHeight="1">
      <c r="B72" s="71" t="s">
        <v>202</v>
      </c>
      <c r="E72" s="54"/>
      <c r="F72" s="72" t="s">
        <v>90</v>
      </c>
      <c r="G72" s="73" t="str">
        <f>IF(LEX!F17="","",ABS(LEX!F17))</f>
        <v/>
      </c>
      <c r="H72" s="73" t="str">
        <f>IF(LEX!H17="","",ABS(LEX!H17))</f>
        <v/>
      </c>
      <c r="I72" s="73" t="str">
        <f>IF(LEX!J17="","",ABS(LEX!J17))</f>
        <v/>
      </c>
      <c r="J72" s="73" t="str">
        <f>IF(LEX!T17="","",ABS(LEX!T17))</f>
        <v/>
      </c>
      <c r="K72" s="73" t="str">
        <f>IF(LEX!Q17="","",ABS(LEX!Q17))</f>
        <v/>
      </c>
    </row>
    <row r="73" spans="1:11" ht="15" customHeight="1">
      <c r="B73" s="71" t="s">
        <v>202</v>
      </c>
      <c r="E73" s="54"/>
      <c r="F73" s="72" t="s">
        <v>91</v>
      </c>
      <c r="G73" s="73" t="str">
        <f>IF(LEX!F18="","",ABS(LEX!F18))</f>
        <v/>
      </c>
      <c r="H73" s="73" t="str">
        <f>IF(LEX!H18="","",ABS(LEX!H18))</f>
        <v/>
      </c>
      <c r="I73" s="73" t="str">
        <f>IF(LEX!J18="","",ABS(LEX!J18))</f>
        <v/>
      </c>
      <c r="J73" s="73" t="str">
        <f>IF(LEX!T18="","",ABS(LEX!T18))</f>
        <v/>
      </c>
      <c r="K73" s="73" t="str">
        <f>IF(LEX!Q18="","",ABS(LEX!Q18))</f>
        <v/>
      </c>
    </row>
    <row r="74" spans="1:11" ht="15" customHeight="1">
      <c r="B74" s="71" t="s">
        <v>208</v>
      </c>
      <c r="E74" s="54"/>
      <c r="G74" s="69" t="s">
        <v>204</v>
      </c>
    </row>
    <row r="75" spans="1:11" ht="15" customHeight="1">
      <c r="B75" s="71"/>
    </row>
    <row r="76" spans="1:11" ht="15" customHeight="1"/>
    <row r="77" spans="1:11" ht="15" customHeight="1">
      <c r="E77" s="38"/>
    </row>
    <row r="78" spans="1:11" ht="15" customHeight="1">
      <c r="D78" s="69" t="s">
        <v>1066</v>
      </c>
      <c r="E78" s="954"/>
      <c r="F78" s="1514"/>
      <c r="G78" s="1515"/>
      <c r="H78" s="780"/>
    </row>
    <row r="79" spans="1:11" ht="15" customHeight="1">
      <c r="D79" s="69" t="s">
        <v>1067</v>
      </c>
      <c r="E79" s="954"/>
      <c r="F79" s="1514"/>
      <c r="G79" s="1515"/>
      <c r="H79" s="780"/>
    </row>
    <row r="80" spans="1:11" ht="15" customHeight="1">
      <c r="D80" s="69" t="s">
        <v>1068</v>
      </c>
      <c r="E80" s="954"/>
      <c r="F80" s="1514"/>
      <c r="G80" s="1515"/>
      <c r="H80" s="780"/>
    </row>
    <row r="81" spans="2:8" ht="15" customHeight="1">
      <c r="D81" s="71" t="s">
        <v>1069</v>
      </c>
      <c r="E81" s="954"/>
      <c r="F81" s="1514"/>
      <c r="G81" s="1515"/>
      <c r="H81" s="780"/>
    </row>
    <row r="82" spans="2:8" ht="15" customHeight="1">
      <c r="D82" s="71" t="s">
        <v>1070</v>
      </c>
      <c r="E82" s="954"/>
      <c r="F82" s="1514"/>
      <c r="G82" s="1515"/>
      <c r="H82" s="780"/>
    </row>
    <row r="83" spans="2:8" ht="15" customHeight="1">
      <c r="D83" s="71" t="s">
        <v>1071</v>
      </c>
      <c r="E83" s="954"/>
      <c r="F83" s="1514"/>
      <c r="G83" s="1515"/>
      <c r="H83" s="780"/>
    </row>
    <row r="84" spans="2:8" ht="15" customHeight="1">
      <c r="D84" s="927" t="s">
        <v>1500</v>
      </c>
      <c r="E84" s="954"/>
      <c r="F84" s="1514"/>
      <c r="G84" s="1515"/>
      <c r="H84" s="780"/>
    </row>
    <row r="85" spans="2:8" ht="15" customHeight="1"/>
    <row r="86" spans="2:8" ht="15" customHeight="1">
      <c r="B86" s="58" t="s">
        <v>193</v>
      </c>
    </row>
    <row r="87" spans="2:8" ht="15" customHeight="1"/>
    <row r="88" spans="2:8" ht="15" customHeight="1"/>
  </sheetData>
  <sheetProtection sheet="1" objects="1" scenarios="1"/>
  <mergeCells count="7">
    <mergeCell ref="F84:G84"/>
    <mergeCell ref="F83:G83"/>
    <mergeCell ref="F78:G78"/>
    <mergeCell ref="F79:G79"/>
    <mergeCell ref="F80:G80"/>
    <mergeCell ref="F81:G81"/>
    <mergeCell ref="F82:G82"/>
  </mergeCells>
  <conditionalFormatting sqref="G49:K60">
    <cfRule type="colorScale" priority="16">
      <colorScale>
        <cfvo type="num" val="0"/>
        <cfvo type="num" val="0.35"/>
        <cfvo type="num" val="0.65"/>
        <color rgb="FFFEF6F0"/>
        <color rgb="FFFBCDA7"/>
        <color theme="9" tint="-0.249977111117893"/>
      </colorScale>
    </cfRule>
  </conditionalFormatting>
  <conditionalFormatting sqref="G67:K73">
    <cfRule type="colorScale" priority="35">
      <colorScale>
        <cfvo type="num" val="0"/>
        <cfvo type="num" val="0.7"/>
        <cfvo type="num" val="1.3"/>
        <color rgb="FFFEF6F0"/>
        <color rgb="FFFBCDA7"/>
        <color theme="9" tint="-0.249977111117893"/>
      </colorScale>
    </cfRule>
  </conditionalFormatting>
  <conditionalFormatting sqref="C26">
    <cfRule type="cellIs" dxfId="7" priority="12" stopIfTrue="1" operator="notBetween">
      <formula>-0.3</formula>
      <formula>0.3</formula>
    </cfRule>
  </conditionalFormatting>
  <conditionalFormatting sqref="C24">
    <cfRule type="cellIs" dxfId="6" priority="11" stopIfTrue="1" operator="notBetween">
      <formula>-0.3</formula>
      <formula>0.3</formula>
    </cfRule>
  </conditionalFormatting>
  <conditionalFormatting sqref="C13">
    <cfRule type="cellIs" dxfId="5" priority="9" stopIfTrue="1" operator="notBetween">
      <formula>-$C$12</formula>
      <formula>$C$12</formula>
    </cfRule>
  </conditionalFormatting>
  <conditionalFormatting sqref="C18">
    <cfRule type="cellIs" dxfId="4" priority="8" stopIfTrue="1" operator="notBetween">
      <formula>-$C$17</formula>
      <formula>$C$17</formula>
    </cfRule>
  </conditionalFormatting>
  <conditionalFormatting sqref="G49:I60">
    <cfRule type="colorScale" priority="6">
      <colorScale>
        <cfvo type="min"/>
        <cfvo type="percentile" val="50"/>
        <cfvo type="max"/>
        <color rgb="FF63BE7B"/>
        <color rgb="FFFFEB84"/>
        <color rgb="FFF8696B"/>
      </colorScale>
    </cfRule>
  </conditionalFormatting>
  <conditionalFormatting sqref="C38">
    <cfRule type="expression" dxfId="3" priority="3" stopIfTrue="1">
      <formula>C38&gt;1</formula>
    </cfRule>
  </conditionalFormatting>
  <conditionalFormatting sqref="C37">
    <cfRule type="expression" dxfId="2" priority="4" stopIfTrue="1">
      <formula>C37&gt;1</formula>
    </cfRule>
  </conditionalFormatting>
  <conditionalFormatting sqref="C39">
    <cfRule type="expression" dxfId="1" priority="2" stopIfTrue="1">
      <formula>C39&gt;1</formula>
    </cfRule>
  </conditionalFormatting>
  <conditionalFormatting sqref="C44">
    <cfRule type="expression" dxfId="0" priority="1" stopIfTrue="1">
      <formula>C44&gt;1</formula>
    </cfRule>
  </conditionalFormatting>
  <pageMargins left="0.70866141732283472" right="0.70866141732283472" top="0.74803149606299213" bottom="0.74803149606299213" header="0.31496062992125984" footer="0.31496062992125984"/>
  <pageSetup paperSize="9" scale="55" orientation="portrait" r:id="rId1"/>
  <headerFooter>
    <oddFooter>&amp;L&amp;F&amp;C&amp;A&amp;R&amp;P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Check Box 1">
              <controlPr defaultSize="0" autoFill="0" autoLine="0" autoPict="0">
                <anchor moveWithCells="1">
                  <from>
                    <xdr:col>4</xdr:col>
                    <xdr:colOff>180975</xdr:colOff>
                    <xdr:row>14</xdr:row>
                    <xdr:rowOff>19050</xdr:rowOff>
                  </from>
                  <to>
                    <xdr:col>4</xdr:col>
                    <xdr:colOff>400050</xdr:colOff>
                    <xdr:row>14</xdr:row>
                    <xdr:rowOff>180975</xdr:rowOff>
                  </to>
                </anchor>
              </controlPr>
            </control>
          </mc:Choice>
        </mc:AlternateContent>
        <mc:AlternateContent xmlns:mc="http://schemas.openxmlformats.org/markup-compatibility/2006">
          <mc:Choice Requires="x14">
            <control shapeId="180226" r:id="rId5" name="Check Box 2">
              <controlPr defaultSize="0" autoFill="0" autoLine="0" autoPict="0">
                <anchor moveWithCells="1" sizeWithCells="1">
                  <from>
                    <xdr:col>4</xdr:col>
                    <xdr:colOff>180975</xdr:colOff>
                    <xdr:row>6</xdr:row>
                    <xdr:rowOff>0</xdr:rowOff>
                  </from>
                  <to>
                    <xdr:col>4</xdr:col>
                    <xdr:colOff>400050</xdr:colOff>
                    <xdr:row>7</xdr:row>
                    <xdr:rowOff>0</xdr:rowOff>
                  </to>
                </anchor>
              </controlPr>
            </control>
          </mc:Choice>
        </mc:AlternateContent>
        <mc:AlternateContent xmlns:mc="http://schemas.openxmlformats.org/markup-compatibility/2006">
          <mc:Choice Requires="x14">
            <control shapeId="180227" r:id="rId6" name="Check Box 3">
              <controlPr defaultSize="0" autoFill="0" autoLine="0" autoPict="0">
                <anchor moveWithCells="1" sizeWithCells="1">
                  <from>
                    <xdr:col>4</xdr:col>
                    <xdr:colOff>180975</xdr:colOff>
                    <xdr:row>12</xdr:row>
                    <xdr:rowOff>0</xdr:rowOff>
                  </from>
                  <to>
                    <xdr:col>4</xdr:col>
                    <xdr:colOff>400050</xdr:colOff>
                    <xdr:row>13</xdr:row>
                    <xdr:rowOff>0</xdr:rowOff>
                  </to>
                </anchor>
              </controlPr>
            </control>
          </mc:Choice>
        </mc:AlternateContent>
        <mc:AlternateContent xmlns:mc="http://schemas.openxmlformats.org/markup-compatibility/2006">
          <mc:Choice Requires="x14">
            <control shapeId="180228" r:id="rId7" name="Check Box 4">
              <controlPr defaultSize="0" autoFill="0" autoLine="0" autoPict="0">
                <anchor moveWithCells="1" sizeWithCells="1">
                  <from>
                    <xdr:col>4</xdr:col>
                    <xdr:colOff>180975</xdr:colOff>
                    <xdr:row>8</xdr:row>
                    <xdr:rowOff>180975</xdr:rowOff>
                  </from>
                  <to>
                    <xdr:col>4</xdr:col>
                    <xdr:colOff>400050</xdr:colOff>
                    <xdr:row>9</xdr:row>
                    <xdr:rowOff>180975</xdr:rowOff>
                  </to>
                </anchor>
              </controlPr>
            </control>
          </mc:Choice>
        </mc:AlternateContent>
        <mc:AlternateContent xmlns:mc="http://schemas.openxmlformats.org/markup-compatibility/2006">
          <mc:Choice Requires="x14">
            <control shapeId="180229" r:id="rId8" name="Check Box 5">
              <controlPr defaultSize="0" autoFill="0" autoLine="0" autoPict="0">
                <anchor moveWithCells="1">
                  <from>
                    <xdr:col>4</xdr:col>
                    <xdr:colOff>180975</xdr:colOff>
                    <xdr:row>17</xdr:row>
                    <xdr:rowOff>9525</xdr:rowOff>
                  </from>
                  <to>
                    <xdr:col>4</xdr:col>
                    <xdr:colOff>400050</xdr:colOff>
                    <xdr:row>17</xdr:row>
                    <xdr:rowOff>171450</xdr:rowOff>
                  </to>
                </anchor>
              </controlPr>
            </control>
          </mc:Choice>
        </mc:AlternateContent>
        <mc:AlternateContent xmlns:mc="http://schemas.openxmlformats.org/markup-compatibility/2006">
          <mc:Choice Requires="x14">
            <control shapeId="180230" r:id="rId9" name="Check Box 6">
              <controlPr defaultSize="0" autoFill="0" autoLine="0" autoPict="0">
                <anchor moveWithCells="1">
                  <from>
                    <xdr:col>4</xdr:col>
                    <xdr:colOff>180975</xdr:colOff>
                    <xdr:row>19</xdr:row>
                    <xdr:rowOff>28575</xdr:rowOff>
                  </from>
                  <to>
                    <xdr:col>4</xdr:col>
                    <xdr:colOff>400050</xdr:colOff>
                    <xdr:row>20</xdr:row>
                    <xdr:rowOff>0</xdr:rowOff>
                  </to>
                </anchor>
              </controlPr>
            </control>
          </mc:Choice>
        </mc:AlternateContent>
        <mc:AlternateContent xmlns:mc="http://schemas.openxmlformats.org/markup-compatibility/2006">
          <mc:Choice Requires="x14">
            <control shapeId="180231" r:id="rId10" name="Check Box 7">
              <controlPr defaultSize="0" autoFill="0" autoLine="0" autoPict="0">
                <anchor moveWithCells="1">
                  <from>
                    <xdr:col>4</xdr:col>
                    <xdr:colOff>180975</xdr:colOff>
                    <xdr:row>23</xdr:row>
                    <xdr:rowOff>28575</xdr:rowOff>
                  </from>
                  <to>
                    <xdr:col>4</xdr:col>
                    <xdr:colOff>400050</xdr:colOff>
                    <xdr:row>24</xdr:row>
                    <xdr:rowOff>0</xdr:rowOff>
                  </to>
                </anchor>
              </controlPr>
            </control>
          </mc:Choice>
        </mc:AlternateContent>
        <mc:AlternateContent xmlns:mc="http://schemas.openxmlformats.org/markup-compatibility/2006">
          <mc:Choice Requires="x14">
            <control shapeId="180232" r:id="rId11" name="Check Box 8">
              <controlPr defaultSize="0" autoFill="0" autoLine="0" autoPict="0">
                <anchor moveWithCells="1">
                  <from>
                    <xdr:col>4</xdr:col>
                    <xdr:colOff>180975</xdr:colOff>
                    <xdr:row>25</xdr:row>
                    <xdr:rowOff>28575</xdr:rowOff>
                  </from>
                  <to>
                    <xdr:col>4</xdr:col>
                    <xdr:colOff>400050</xdr:colOff>
                    <xdr:row>26</xdr:row>
                    <xdr:rowOff>0</xdr:rowOff>
                  </to>
                </anchor>
              </controlPr>
            </control>
          </mc:Choice>
        </mc:AlternateContent>
        <mc:AlternateContent xmlns:mc="http://schemas.openxmlformats.org/markup-compatibility/2006">
          <mc:Choice Requires="x14">
            <control shapeId="180233" r:id="rId12" name="Check Box 9">
              <controlPr defaultSize="0" autoFill="0" autoLine="0" autoPict="0">
                <anchor moveWithCells="1">
                  <from>
                    <xdr:col>4</xdr:col>
                    <xdr:colOff>180975</xdr:colOff>
                    <xdr:row>45</xdr:row>
                    <xdr:rowOff>28575</xdr:rowOff>
                  </from>
                  <to>
                    <xdr:col>4</xdr:col>
                    <xdr:colOff>400050</xdr:colOff>
                    <xdr:row>46</xdr:row>
                    <xdr:rowOff>0</xdr:rowOff>
                  </to>
                </anchor>
              </controlPr>
            </control>
          </mc:Choice>
        </mc:AlternateContent>
        <mc:AlternateContent xmlns:mc="http://schemas.openxmlformats.org/markup-compatibility/2006">
          <mc:Choice Requires="x14">
            <control shapeId="180234" r:id="rId13" name="Check Box 10">
              <controlPr defaultSize="0" autoFill="0" autoLine="0" autoPict="0">
                <anchor moveWithCells="1">
                  <from>
                    <xdr:col>4</xdr:col>
                    <xdr:colOff>180975</xdr:colOff>
                    <xdr:row>46</xdr:row>
                    <xdr:rowOff>28575</xdr:rowOff>
                  </from>
                  <to>
                    <xdr:col>4</xdr:col>
                    <xdr:colOff>400050</xdr:colOff>
                    <xdr:row>47</xdr:row>
                    <xdr:rowOff>0</xdr:rowOff>
                  </to>
                </anchor>
              </controlPr>
            </control>
          </mc:Choice>
        </mc:AlternateContent>
        <mc:AlternateContent xmlns:mc="http://schemas.openxmlformats.org/markup-compatibility/2006">
          <mc:Choice Requires="x14">
            <control shapeId="180235" r:id="rId14" name="Check Box 11">
              <controlPr defaultSize="0" autoFill="0" autoLine="0" autoPict="0">
                <anchor moveWithCells="1">
                  <from>
                    <xdr:col>4</xdr:col>
                    <xdr:colOff>180975</xdr:colOff>
                    <xdr:row>46</xdr:row>
                    <xdr:rowOff>28575</xdr:rowOff>
                  </from>
                  <to>
                    <xdr:col>4</xdr:col>
                    <xdr:colOff>400050</xdr:colOff>
                    <xdr:row>47</xdr:row>
                    <xdr:rowOff>0</xdr:rowOff>
                  </to>
                </anchor>
              </controlPr>
            </control>
          </mc:Choice>
        </mc:AlternateContent>
        <mc:AlternateContent xmlns:mc="http://schemas.openxmlformats.org/markup-compatibility/2006">
          <mc:Choice Requires="x14">
            <control shapeId="180236" r:id="rId15" name="Check Box 12">
              <controlPr defaultSize="0" autoFill="0" autoLine="0" autoPict="0">
                <anchor moveWithCells="1">
                  <from>
                    <xdr:col>4</xdr:col>
                    <xdr:colOff>180975</xdr:colOff>
                    <xdr:row>48</xdr:row>
                    <xdr:rowOff>28575</xdr:rowOff>
                  </from>
                  <to>
                    <xdr:col>4</xdr:col>
                    <xdr:colOff>400050</xdr:colOff>
                    <xdr:row>49</xdr:row>
                    <xdr:rowOff>0</xdr:rowOff>
                  </to>
                </anchor>
              </controlPr>
            </control>
          </mc:Choice>
        </mc:AlternateContent>
        <mc:AlternateContent xmlns:mc="http://schemas.openxmlformats.org/markup-compatibility/2006">
          <mc:Choice Requires="x14">
            <control shapeId="180237" r:id="rId16" name="Check Box 13">
              <controlPr defaultSize="0" autoFill="0" autoLine="0" autoPict="0">
                <anchor moveWithCells="1">
                  <from>
                    <xdr:col>4</xdr:col>
                    <xdr:colOff>180975</xdr:colOff>
                    <xdr:row>48</xdr:row>
                    <xdr:rowOff>28575</xdr:rowOff>
                  </from>
                  <to>
                    <xdr:col>4</xdr:col>
                    <xdr:colOff>400050</xdr:colOff>
                    <xdr:row>49</xdr:row>
                    <xdr:rowOff>0</xdr:rowOff>
                  </to>
                </anchor>
              </controlPr>
            </control>
          </mc:Choice>
        </mc:AlternateContent>
        <mc:AlternateContent xmlns:mc="http://schemas.openxmlformats.org/markup-compatibility/2006">
          <mc:Choice Requires="x14">
            <control shapeId="180238" r:id="rId17" name="Check Box 14">
              <controlPr defaultSize="0" autoFill="0" autoLine="0" autoPict="0">
                <anchor moveWithCells="1">
                  <from>
                    <xdr:col>4</xdr:col>
                    <xdr:colOff>180975</xdr:colOff>
                    <xdr:row>49</xdr:row>
                    <xdr:rowOff>28575</xdr:rowOff>
                  </from>
                  <to>
                    <xdr:col>4</xdr:col>
                    <xdr:colOff>400050</xdr:colOff>
                    <xdr:row>50</xdr:row>
                    <xdr:rowOff>0</xdr:rowOff>
                  </to>
                </anchor>
              </controlPr>
            </control>
          </mc:Choice>
        </mc:AlternateContent>
        <mc:AlternateContent xmlns:mc="http://schemas.openxmlformats.org/markup-compatibility/2006">
          <mc:Choice Requires="x14">
            <control shapeId="180239" r:id="rId18" name="Check Box 15">
              <controlPr defaultSize="0" autoFill="0" autoLine="0" autoPict="0">
                <anchor moveWithCells="1">
                  <from>
                    <xdr:col>4</xdr:col>
                    <xdr:colOff>180975</xdr:colOff>
                    <xdr:row>49</xdr:row>
                    <xdr:rowOff>28575</xdr:rowOff>
                  </from>
                  <to>
                    <xdr:col>4</xdr:col>
                    <xdr:colOff>400050</xdr:colOff>
                    <xdr:row>50</xdr:row>
                    <xdr:rowOff>0</xdr:rowOff>
                  </to>
                </anchor>
              </controlPr>
            </control>
          </mc:Choice>
        </mc:AlternateContent>
        <mc:AlternateContent xmlns:mc="http://schemas.openxmlformats.org/markup-compatibility/2006">
          <mc:Choice Requires="x14">
            <control shapeId="180240" r:id="rId19" name="Check Box 16">
              <controlPr defaultSize="0" autoFill="0" autoLine="0" autoPict="0">
                <anchor moveWithCells="1">
                  <from>
                    <xdr:col>4</xdr:col>
                    <xdr:colOff>180975</xdr:colOff>
                    <xdr:row>50</xdr:row>
                    <xdr:rowOff>28575</xdr:rowOff>
                  </from>
                  <to>
                    <xdr:col>4</xdr:col>
                    <xdr:colOff>400050</xdr:colOff>
                    <xdr:row>51</xdr:row>
                    <xdr:rowOff>0</xdr:rowOff>
                  </to>
                </anchor>
              </controlPr>
            </control>
          </mc:Choice>
        </mc:AlternateContent>
        <mc:AlternateContent xmlns:mc="http://schemas.openxmlformats.org/markup-compatibility/2006">
          <mc:Choice Requires="x14">
            <control shapeId="180241" r:id="rId20" name="Check Box 17">
              <controlPr defaultSize="0" autoFill="0" autoLine="0" autoPict="0">
                <anchor moveWithCells="1">
                  <from>
                    <xdr:col>4</xdr:col>
                    <xdr:colOff>180975</xdr:colOff>
                    <xdr:row>50</xdr:row>
                    <xdr:rowOff>28575</xdr:rowOff>
                  </from>
                  <to>
                    <xdr:col>4</xdr:col>
                    <xdr:colOff>400050</xdr:colOff>
                    <xdr:row>51</xdr:row>
                    <xdr:rowOff>0</xdr:rowOff>
                  </to>
                </anchor>
              </controlPr>
            </control>
          </mc:Choice>
        </mc:AlternateContent>
        <mc:AlternateContent xmlns:mc="http://schemas.openxmlformats.org/markup-compatibility/2006">
          <mc:Choice Requires="x14">
            <control shapeId="180242" r:id="rId21" name="Check Box 18">
              <controlPr defaultSize="0" autoFill="0" autoLine="0" autoPict="0">
                <anchor moveWithCells="1">
                  <from>
                    <xdr:col>4</xdr:col>
                    <xdr:colOff>180975</xdr:colOff>
                    <xdr:row>51</xdr:row>
                    <xdr:rowOff>28575</xdr:rowOff>
                  </from>
                  <to>
                    <xdr:col>4</xdr:col>
                    <xdr:colOff>400050</xdr:colOff>
                    <xdr:row>52</xdr:row>
                    <xdr:rowOff>0</xdr:rowOff>
                  </to>
                </anchor>
              </controlPr>
            </control>
          </mc:Choice>
        </mc:AlternateContent>
        <mc:AlternateContent xmlns:mc="http://schemas.openxmlformats.org/markup-compatibility/2006">
          <mc:Choice Requires="x14">
            <control shapeId="180243" r:id="rId22" name="Check Box 19">
              <controlPr defaultSize="0" autoFill="0" autoLine="0" autoPict="0">
                <anchor moveWithCells="1">
                  <from>
                    <xdr:col>4</xdr:col>
                    <xdr:colOff>180975</xdr:colOff>
                    <xdr:row>51</xdr:row>
                    <xdr:rowOff>28575</xdr:rowOff>
                  </from>
                  <to>
                    <xdr:col>4</xdr:col>
                    <xdr:colOff>400050</xdr:colOff>
                    <xdr:row>52</xdr:row>
                    <xdr:rowOff>0</xdr:rowOff>
                  </to>
                </anchor>
              </controlPr>
            </control>
          </mc:Choice>
        </mc:AlternateContent>
        <mc:AlternateContent xmlns:mc="http://schemas.openxmlformats.org/markup-compatibility/2006">
          <mc:Choice Requires="x14">
            <control shapeId="180244" r:id="rId23" name="Check Box 20">
              <controlPr defaultSize="0" autoFill="0" autoLine="0" autoPict="0">
                <anchor moveWithCells="1">
                  <from>
                    <xdr:col>4</xdr:col>
                    <xdr:colOff>180975</xdr:colOff>
                    <xdr:row>52</xdr:row>
                    <xdr:rowOff>28575</xdr:rowOff>
                  </from>
                  <to>
                    <xdr:col>4</xdr:col>
                    <xdr:colOff>400050</xdr:colOff>
                    <xdr:row>53</xdr:row>
                    <xdr:rowOff>0</xdr:rowOff>
                  </to>
                </anchor>
              </controlPr>
            </control>
          </mc:Choice>
        </mc:AlternateContent>
        <mc:AlternateContent xmlns:mc="http://schemas.openxmlformats.org/markup-compatibility/2006">
          <mc:Choice Requires="x14">
            <control shapeId="180245" r:id="rId24" name="Check Box 21">
              <controlPr defaultSize="0" autoFill="0" autoLine="0" autoPict="0">
                <anchor moveWithCells="1">
                  <from>
                    <xdr:col>4</xdr:col>
                    <xdr:colOff>180975</xdr:colOff>
                    <xdr:row>52</xdr:row>
                    <xdr:rowOff>28575</xdr:rowOff>
                  </from>
                  <to>
                    <xdr:col>4</xdr:col>
                    <xdr:colOff>400050</xdr:colOff>
                    <xdr:row>53</xdr:row>
                    <xdr:rowOff>0</xdr:rowOff>
                  </to>
                </anchor>
              </controlPr>
            </control>
          </mc:Choice>
        </mc:AlternateContent>
        <mc:AlternateContent xmlns:mc="http://schemas.openxmlformats.org/markup-compatibility/2006">
          <mc:Choice Requires="x14">
            <control shapeId="180246" r:id="rId25" name="Check Box 22">
              <controlPr defaultSize="0" autoFill="0" autoLine="0" autoPict="0">
                <anchor moveWithCells="1">
                  <from>
                    <xdr:col>4</xdr:col>
                    <xdr:colOff>180975</xdr:colOff>
                    <xdr:row>53</xdr:row>
                    <xdr:rowOff>28575</xdr:rowOff>
                  </from>
                  <to>
                    <xdr:col>4</xdr:col>
                    <xdr:colOff>400050</xdr:colOff>
                    <xdr:row>54</xdr:row>
                    <xdr:rowOff>0</xdr:rowOff>
                  </to>
                </anchor>
              </controlPr>
            </control>
          </mc:Choice>
        </mc:AlternateContent>
        <mc:AlternateContent xmlns:mc="http://schemas.openxmlformats.org/markup-compatibility/2006">
          <mc:Choice Requires="x14">
            <control shapeId="180247" r:id="rId26" name="Check Box 23">
              <controlPr defaultSize="0" autoFill="0" autoLine="0" autoPict="0">
                <anchor moveWithCells="1">
                  <from>
                    <xdr:col>4</xdr:col>
                    <xdr:colOff>180975</xdr:colOff>
                    <xdr:row>53</xdr:row>
                    <xdr:rowOff>28575</xdr:rowOff>
                  </from>
                  <to>
                    <xdr:col>4</xdr:col>
                    <xdr:colOff>400050</xdr:colOff>
                    <xdr:row>54</xdr:row>
                    <xdr:rowOff>0</xdr:rowOff>
                  </to>
                </anchor>
              </controlPr>
            </control>
          </mc:Choice>
        </mc:AlternateContent>
        <mc:AlternateContent xmlns:mc="http://schemas.openxmlformats.org/markup-compatibility/2006">
          <mc:Choice Requires="x14">
            <control shapeId="180248" r:id="rId27" name="Check Box 24">
              <controlPr defaultSize="0" autoFill="0" autoLine="0" autoPict="0">
                <anchor moveWithCells="1">
                  <from>
                    <xdr:col>4</xdr:col>
                    <xdr:colOff>180975</xdr:colOff>
                    <xdr:row>54</xdr:row>
                    <xdr:rowOff>28575</xdr:rowOff>
                  </from>
                  <to>
                    <xdr:col>4</xdr:col>
                    <xdr:colOff>400050</xdr:colOff>
                    <xdr:row>55</xdr:row>
                    <xdr:rowOff>0</xdr:rowOff>
                  </to>
                </anchor>
              </controlPr>
            </control>
          </mc:Choice>
        </mc:AlternateContent>
        <mc:AlternateContent xmlns:mc="http://schemas.openxmlformats.org/markup-compatibility/2006">
          <mc:Choice Requires="x14">
            <control shapeId="180249" r:id="rId28" name="Check Box 25">
              <controlPr defaultSize="0" autoFill="0" autoLine="0" autoPict="0">
                <anchor moveWithCells="1">
                  <from>
                    <xdr:col>4</xdr:col>
                    <xdr:colOff>180975</xdr:colOff>
                    <xdr:row>54</xdr:row>
                    <xdr:rowOff>28575</xdr:rowOff>
                  </from>
                  <to>
                    <xdr:col>4</xdr:col>
                    <xdr:colOff>400050</xdr:colOff>
                    <xdr:row>55</xdr:row>
                    <xdr:rowOff>0</xdr:rowOff>
                  </to>
                </anchor>
              </controlPr>
            </control>
          </mc:Choice>
        </mc:AlternateContent>
        <mc:AlternateContent xmlns:mc="http://schemas.openxmlformats.org/markup-compatibility/2006">
          <mc:Choice Requires="x14">
            <control shapeId="180250" r:id="rId29" name="Check Box 26">
              <controlPr defaultSize="0" autoFill="0" autoLine="0" autoPict="0">
                <anchor moveWithCells="1">
                  <from>
                    <xdr:col>4</xdr:col>
                    <xdr:colOff>180975</xdr:colOff>
                    <xdr:row>55</xdr:row>
                    <xdr:rowOff>28575</xdr:rowOff>
                  </from>
                  <to>
                    <xdr:col>4</xdr:col>
                    <xdr:colOff>400050</xdr:colOff>
                    <xdr:row>56</xdr:row>
                    <xdr:rowOff>0</xdr:rowOff>
                  </to>
                </anchor>
              </controlPr>
            </control>
          </mc:Choice>
        </mc:AlternateContent>
        <mc:AlternateContent xmlns:mc="http://schemas.openxmlformats.org/markup-compatibility/2006">
          <mc:Choice Requires="x14">
            <control shapeId="180251" r:id="rId30" name="Check Box 27">
              <controlPr defaultSize="0" autoFill="0" autoLine="0" autoPict="0">
                <anchor moveWithCells="1">
                  <from>
                    <xdr:col>4</xdr:col>
                    <xdr:colOff>180975</xdr:colOff>
                    <xdr:row>55</xdr:row>
                    <xdr:rowOff>28575</xdr:rowOff>
                  </from>
                  <to>
                    <xdr:col>4</xdr:col>
                    <xdr:colOff>400050</xdr:colOff>
                    <xdr:row>56</xdr:row>
                    <xdr:rowOff>0</xdr:rowOff>
                  </to>
                </anchor>
              </controlPr>
            </control>
          </mc:Choice>
        </mc:AlternateContent>
        <mc:AlternateContent xmlns:mc="http://schemas.openxmlformats.org/markup-compatibility/2006">
          <mc:Choice Requires="x14">
            <control shapeId="180252" r:id="rId31" name="Check Box 28">
              <controlPr defaultSize="0" autoFill="0" autoLine="0" autoPict="0">
                <anchor moveWithCells="1">
                  <from>
                    <xdr:col>4</xdr:col>
                    <xdr:colOff>180975</xdr:colOff>
                    <xdr:row>56</xdr:row>
                    <xdr:rowOff>28575</xdr:rowOff>
                  </from>
                  <to>
                    <xdr:col>4</xdr:col>
                    <xdr:colOff>400050</xdr:colOff>
                    <xdr:row>57</xdr:row>
                    <xdr:rowOff>0</xdr:rowOff>
                  </to>
                </anchor>
              </controlPr>
            </control>
          </mc:Choice>
        </mc:AlternateContent>
        <mc:AlternateContent xmlns:mc="http://schemas.openxmlformats.org/markup-compatibility/2006">
          <mc:Choice Requires="x14">
            <control shapeId="180253" r:id="rId32" name="Check Box 29">
              <controlPr defaultSize="0" autoFill="0" autoLine="0" autoPict="0">
                <anchor moveWithCells="1">
                  <from>
                    <xdr:col>4</xdr:col>
                    <xdr:colOff>180975</xdr:colOff>
                    <xdr:row>56</xdr:row>
                    <xdr:rowOff>28575</xdr:rowOff>
                  </from>
                  <to>
                    <xdr:col>4</xdr:col>
                    <xdr:colOff>400050</xdr:colOff>
                    <xdr:row>57</xdr:row>
                    <xdr:rowOff>0</xdr:rowOff>
                  </to>
                </anchor>
              </controlPr>
            </control>
          </mc:Choice>
        </mc:AlternateContent>
        <mc:AlternateContent xmlns:mc="http://schemas.openxmlformats.org/markup-compatibility/2006">
          <mc:Choice Requires="x14">
            <control shapeId="180254" r:id="rId33" name="Check Box 30">
              <controlPr defaultSize="0" autoFill="0" autoLine="0" autoPict="0">
                <anchor moveWithCells="1">
                  <from>
                    <xdr:col>4</xdr:col>
                    <xdr:colOff>180975</xdr:colOff>
                    <xdr:row>57</xdr:row>
                    <xdr:rowOff>28575</xdr:rowOff>
                  </from>
                  <to>
                    <xdr:col>4</xdr:col>
                    <xdr:colOff>400050</xdr:colOff>
                    <xdr:row>58</xdr:row>
                    <xdr:rowOff>0</xdr:rowOff>
                  </to>
                </anchor>
              </controlPr>
            </control>
          </mc:Choice>
        </mc:AlternateContent>
        <mc:AlternateContent xmlns:mc="http://schemas.openxmlformats.org/markup-compatibility/2006">
          <mc:Choice Requires="x14">
            <control shapeId="180255" r:id="rId34" name="Check Box 31">
              <controlPr defaultSize="0" autoFill="0" autoLine="0" autoPict="0">
                <anchor moveWithCells="1">
                  <from>
                    <xdr:col>4</xdr:col>
                    <xdr:colOff>180975</xdr:colOff>
                    <xdr:row>57</xdr:row>
                    <xdr:rowOff>28575</xdr:rowOff>
                  </from>
                  <to>
                    <xdr:col>4</xdr:col>
                    <xdr:colOff>400050</xdr:colOff>
                    <xdr:row>58</xdr:row>
                    <xdr:rowOff>0</xdr:rowOff>
                  </to>
                </anchor>
              </controlPr>
            </control>
          </mc:Choice>
        </mc:AlternateContent>
        <mc:AlternateContent xmlns:mc="http://schemas.openxmlformats.org/markup-compatibility/2006">
          <mc:Choice Requires="x14">
            <control shapeId="180256" r:id="rId35" name="Check Box 32">
              <controlPr defaultSize="0" autoFill="0" autoLine="0" autoPict="0">
                <anchor moveWithCells="1">
                  <from>
                    <xdr:col>4</xdr:col>
                    <xdr:colOff>180975</xdr:colOff>
                    <xdr:row>58</xdr:row>
                    <xdr:rowOff>28575</xdr:rowOff>
                  </from>
                  <to>
                    <xdr:col>4</xdr:col>
                    <xdr:colOff>400050</xdr:colOff>
                    <xdr:row>59</xdr:row>
                    <xdr:rowOff>0</xdr:rowOff>
                  </to>
                </anchor>
              </controlPr>
            </control>
          </mc:Choice>
        </mc:AlternateContent>
        <mc:AlternateContent xmlns:mc="http://schemas.openxmlformats.org/markup-compatibility/2006">
          <mc:Choice Requires="x14">
            <control shapeId="180257" r:id="rId36" name="Check Box 33">
              <controlPr defaultSize="0" autoFill="0" autoLine="0" autoPict="0">
                <anchor moveWithCells="1">
                  <from>
                    <xdr:col>4</xdr:col>
                    <xdr:colOff>180975</xdr:colOff>
                    <xdr:row>58</xdr:row>
                    <xdr:rowOff>28575</xdr:rowOff>
                  </from>
                  <to>
                    <xdr:col>4</xdr:col>
                    <xdr:colOff>400050</xdr:colOff>
                    <xdr:row>59</xdr:row>
                    <xdr:rowOff>0</xdr:rowOff>
                  </to>
                </anchor>
              </controlPr>
            </control>
          </mc:Choice>
        </mc:AlternateContent>
        <mc:AlternateContent xmlns:mc="http://schemas.openxmlformats.org/markup-compatibility/2006">
          <mc:Choice Requires="x14">
            <control shapeId="180258" r:id="rId37" name="Check Box 34">
              <controlPr defaultSize="0" autoFill="0" autoLine="0" autoPict="0">
                <anchor moveWithCells="1">
                  <from>
                    <xdr:col>4</xdr:col>
                    <xdr:colOff>180975</xdr:colOff>
                    <xdr:row>59</xdr:row>
                    <xdr:rowOff>28575</xdr:rowOff>
                  </from>
                  <to>
                    <xdr:col>4</xdr:col>
                    <xdr:colOff>400050</xdr:colOff>
                    <xdr:row>60</xdr:row>
                    <xdr:rowOff>0</xdr:rowOff>
                  </to>
                </anchor>
              </controlPr>
            </control>
          </mc:Choice>
        </mc:AlternateContent>
        <mc:AlternateContent xmlns:mc="http://schemas.openxmlformats.org/markup-compatibility/2006">
          <mc:Choice Requires="x14">
            <control shapeId="180259" r:id="rId38" name="Check Box 35">
              <controlPr defaultSize="0" autoFill="0" autoLine="0" autoPict="0">
                <anchor moveWithCells="1">
                  <from>
                    <xdr:col>4</xdr:col>
                    <xdr:colOff>180975</xdr:colOff>
                    <xdr:row>59</xdr:row>
                    <xdr:rowOff>28575</xdr:rowOff>
                  </from>
                  <to>
                    <xdr:col>4</xdr:col>
                    <xdr:colOff>400050</xdr:colOff>
                    <xdr:row>60</xdr:row>
                    <xdr:rowOff>0</xdr:rowOff>
                  </to>
                </anchor>
              </controlPr>
            </control>
          </mc:Choice>
        </mc:AlternateContent>
        <mc:AlternateContent xmlns:mc="http://schemas.openxmlformats.org/markup-compatibility/2006">
          <mc:Choice Requires="x14">
            <control shapeId="180266" r:id="rId39" name="Check Box 42">
              <controlPr defaultSize="0" autoFill="0" autoLine="0" autoPict="0">
                <anchor moveWithCells="1">
                  <from>
                    <xdr:col>4</xdr:col>
                    <xdr:colOff>180975</xdr:colOff>
                    <xdr:row>61</xdr:row>
                    <xdr:rowOff>0</xdr:rowOff>
                  </from>
                  <to>
                    <xdr:col>4</xdr:col>
                    <xdr:colOff>400050</xdr:colOff>
                    <xdr:row>61</xdr:row>
                    <xdr:rowOff>161925</xdr:rowOff>
                  </to>
                </anchor>
              </controlPr>
            </control>
          </mc:Choice>
        </mc:AlternateContent>
        <mc:AlternateContent xmlns:mc="http://schemas.openxmlformats.org/markup-compatibility/2006">
          <mc:Choice Requires="x14">
            <control shapeId="180268" r:id="rId40" name="Check Box 44">
              <controlPr defaultSize="0" autoFill="0" autoLine="0" autoPict="0">
                <anchor moveWithCells="1">
                  <from>
                    <xdr:col>4</xdr:col>
                    <xdr:colOff>180975</xdr:colOff>
                    <xdr:row>61</xdr:row>
                    <xdr:rowOff>0</xdr:rowOff>
                  </from>
                  <to>
                    <xdr:col>4</xdr:col>
                    <xdr:colOff>400050</xdr:colOff>
                    <xdr:row>61</xdr:row>
                    <xdr:rowOff>161925</xdr:rowOff>
                  </to>
                </anchor>
              </controlPr>
            </control>
          </mc:Choice>
        </mc:AlternateContent>
        <mc:AlternateContent xmlns:mc="http://schemas.openxmlformats.org/markup-compatibility/2006">
          <mc:Choice Requires="x14">
            <control shapeId="180270" r:id="rId41" name="Check Box 46">
              <controlPr defaultSize="0" autoFill="0" autoLine="0" autoPict="0">
                <anchor moveWithCells="1">
                  <from>
                    <xdr:col>4</xdr:col>
                    <xdr:colOff>180975</xdr:colOff>
                    <xdr:row>61</xdr:row>
                    <xdr:rowOff>0</xdr:rowOff>
                  </from>
                  <to>
                    <xdr:col>4</xdr:col>
                    <xdr:colOff>400050</xdr:colOff>
                    <xdr:row>61</xdr:row>
                    <xdr:rowOff>161925</xdr:rowOff>
                  </to>
                </anchor>
              </controlPr>
            </control>
          </mc:Choice>
        </mc:AlternateContent>
        <mc:AlternateContent xmlns:mc="http://schemas.openxmlformats.org/markup-compatibility/2006">
          <mc:Choice Requires="x14">
            <control shapeId="180274" r:id="rId42" name="Check Box 50">
              <controlPr defaultSize="0" autoFill="0" autoLine="0" autoPict="0">
                <anchor moveWithCells="1">
                  <from>
                    <xdr:col>4</xdr:col>
                    <xdr:colOff>180975</xdr:colOff>
                    <xdr:row>63</xdr:row>
                    <xdr:rowOff>28575</xdr:rowOff>
                  </from>
                  <to>
                    <xdr:col>4</xdr:col>
                    <xdr:colOff>400050</xdr:colOff>
                    <xdr:row>64</xdr:row>
                    <xdr:rowOff>0</xdr:rowOff>
                  </to>
                </anchor>
              </controlPr>
            </control>
          </mc:Choice>
        </mc:AlternateContent>
        <mc:AlternateContent xmlns:mc="http://schemas.openxmlformats.org/markup-compatibility/2006">
          <mc:Choice Requires="x14">
            <control shapeId="180275" r:id="rId43" name="Check Box 51">
              <controlPr defaultSize="0" autoFill="0" autoLine="0" autoPict="0">
                <anchor moveWithCells="1">
                  <from>
                    <xdr:col>4</xdr:col>
                    <xdr:colOff>180975</xdr:colOff>
                    <xdr:row>64</xdr:row>
                    <xdr:rowOff>28575</xdr:rowOff>
                  </from>
                  <to>
                    <xdr:col>4</xdr:col>
                    <xdr:colOff>400050</xdr:colOff>
                    <xdr:row>65</xdr:row>
                    <xdr:rowOff>0</xdr:rowOff>
                  </to>
                </anchor>
              </controlPr>
            </control>
          </mc:Choice>
        </mc:AlternateContent>
        <mc:AlternateContent xmlns:mc="http://schemas.openxmlformats.org/markup-compatibility/2006">
          <mc:Choice Requires="x14">
            <control shapeId="180276" r:id="rId44" name="Check Box 52">
              <controlPr defaultSize="0" autoFill="0" autoLine="0" autoPict="0">
                <anchor moveWithCells="1">
                  <from>
                    <xdr:col>4</xdr:col>
                    <xdr:colOff>180975</xdr:colOff>
                    <xdr:row>64</xdr:row>
                    <xdr:rowOff>28575</xdr:rowOff>
                  </from>
                  <to>
                    <xdr:col>4</xdr:col>
                    <xdr:colOff>400050</xdr:colOff>
                    <xdr:row>65</xdr:row>
                    <xdr:rowOff>0</xdr:rowOff>
                  </to>
                </anchor>
              </controlPr>
            </control>
          </mc:Choice>
        </mc:AlternateContent>
        <mc:AlternateContent xmlns:mc="http://schemas.openxmlformats.org/markup-compatibility/2006">
          <mc:Choice Requires="x14">
            <control shapeId="180277" r:id="rId45" name="Check Box 53">
              <controlPr defaultSize="0" autoFill="0" autoLine="0" autoPict="0">
                <anchor moveWithCells="1">
                  <from>
                    <xdr:col>4</xdr:col>
                    <xdr:colOff>180975</xdr:colOff>
                    <xdr:row>66</xdr:row>
                    <xdr:rowOff>28575</xdr:rowOff>
                  </from>
                  <to>
                    <xdr:col>4</xdr:col>
                    <xdr:colOff>400050</xdr:colOff>
                    <xdr:row>67</xdr:row>
                    <xdr:rowOff>0</xdr:rowOff>
                  </to>
                </anchor>
              </controlPr>
            </control>
          </mc:Choice>
        </mc:AlternateContent>
        <mc:AlternateContent xmlns:mc="http://schemas.openxmlformats.org/markup-compatibility/2006">
          <mc:Choice Requires="x14">
            <control shapeId="180278" r:id="rId46" name="Check Box 54">
              <controlPr defaultSize="0" autoFill="0" autoLine="0" autoPict="0">
                <anchor moveWithCells="1">
                  <from>
                    <xdr:col>4</xdr:col>
                    <xdr:colOff>180975</xdr:colOff>
                    <xdr:row>67</xdr:row>
                    <xdr:rowOff>28575</xdr:rowOff>
                  </from>
                  <to>
                    <xdr:col>4</xdr:col>
                    <xdr:colOff>400050</xdr:colOff>
                    <xdr:row>68</xdr:row>
                    <xdr:rowOff>0</xdr:rowOff>
                  </to>
                </anchor>
              </controlPr>
            </control>
          </mc:Choice>
        </mc:AlternateContent>
        <mc:AlternateContent xmlns:mc="http://schemas.openxmlformats.org/markup-compatibility/2006">
          <mc:Choice Requires="x14">
            <control shapeId="180279" r:id="rId47" name="Check Box 55">
              <controlPr defaultSize="0" autoFill="0" autoLine="0" autoPict="0">
                <anchor moveWithCells="1">
                  <from>
                    <xdr:col>4</xdr:col>
                    <xdr:colOff>180975</xdr:colOff>
                    <xdr:row>68</xdr:row>
                    <xdr:rowOff>28575</xdr:rowOff>
                  </from>
                  <to>
                    <xdr:col>4</xdr:col>
                    <xdr:colOff>400050</xdr:colOff>
                    <xdr:row>69</xdr:row>
                    <xdr:rowOff>0</xdr:rowOff>
                  </to>
                </anchor>
              </controlPr>
            </control>
          </mc:Choice>
        </mc:AlternateContent>
        <mc:AlternateContent xmlns:mc="http://schemas.openxmlformats.org/markup-compatibility/2006">
          <mc:Choice Requires="x14">
            <control shapeId="180280" r:id="rId48" name="Check Box 56">
              <controlPr defaultSize="0" autoFill="0" autoLine="0" autoPict="0">
                <anchor moveWithCells="1">
                  <from>
                    <xdr:col>4</xdr:col>
                    <xdr:colOff>180975</xdr:colOff>
                    <xdr:row>69</xdr:row>
                    <xdr:rowOff>28575</xdr:rowOff>
                  </from>
                  <to>
                    <xdr:col>4</xdr:col>
                    <xdr:colOff>400050</xdr:colOff>
                    <xdr:row>70</xdr:row>
                    <xdr:rowOff>0</xdr:rowOff>
                  </to>
                </anchor>
              </controlPr>
            </control>
          </mc:Choice>
        </mc:AlternateContent>
        <mc:AlternateContent xmlns:mc="http://schemas.openxmlformats.org/markup-compatibility/2006">
          <mc:Choice Requires="x14">
            <control shapeId="180281" r:id="rId49" name="Check Box 57">
              <controlPr defaultSize="0" autoFill="0" autoLine="0" autoPict="0">
                <anchor moveWithCells="1">
                  <from>
                    <xdr:col>4</xdr:col>
                    <xdr:colOff>180975</xdr:colOff>
                    <xdr:row>70</xdr:row>
                    <xdr:rowOff>28575</xdr:rowOff>
                  </from>
                  <to>
                    <xdr:col>4</xdr:col>
                    <xdr:colOff>400050</xdr:colOff>
                    <xdr:row>71</xdr:row>
                    <xdr:rowOff>0</xdr:rowOff>
                  </to>
                </anchor>
              </controlPr>
            </control>
          </mc:Choice>
        </mc:AlternateContent>
        <mc:AlternateContent xmlns:mc="http://schemas.openxmlformats.org/markup-compatibility/2006">
          <mc:Choice Requires="x14">
            <control shapeId="180282" r:id="rId50" name="Check Box 58">
              <controlPr defaultSize="0" autoFill="0" autoLine="0" autoPict="0">
                <anchor moveWithCells="1">
                  <from>
                    <xdr:col>4</xdr:col>
                    <xdr:colOff>180975</xdr:colOff>
                    <xdr:row>71</xdr:row>
                    <xdr:rowOff>28575</xdr:rowOff>
                  </from>
                  <to>
                    <xdr:col>4</xdr:col>
                    <xdr:colOff>400050</xdr:colOff>
                    <xdr:row>72</xdr:row>
                    <xdr:rowOff>0</xdr:rowOff>
                  </to>
                </anchor>
              </controlPr>
            </control>
          </mc:Choice>
        </mc:AlternateContent>
        <mc:AlternateContent xmlns:mc="http://schemas.openxmlformats.org/markup-compatibility/2006">
          <mc:Choice Requires="x14">
            <control shapeId="180283" r:id="rId51" name="Check Box 59">
              <controlPr defaultSize="0" autoFill="0" autoLine="0" autoPict="0">
                <anchor moveWithCells="1">
                  <from>
                    <xdr:col>4</xdr:col>
                    <xdr:colOff>180975</xdr:colOff>
                    <xdr:row>72</xdr:row>
                    <xdr:rowOff>28575</xdr:rowOff>
                  </from>
                  <to>
                    <xdr:col>4</xdr:col>
                    <xdr:colOff>400050</xdr:colOff>
                    <xdr:row>73</xdr:row>
                    <xdr:rowOff>0</xdr:rowOff>
                  </to>
                </anchor>
              </controlPr>
            </control>
          </mc:Choice>
        </mc:AlternateContent>
        <mc:AlternateContent xmlns:mc="http://schemas.openxmlformats.org/markup-compatibility/2006">
          <mc:Choice Requires="x14">
            <control shapeId="180286" r:id="rId52" name="Check Box 62">
              <controlPr defaultSize="0" autoFill="0" autoLine="0" autoPict="0">
                <anchor moveWithCells="1">
                  <from>
                    <xdr:col>4</xdr:col>
                    <xdr:colOff>180975</xdr:colOff>
                    <xdr:row>73</xdr:row>
                    <xdr:rowOff>38100</xdr:rowOff>
                  </from>
                  <to>
                    <xdr:col>4</xdr:col>
                    <xdr:colOff>400050</xdr:colOff>
                    <xdr:row>74</xdr:row>
                    <xdr:rowOff>9525</xdr:rowOff>
                  </to>
                </anchor>
              </controlPr>
            </control>
          </mc:Choice>
        </mc:AlternateContent>
        <mc:AlternateContent xmlns:mc="http://schemas.openxmlformats.org/markup-compatibility/2006">
          <mc:Choice Requires="x14">
            <control shapeId="180299" r:id="rId53" name="Check Box 75">
              <controlPr defaultSize="0" autoFill="0" autoLine="0" autoPict="0">
                <anchor moveWithCells="1" sizeWithCells="1">
                  <from>
                    <xdr:col>4</xdr:col>
                    <xdr:colOff>180975</xdr:colOff>
                    <xdr:row>7</xdr:row>
                    <xdr:rowOff>0</xdr:rowOff>
                  </from>
                  <to>
                    <xdr:col>4</xdr:col>
                    <xdr:colOff>400050</xdr:colOff>
                    <xdr:row>8</xdr:row>
                    <xdr:rowOff>0</xdr:rowOff>
                  </to>
                </anchor>
              </controlPr>
            </control>
          </mc:Choice>
        </mc:AlternateContent>
        <mc:AlternateContent xmlns:mc="http://schemas.openxmlformats.org/markup-compatibility/2006">
          <mc:Choice Requires="x14">
            <control shapeId="180302" r:id="rId54" name="Check Box 78">
              <controlPr defaultSize="0" autoFill="0" autoLine="0" autoPict="0">
                <anchor moveWithCells="1">
                  <from>
                    <xdr:col>4</xdr:col>
                    <xdr:colOff>180975</xdr:colOff>
                    <xdr:row>27</xdr:row>
                    <xdr:rowOff>28575</xdr:rowOff>
                  </from>
                  <to>
                    <xdr:col>4</xdr:col>
                    <xdr:colOff>400050</xdr:colOff>
                    <xdr:row>28</xdr:row>
                    <xdr:rowOff>0</xdr:rowOff>
                  </to>
                </anchor>
              </controlPr>
            </control>
          </mc:Choice>
        </mc:AlternateContent>
        <mc:AlternateContent xmlns:mc="http://schemas.openxmlformats.org/markup-compatibility/2006">
          <mc:Choice Requires="x14">
            <control shapeId="180303" r:id="rId55" name="Check Box 79">
              <controlPr defaultSize="0" autoFill="0" autoLine="0" autoPict="0">
                <anchor moveWithCells="1">
                  <from>
                    <xdr:col>4</xdr:col>
                    <xdr:colOff>180975</xdr:colOff>
                    <xdr:row>30</xdr:row>
                    <xdr:rowOff>28575</xdr:rowOff>
                  </from>
                  <to>
                    <xdr:col>4</xdr:col>
                    <xdr:colOff>400050</xdr:colOff>
                    <xdr:row>31</xdr:row>
                    <xdr:rowOff>0</xdr:rowOff>
                  </to>
                </anchor>
              </controlPr>
            </control>
          </mc:Choice>
        </mc:AlternateContent>
        <mc:AlternateContent xmlns:mc="http://schemas.openxmlformats.org/markup-compatibility/2006">
          <mc:Choice Requires="x14">
            <control shapeId="180304" r:id="rId56" name="Check Box 80">
              <controlPr defaultSize="0" autoFill="0" autoLine="0" autoPict="0">
                <anchor moveWithCells="1">
                  <from>
                    <xdr:col>4</xdr:col>
                    <xdr:colOff>180975</xdr:colOff>
                    <xdr:row>33</xdr:row>
                    <xdr:rowOff>28575</xdr:rowOff>
                  </from>
                  <to>
                    <xdr:col>4</xdr:col>
                    <xdr:colOff>400050</xdr:colOff>
                    <xdr:row>34</xdr:row>
                    <xdr:rowOff>0</xdr:rowOff>
                  </to>
                </anchor>
              </controlPr>
            </control>
          </mc:Choice>
        </mc:AlternateContent>
        <mc:AlternateContent xmlns:mc="http://schemas.openxmlformats.org/markup-compatibility/2006">
          <mc:Choice Requires="x14">
            <control shapeId="180305" r:id="rId57" name="Check Box 81">
              <controlPr defaultSize="0" autoFill="0" autoLine="0" autoPict="0">
                <anchor moveWithCells="1">
                  <from>
                    <xdr:col>4</xdr:col>
                    <xdr:colOff>180975</xdr:colOff>
                    <xdr:row>28</xdr:row>
                    <xdr:rowOff>28575</xdr:rowOff>
                  </from>
                  <to>
                    <xdr:col>4</xdr:col>
                    <xdr:colOff>400050</xdr:colOff>
                    <xdr:row>29</xdr:row>
                    <xdr:rowOff>0</xdr:rowOff>
                  </to>
                </anchor>
              </controlPr>
            </control>
          </mc:Choice>
        </mc:AlternateContent>
        <mc:AlternateContent xmlns:mc="http://schemas.openxmlformats.org/markup-compatibility/2006">
          <mc:Choice Requires="x14">
            <control shapeId="180306" r:id="rId58" name="Check Box 82">
              <controlPr defaultSize="0" autoFill="0" autoLine="0" autoPict="0">
                <anchor moveWithCells="1">
                  <from>
                    <xdr:col>4</xdr:col>
                    <xdr:colOff>180975</xdr:colOff>
                    <xdr:row>29</xdr:row>
                    <xdr:rowOff>28575</xdr:rowOff>
                  </from>
                  <to>
                    <xdr:col>4</xdr:col>
                    <xdr:colOff>400050</xdr:colOff>
                    <xdr:row>30</xdr:row>
                    <xdr:rowOff>0</xdr:rowOff>
                  </to>
                </anchor>
              </controlPr>
            </control>
          </mc:Choice>
        </mc:AlternateContent>
        <mc:AlternateContent xmlns:mc="http://schemas.openxmlformats.org/markup-compatibility/2006">
          <mc:Choice Requires="x14">
            <control shapeId="180307" r:id="rId59" name="Check Box 83">
              <controlPr defaultSize="0" autoFill="0" autoLine="0" autoPict="0">
                <anchor moveWithCells="1">
                  <from>
                    <xdr:col>4</xdr:col>
                    <xdr:colOff>180975</xdr:colOff>
                    <xdr:row>31</xdr:row>
                    <xdr:rowOff>28575</xdr:rowOff>
                  </from>
                  <to>
                    <xdr:col>4</xdr:col>
                    <xdr:colOff>400050</xdr:colOff>
                    <xdr:row>32</xdr:row>
                    <xdr:rowOff>0</xdr:rowOff>
                  </to>
                </anchor>
              </controlPr>
            </control>
          </mc:Choice>
        </mc:AlternateContent>
        <mc:AlternateContent xmlns:mc="http://schemas.openxmlformats.org/markup-compatibility/2006">
          <mc:Choice Requires="x14">
            <control shapeId="180308" r:id="rId60" name="Check Box 84">
              <controlPr defaultSize="0" autoFill="0" autoLine="0" autoPict="0">
                <anchor moveWithCells="1">
                  <from>
                    <xdr:col>4</xdr:col>
                    <xdr:colOff>180975</xdr:colOff>
                    <xdr:row>32</xdr:row>
                    <xdr:rowOff>28575</xdr:rowOff>
                  </from>
                  <to>
                    <xdr:col>4</xdr:col>
                    <xdr:colOff>400050</xdr:colOff>
                    <xdr:row>33</xdr:row>
                    <xdr:rowOff>0</xdr:rowOff>
                  </to>
                </anchor>
              </controlPr>
            </control>
          </mc:Choice>
        </mc:AlternateContent>
        <mc:AlternateContent xmlns:mc="http://schemas.openxmlformats.org/markup-compatibility/2006">
          <mc:Choice Requires="x14">
            <control shapeId="180309" r:id="rId61" name="Check Box 85">
              <controlPr defaultSize="0" autoFill="0" autoLine="0" autoPict="0">
                <anchor moveWithCells="1">
                  <from>
                    <xdr:col>4</xdr:col>
                    <xdr:colOff>180975</xdr:colOff>
                    <xdr:row>34</xdr:row>
                    <xdr:rowOff>28575</xdr:rowOff>
                  </from>
                  <to>
                    <xdr:col>4</xdr:col>
                    <xdr:colOff>400050</xdr:colOff>
                    <xdr:row>35</xdr:row>
                    <xdr:rowOff>0</xdr:rowOff>
                  </to>
                </anchor>
              </controlPr>
            </control>
          </mc:Choice>
        </mc:AlternateContent>
        <mc:AlternateContent xmlns:mc="http://schemas.openxmlformats.org/markup-compatibility/2006">
          <mc:Choice Requires="x14">
            <control shapeId="180310" r:id="rId62" name="Check Box 86">
              <controlPr defaultSize="0" autoFill="0" autoLine="0" autoPict="0">
                <anchor moveWithCells="1">
                  <from>
                    <xdr:col>4</xdr:col>
                    <xdr:colOff>180975</xdr:colOff>
                    <xdr:row>35</xdr:row>
                    <xdr:rowOff>28575</xdr:rowOff>
                  </from>
                  <to>
                    <xdr:col>4</xdr:col>
                    <xdr:colOff>400050</xdr:colOff>
                    <xdr:row>36</xdr:row>
                    <xdr:rowOff>0</xdr:rowOff>
                  </to>
                </anchor>
              </controlPr>
            </control>
          </mc:Choice>
        </mc:AlternateContent>
        <mc:AlternateContent xmlns:mc="http://schemas.openxmlformats.org/markup-compatibility/2006">
          <mc:Choice Requires="x14">
            <control shapeId="180311" r:id="rId63" name="Check Box 87">
              <controlPr defaultSize="0" autoFill="0" autoLine="0" autoPict="0">
                <anchor moveWithCells="1">
                  <from>
                    <xdr:col>4</xdr:col>
                    <xdr:colOff>180975</xdr:colOff>
                    <xdr:row>36</xdr:row>
                    <xdr:rowOff>28575</xdr:rowOff>
                  </from>
                  <to>
                    <xdr:col>4</xdr:col>
                    <xdr:colOff>400050</xdr:colOff>
                    <xdr:row>37</xdr:row>
                    <xdr:rowOff>0</xdr:rowOff>
                  </to>
                </anchor>
              </controlPr>
            </control>
          </mc:Choice>
        </mc:AlternateContent>
        <mc:AlternateContent xmlns:mc="http://schemas.openxmlformats.org/markup-compatibility/2006">
          <mc:Choice Requires="x14">
            <control shapeId="180312" r:id="rId64" name="Check Box 88">
              <controlPr defaultSize="0" autoFill="0" autoLine="0" autoPict="0">
                <anchor moveWithCells="1">
                  <from>
                    <xdr:col>4</xdr:col>
                    <xdr:colOff>180975</xdr:colOff>
                    <xdr:row>37</xdr:row>
                    <xdr:rowOff>28575</xdr:rowOff>
                  </from>
                  <to>
                    <xdr:col>4</xdr:col>
                    <xdr:colOff>400050</xdr:colOff>
                    <xdr:row>38</xdr:row>
                    <xdr:rowOff>0</xdr:rowOff>
                  </to>
                </anchor>
              </controlPr>
            </control>
          </mc:Choice>
        </mc:AlternateContent>
        <mc:AlternateContent xmlns:mc="http://schemas.openxmlformats.org/markup-compatibility/2006">
          <mc:Choice Requires="x14">
            <control shapeId="180313" r:id="rId65" name="Check Box 89">
              <controlPr defaultSize="0" autoFill="0" autoLine="0" autoPict="0">
                <anchor moveWithCells="1">
                  <from>
                    <xdr:col>4</xdr:col>
                    <xdr:colOff>180975</xdr:colOff>
                    <xdr:row>38</xdr:row>
                    <xdr:rowOff>28575</xdr:rowOff>
                  </from>
                  <to>
                    <xdr:col>4</xdr:col>
                    <xdr:colOff>400050</xdr:colOff>
                    <xdr:row>39</xdr:row>
                    <xdr:rowOff>0</xdr:rowOff>
                  </to>
                </anchor>
              </controlPr>
            </control>
          </mc:Choice>
        </mc:AlternateContent>
        <mc:AlternateContent xmlns:mc="http://schemas.openxmlformats.org/markup-compatibility/2006">
          <mc:Choice Requires="x14">
            <control shapeId="180314" r:id="rId66" name="Check Box 90">
              <controlPr defaultSize="0" autoFill="0" autoLine="0" autoPict="0">
                <anchor moveWithCells="1">
                  <from>
                    <xdr:col>4</xdr:col>
                    <xdr:colOff>180975</xdr:colOff>
                    <xdr:row>40</xdr:row>
                    <xdr:rowOff>28575</xdr:rowOff>
                  </from>
                  <to>
                    <xdr:col>4</xdr:col>
                    <xdr:colOff>400050</xdr:colOff>
                    <xdr:row>41</xdr:row>
                    <xdr:rowOff>0</xdr:rowOff>
                  </to>
                </anchor>
              </controlPr>
            </control>
          </mc:Choice>
        </mc:AlternateContent>
        <mc:AlternateContent xmlns:mc="http://schemas.openxmlformats.org/markup-compatibility/2006">
          <mc:Choice Requires="x14">
            <control shapeId="180315" r:id="rId67" name="Check Box 91">
              <controlPr defaultSize="0" autoFill="0" autoLine="0" autoPict="0">
                <anchor moveWithCells="1">
                  <from>
                    <xdr:col>4</xdr:col>
                    <xdr:colOff>180975</xdr:colOff>
                    <xdr:row>41</xdr:row>
                    <xdr:rowOff>28575</xdr:rowOff>
                  </from>
                  <to>
                    <xdr:col>4</xdr:col>
                    <xdr:colOff>400050</xdr:colOff>
                    <xdr:row>42</xdr:row>
                    <xdr:rowOff>0</xdr:rowOff>
                  </to>
                </anchor>
              </controlPr>
            </control>
          </mc:Choice>
        </mc:AlternateContent>
        <mc:AlternateContent xmlns:mc="http://schemas.openxmlformats.org/markup-compatibility/2006">
          <mc:Choice Requires="x14">
            <control shapeId="180316" r:id="rId68" name="Check Box 92">
              <controlPr defaultSize="0" autoFill="0" autoLine="0" autoPict="0">
                <anchor moveWithCells="1">
                  <from>
                    <xdr:col>4</xdr:col>
                    <xdr:colOff>180975</xdr:colOff>
                    <xdr:row>42</xdr:row>
                    <xdr:rowOff>28575</xdr:rowOff>
                  </from>
                  <to>
                    <xdr:col>4</xdr:col>
                    <xdr:colOff>400050</xdr:colOff>
                    <xdr:row>43</xdr:row>
                    <xdr:rowOff>0</xdr:rowOff>
                  </to>
                </anchor>
              </controlPr>
            </control>
          </mc:Choice>
        </mc:AlternateContent>
        <mc:AlternateContent xmlns:mc="http://schemas.openxmlformats.org/markup-compatibility/2006">
          <mc:Choice Requires="x14">
            <control shapeId="180317" r:id="rId69" name="Check Box 93">
              <controlPr defaultSize="0" autoFill="0" autoLine="0" autoPict="0">
                <anchor moveWithCells="1">
                  <from>
                    <xdr:col>4</xdr:col>
                    <xdr:colOff>180975</xdr:colOff>
                    <xdr:row>43</xdr:row>
                    <xdr:rowOff>28575</xdr:rowOff>
                  </from>
                  <to>
                    <xdr:col>4</xdr:col>
                    <xdr:colOff>400050</xdr:colOff>
                    <xdr:row>44</xdr:row>
                    <xdr:rowOff>0</xdr:rowOff>
                  </to>
                </anchor>
              </controlPr>
            </control>
          </mc:Choice>
        </mc:AlternateContent>
        <mc:AlternateContent xmlns:mc="http://schemas.openxmlformats.org/markup-compatibility/2006">
          <mc:Choice Requires="x14">
            <control shapeId="180318" r:id="rId70" name="Button 94">
              <controlPr defaultSize="0" print="0" autoFill="0" autoPict="0" macro="[0]!Button94_Click">
                <anchor moveWithCells="1" sizeWithCells="1">
                  <from>
                    <xdr:col>3</xdr:col>
                    <xdr:colOff>1952625</xdr:colOff>
                    <xdr:row>78</xdr:row>
                    <xdr:rowOff>9525</xdr:rowOff>
                  </from>
                  <to>
                    <xdr:col>3</xdr:col>
                    <xdr:colOff>3143250</xdr:colOff>
                    <xdr:row>79</xdr:row>
                    <xdr:rowOff>0</xdr:rowOff>
                  </to>
                </anchor>
              </controlPr>
            </control>
          </mc:Choice>
        </mc:AlternateContent>
        <mc:AlternateContent xmlns:mc="http://schemas.openxmlformats.org/markup-compatibility/2006">
          <mc:Choice Requires="x14">
            <control shapeId="180319" r:id="rId71" name="Button 95">
              <controlPr defaultSize="0" print="0" autoFill="0" autoPict="0" macro="[0]!Button95_Click">
                <anchor moveWithCells="1" sizeWithCells="1">
                  <from>
                    <xdr:col>3</xdr:col>
                    <xdr:colOff>1952625</xdr:colOff>
                    <xdr:row>79</xdr:row>
                    <xdr:rowOff>9525</xdr:rowOff>
                  </from>
                  <to>
                    <xdr:col>3</xdr:col>
                    <xdr:colOff>3143250</xdr:colOff>
                    <xdr:row>80</xdr:row>
                    <xdr:rowOff>0</xdr:rowOff>
                  </to>
                </anchor>
              </controlPr>
            </control>
          </mc:Choice>
        </mc:AlternateContent>
        <mc:AlternateContent xmlns:mc="http://schemas.openxmlformats.org/markup-compatibility/2006">
          <mc:Choice Requires="x14">
            <control shapeId="180320" r:id="rId72" name="Button 96">
              <controlPr defaultSize="0" print="0" autoFill="0" autoPict="0" macro="[0]!Button96_Click">
                <anchor moveWithCells="1" sizeWithCells="1">
                  <from>
                    <xdr:col>3</xdr:col>
                    <xdr:colOff>1952625</xdr:colOff>
                    <xdr:row>80</xdr:row>
                    <xdr:rowOff>9525</xdr:rowOff>
                  </from>
                  <to>
                    <xdr:col>3</xdr:col>
                    <xdr:colOff>3143250</xdr:colOff>
                    <xdr:row>81</xdr:row>
                    <xdr:rowOff>0</xdr:rowOff>
                  </to>
                </anchor>
              </controlPr>
            </control>
          </mc:Choice>
        </mc:AlternateContent>
        <mc:AlternateContent xmlns:mc="http://schemas.openxmlformats.org/markup-compatibility/2006">
          <mc:Choice Requires="x14">
            <control shapeId="180321" r:id="rId73" name="Button 97">
              <controlPr defaultSize="0" print="0" autoFill="0" autoPict="0" macro="[0]!Button97_Click">
                <anchor moveWithCells="1" sizeWithCells="1">
                  <from>
                    <xdr:col>3</xdr:col>
                    <xdr:colOff>1952625</xdr:colOff>
                    <xdr:row>81</xdr:row>
                    <xdr:rowOff>9525</xdr:rowOff>
                  </from>
                  <to>
                    <xdr:col>3</xdr:col>
                    <xdr:colOff>3143250</xdr:colOff>
                    <xdr:row>82</xdr:row>
                    <xdr:rowOff>0</xdr:rowOff>
                  </to>
                </anchor>
              </controlPr>
            </control>
          </mc:Choice>
        </mc:AlternateContent>
        <mc:AlternateContent xmlns:mc="http://schemas.openxmlformats.org/markup-compatibility/2006">
          <mc:Choice Requires="x14">
            <control shapeId="180322" r:id="rId74" name="Button 98">
              <controlPr defaultSize="0" print="0" autoFill="0" autoPict="0" macro="[0]!Button98_Click">
                <anchor moveWithCells="1" sizeWithCells="1">
                  <from>
                    <xdr:col>3</xdr:col>
                    <xdr:colOff>1952625</xdr:colOff>
                    <xdr:row>82</xdr:row>
                    <xdr:rowOff>9525</xdr:rowOff>
                  </from>
                  <to>
                    <xdr:col>3</xdr:col>
                    <xdr:colOff>3143250</xdr:colOff>
                    <xdr:row>83</xdr:row>
                    <xdr:rowOff>0</xdr:rowOff>
                  </to>
                </anchor>
              </controlPr>
            </control>
          </mc:Choice>
        </mc:AlternateContent>
        <mc:AlternateContent xmlns:mc="http://schemas.openxmlformats.org/markup-compatibility/2006">
          <mc:Choice Requires="x14">
            <control shapeId="180323" r:id="rId75" name="Button 99">
              <controlPr defaultSize="0" print="0" autoFill="0" autoPict="0" macro="[0]!Button99_Click">
                <anchor moveWithCells="1" sizeWithCells="1">
                  <from>
                    <xdr:col>3</xdr:col>
                    <xdr:colOff>1952625</xdr:colOff>
                    <xdr:row>77</xdr:row>
                    <xdr:rowOff>9525</xdr:rowOff>
                  </from>
                  <to>
                    <xdr:col>3</xdr:col>
                    <xdr:colOff>3143250</xdr:colOff>
                    <xdr:row>78</xdr:row>
                    <xdr:rowOff>0</xdr:rowOff>
                  </to>
                </anchor>
              </controlPr>
            </control>
          </mc:Choice>
        </mc:AlternateContent>
        <mc:AlternateContent xmlns:mc="http://schemas.openxmlformats.org/markup-compatibility/2006">
          <mc:Choice Requires="x14">
            <control shapeId="180325" r:id="rId76" name="Button 101">
              <controlPr defaultSize="0" print="0" autoFill="0" autoPict="0" macro="[0]!Button101_Click">
                <anchor moveWithCells="1" sizeWithCells="1">
                  <from>
                    <xdr:col>7</xdr:col>
                    <xdr:colOff>190500</xdr:colOff>
                    <xdr:row>77</xdr:row>
                    <xdr:rowOff>9525</xdr:rowOff>
                  </from>
                  <to>
                    <xdr:col>8</xdr:col>
                    <xdr:colOff>190500</xdr:colOff>
                    <xdr:row>77</xdr:row>
                    <xdr:rowOff>190500</xdr:rowOff>
                  </to>
                </anchor>
              </controlPr>
            </control>
          </mc:Choice>
        </mc:AlternateContent>
        <mc:AlternateContent xmlns:mc="http://schemas.openxmlformats.org/markup-compatibility/2006">
          <mc:Choice Requires="x14">
            <control shapeId="180326" r:id="rId77" name="Button 102">
              <controlPr defaultSize="0" print="0" autoFill="0" autoPict="0" macro="[0]!Button102_Click">
                <anchor moveWithCells="1" sizeWithCells="1">
                  <from>
                    <xdr:col>7</xdr:col>
                    <xdr:colOff>190500</xdr:colOff>
                    <xdr:row>78</xdr:row>
                    <xdr:rowOff>9525</xdr:rowOff>
                  </from>
                  <to>
                    <xdr:col>8</xdr:col>
                    <xdr:colOff>190500</xdr:colOff>
                    <xdr:row>78</xdr:row>
                    <xdr:rowOff>190500</xdr:rowOff>
                  </to>
                </anchor>
              </controlPr>
            </control>
          </mc:Choice>
        </mc:AlternateContent>
        <mc:AlternateContent xmlns:mc="http://schemas.openxmlformats.org/markup-compatibility/2006">
          <mc:Choice Requires="x14">
            <control shapeId="180327" r:id="rId78" name="Button 103">
              <controlPr defaultSize="0" print="0" autoFill="0" autoPict="0" macro="[0]!Button103_Click">
                <anchor moveWithCells="1" sizeWithCells="1">
                  <from>
                    <xdr:col>7</xdr:col>
                    <xdr:colOff>190500</xdr:colOff>
                    <xdr:row>79</xdr:row>
                    <xdr:rowOff>9525</xdr:rowOff>
                  </from>
                  <to>
                    <xdr:col>8</xdr:col>
                    <xdr:colOff>190500</xdr:colOff>
                    <xdr:row>79</xdr:row>
                    <xdr:rowOff>180975</xdr:rowOff>
                  </to>
                </anchor>
              </controlPr>
            </control>
          </mc:Choice>
        </mc:AlternateContent>
        <mc:AlternateContent xmlns:mc="http://schemas.openxmlformats.org/markup-compatibility/2006">
          <mc:Choice Requires="x14">
            <control shapeId="180328" r:id="rId79" name="Button 104">
              <controlPr defaultSize="0" print="0" autoFill="0" autoPict="0" macro="[0]!Button104_Click">
                <anchor moveWithCells="1" sizeWithCells="1">
                  <from>
                    <xdr:col>7</xdr:col>
                    <xdr:colOff>190500</xdr:colOff>
                    <xdr:row>80</xdr:row>
                    <xdr:rowOff>0</xdr:rowOff>
                  </from>
                  <to>
                    <xdr:col>8</xdr:col>
                    <xdr:colOff>190500</xdr:colOff>
                    <xdr:row>80</xdr:row>
                    <xdr:rowOff>180975</xdr:rowOff>
                  </to>
                </anchor>
              </controlPr>
            </control>
          </mc:Choice>
        </mc:AlternateContent>
        <mc:AlternateContent xmlns:mc="http://schemas.openxmlformats.org/markup-compatibility/2006">
          <mc:Choice Requires="x14">
            <control shapeId="180329" r:id="rId80" name="Button 105">
              <controlPr defaultSize="0" print="0" autoFill="0" autoPict="0" macro="[0]!Button105_Click">
                <anchor moveWithCells="1" sizeWithCells="1">
                  <from>
                    <xdr:col>7</xdr:col>
                    <xdr:colOff>190500</xdr:colOff>
                    <xdr:row>81</xdr:row>
                    <xdr:rowOff>0</xdr:rowOff>
                  </from>
                  <to>
                    <xdr:col>8</xdr:col>
                    <xdr:colOff>190500</xdr:colOff>
                    <xdr:row>81</xdr:row>
                    <xdr:rowOff>180975</xdr:rowOff>
                  </to>
                </anchor>
              </controlPr>
            </control>
          </mc:Choice>
        </mc:AlternateContent>
        <mc:AlternateContent xmlns:mc="http://schemas.openxmlformats.org/markup-compatibility/2006">
          <mc:Choice Requires="x14">
            <control shapeId="180331" r:id="rId81" name="Button 107">
              <controlPr defaultSize="0" print="0" autoFill="0" autoPict="0" macro="[0]!Button107_Click">
                <anchor moveWithCells="1" sizeWithCells="1">
                  <from>
                    <xdr:col>7</xdr:col>
                    <xdr:colOff>190500</xdr:colOff>
                    <xdr:row>82</xdr:row>
                    <xdr:rowOff>0</xdr:rowOff>
                  </from>
                  <to>
                    <xdr:col>8</xdr:col>
                    <xdr:colOff>190500</xdr:colOff>
                    <xdr:row>82</xdr:row>
                    <xdr:rowOff>180975</xdr:rowOff>
                  </to>
                </anchor>
              </controlPr>
            </control>
          </mc:Choice>
        </mc:AlternateContent>
        <mc:AlternateContent xmlns:mc="http://schemas.openxmlformats.org/markup-compatibility/2006">
          <mc:Choice Requires="x14">
            <control shapeId="180332" r:id="rId82" name="Button 108">
              <controlPr defaultSize="0" print="0" autoFill="0" autoPict="0" macro="[0]!Button108_Click">
                <anchor moveWithCells="1" sizeWithCells="1">
                  <from>
                    <xdr:col>3</xdr:col>
                    <xdr:colOff>1952625</xdr:colOff>
                    <xdr:row>83</xdr:row>
                    <xdr:rowOff>9525</xdr:rowOff>
                  </from>
                  <to>
                    <xdr:col>3</xdr:col>
                    <xdr:colOff>3143250</xdr:colOff>
                    <xdr:row>84</xdr:row>
                    <xdr:rowOff>0</xdr:rowOff>
                  </to>
                </anchor>
              </controlPr>
            </control>
          </mc:Choice>
        </mc:AlternateContent>
        <mc:AlternateContent xmlns:mc="http://schemas.openxmlformats.org/markup-compatibility/2006">
          <mc:Choice Requires="x14">
            <control shapeId="180333" r:id="rId83" name="Button 109">
              <controlPr defaultSize="0" print="0" autoFill="0" autoPict="0" macro="[0]!Button109_Click">
                <anchor moveWithCells="1" sizeWithCells="1">
                  <from>
                    <xdr:col>7</xdr:col>
                    <xdr:colOff>190500</xdr:colOff>
                    <xdr:row>83</xdr:row>
                    <xdr:rowOff>9525</xdr:rowOff>
                  </from>
                  <to>
                    <xdr:col>8</xdr:col>
                    <xdr:colOff>190500</xdr:colOff>
                    <xdr:row>84</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FFB7F1B3342664D914BF632E516CAB9" ma:contentTypeVersion="13" ma:contentTypeDescription="Create a new document." ma:contentTypeScope="" ma:versionID="63c77b80ffb05641c8b5e36e6e0866a1">
  <xsd:schema xmlns:xsd="http://www.w3.org/2001/XMLSchema" xmlns:xs="http://www.w3.org/2001/XMLSchema" xmlns:p="http://schemas.microsoft.com/office/2006/metadata/properties" xmlns:ns3="16b66797-d361-45c1-aa90-bc5e3fc2723c" xmlns:ns4="96871ce3-3694-452a-a3bd-fd8f437a6f33" targetNamespace="http://schemas.microsoft.com/office/2006/metadata/properties" ma:root="true" ma:fieldsID="05d11cbd21d88623016902913ad4b508" ns3:_="" ns4:_="">
    <xsd:import namespace="16b66797-d361-45c1-aa90-bc5e3fc2723c"/>
    <xsd:import namespace="96871ce3-3694-452a-a3bd-fd8f437a6f33"/>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MediaServiceAutoKeyPoints" minOccurs="0"/>
                <xsd:element ref="ns3:MediaServiceKeyPoints" minOccurs="0"/>
                <xsd:element ref="ns4:SharedWithUsers" minOccurs="0"/>
                <xsd:element ref="ns4:SharedWithDetails" minOccurs="0"/>
                <xsd:element ref="ns4:SharingHintHas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b66797-d361-45c1-aa90-bc5e3fc2723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6871ce3-3694-452a-a3bd-fd8f437a6f33"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4FECF2C-63B2-4F7A-A11E-E00ECAEB5A1F}">
  <ds:schemaRefs>
    <ds:schemaRef ds:uri="http://schemas.microsoft.com/sharepoint/v3/contenttype/forms"/>
  </ds:schemaRefs>
</ds:datastoreItem>
</file>

<file path=customXml/itemProps2.xml><?xml version="1.0" encoding="utf-8"?>
<ds:datastoreItem xmlns:ds="http://schemas.openxmlformats.org/officeDocument/2006/customXml" ds:itemID="{0C1F65E6-04F6-437A-AC55-C9E1713E5814}">
  <ds:schemaRefs>
    <ds:schemaRef ds:uri="http://schemas.microsoft.com/office/2006/metadata/properties"/>
    <ds:schemaRef ds:uri="http://www.w3.org/XML/1998/namespace"/>
    <ds:schemaRef ds:uri="http://purl.org/dc/elements/1.1/"/>
    <ds:schemaRef ds:uri="http://schemas.microsoft.com/office/2006/documentManagement/types"/>
    <ds:schemaRef ds:uri="http://schemas.microsoft.com/office/infopath/2007/PartnerControls"/>
    <ds:schemaRef ds:uri="16b66797-d361-45c1-aa90-bc5e3fc2723c"/>
    <ds:schemaRef ds:uri="http://schemas.openxmlformats.org/package/2006/metadata/core-properties"/>
    <ds:schemaRef ds:uri="96871ce3-3694-452a-a3bd-fd8f437a6f33"/>
    <ds:schemaRef ds:uri="http://purl.org/dc/dcmitype/"/>
    <ds:schemaRef ds:uri="http://purl.org/dc/terms/"/>
  </ds:schemaRefs>
</ds:datastoreItem>
</file>

<file path=customXml/itemProps3.xml><?xml version="1.0" encoding="utf-8"?>
<ds:datastoreItem xmlns:ds="http://schemas.openxmlformats.org/officeDocument/2006/customXml" ds:itemID="{EC5922FB-C3A2-4260-8374-BC772E951D2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6b66797-d361-45c1-aa90-bc5e3fc2723c"/>
    <ds:schemaRef ds:uri="96871ce3-3694-452a-a3bd-fd8f437a6f3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17</vt:i4>
      </vt:variant>
    </vt:vector>
  </HeadingPairs>
  <TitlesOfParts>
    <vt:vector size="42" baseType="lpstr">
      <vt:lpstr>Intro</vt:lpstr>
      <vt:lpstr>Client</vt:lpstr>
      <vt:lpstr>Elec</vt:lpstr>
      <vt:lpstr>Combined</vt:lpstr>
      <vt:lpstr>ElecReport</vt:lpstr>
      <vt:lpstr>ElecRep2Ch</vt:lpstr>
      <vt:lpstr>Co</vt:lpstr>
      <vt:lpstr>CoReport</vt:lpstr>
      <vt:lpstr>MEX</vt:lpstr>
      <vt:lpstr>MEX-u</vt:lpstr>
      <vt:lpstr>MEXtabs</vt:lpstr>
      <vt:lpstr>MEXReport</vt:lpstr>
      <vt:lpstr>LEX</vt:lpstr>
      <vt:lpstr>LEXReport</vt:lpstr>
      <vt:lpstr>MV-P</vt:lpstr>
      <vt:lpstr>MVP+CoReport</vt:lpstr>
      <vt:lpstr>MVPreport</vt:lpstr>
      <vt:lpstr>MV-E</vt:lpstr>
      <vt:lpstr>MVEreport</vt:lpstr>
      <vt:lpstr>Cs</vt:lpstr>
      <vt:lpstr>Limits</vt:lpstr>
      <vt:lpstr>MEX QC</vt:lpstr>
      <vt:lpstr>Log</vt:lpstr>
      <vt:lpstr>DCC</vt:lpstr>
      <vt:lpstr>Checking</vt:lpstr>
      <vt:lpstr>CHECKING_Dir</vt:lpstr>
      <vt:lpstr>CO_Stub</vt:lpstr>
      <vt:lpstr>DCC_Dir</vt:lpstr>
      <vt:lpstr>Elec_2Ch_Stub</vt:lpstr>
      <vt:lpstr>ELEC_Stub</vt:lpstr>
      <vt:lpstr>INFILE_Name</vt:lpstr>
      <vt:lpstr>LEX_Stub</vt:lpstr>
      <vt:lpstr>MEX_PDF</vt:lpstr>
      <vt:lpstr>MEX_Stub</vt:lpstr>
      <vt:lpstr>MVE_Stub</vt:lpstr>
      <vt:lpstr>MVP_Stub</vt:lpstr>
      <vt:lpstr>CoReport!OLE_LINK1</vt:lpstr>
      <vt:lpstr>'MVP+CoReport'!OLE_LINK1</vt:lpstr>
      <vt:lpstr>MVPreport!OLE_LINK1</vt:lpstr>
      <vt:lpstr>Checking!Print_Area</vt:lpstr>
      <vt:lpstr>REPORT_Dir</vt:lpstr>
      <vt:lpstr>THIS_Dir</vt:lpstr>
    </vt:vector>
  </TitlesOfParts>
  <Company>ARPANSA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butled</dc:creator>
  <cp:lastModifiedBy>Duncan Butler</cp:lastModifiedBy>
  <cp:lastPrinted>2021-07-05T10:56:20Z</cp:lastPrinted>
  <dcterms:created xsi:type="dcterms:W3CDTF">2004-09-21T07:25:58Z</dcterms:created>
  <dcterms:modified xsi:type="dcterms:W3CDTF">2021-07-28T04:30:28Z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0x010100FFFB7F1B3342664D914BF632E516CAB9</vt:lpwstr>
  </property>
</Properties>
</file>